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6.xml" ContentType="application/vnd.openxmlformats-officedocument.spreadsheetml.worksheet+xml"/>
  <Override PartName="/xl/worksheets/sheet3.xml" ContentType="application/vnd.openxmlformats-officedocument.spreadsheetml.worksheet+xml"/>
  <Override PartName="/xl/worksheets/sheet5.xml" ContentType="application/vnd.openxmlformats-officedocument.spreadsheetml.worksheet+xml"/>
  <Override PartName="/xl/worksheets/sheet2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Default Extension="vml" ContentType="application/vnd.openxmlformats-officedocument.vmlDrawing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5" lowestEdited="5" rupBuild="9303"/>
  <workbookPr defaultThemeVersion="164011" filterPrivacy="1"/>
  <bookViews>
    <workbookView xWindow="-120" yWindow="-120" windowWidth="29040" windowHeight="15840" activeTab="1"/>
  </bookViews>
  <sheets>
    <sheet sheetId="6" name="Painel" state="visible" r:id="rId4"/>
    <sheet sheetId="3" name="Dados" state="visible" r:id="rId5"/>
    <sheet sheetId="5" name="Filtros" state="visible" r:id="rId6"/>
    <sheet sheetId="2" name="Centro de Custo" state="visible" r:id="rId7"/>
    <sheet sheetId="7" name="Planilha1" state="visible" r:id="rId8"/>
  </sheets>
  <calcPr calcId="171027"/>
</workbook>
</file>

<file path=xl/sharedStrings.xml><?xml version="1.0" encoding="utf-8"?>
<sst xmlns="http://schemas.openxmlformats.org/spreadsheetml/2006/main" count="2529" uniqueCount="666">
  <si>
    <t>Centro de Custo</t>
  </si>
  <si>
    <t>Soma de Valor</t>
  </si>
  <si>
    <t>Descrição</t>
  </si>
  <si>
    <t>TESTE ENILEIA</t>
  </si>
  <si>
    <t>Outras Receitas</t>
  </si>
  <si>
    <t>Código Centro Custo</t>
  </si>
  <si>
    <t>Receita de Produto</t>
  </si>
  <si>
    <t>N. DOC</t>
  </si>
  <si>
    <t>Retirada Mensal</t>
  </si>
  <si>
    <t>Valor</t>
  </si>
  <si>
    <t>*</t>
  </si>
  <si>
    <t>Código</t>
  </si>
  <si>
    <t>Pago</t>
  </si>
  <si>
    <t>Data</t>
  </si>
  <si>
    <t>Ano</t>
  </si>
  <si>
    <t>Mês</t>
  </si>
  <si>
    <t>n.Mês</t>
  </si>
  <si>
    <t>Terceirizados</t>
  </si>
  <si>
    <t>Outros</t>
  </si>
  <si>
    <t>Distribuição de Lucro</t>
  </si>
  <si>
    <t>Desp. ADM</t>
  </si>
  <si>
    <t>Aplicação Financeira</t>
  </si>
  <si>
    <t>Resgate Financeiro</t>
  </si>
  <si>
    <t>Empréstimos</t>
  </si>
  <si>
    <t>Impostos</t>
  </si>
  <si>
    <t>Direitos Autorais Terceiros</t>
  </si>
  <si>
    <t>SALDO</t>
  </si>
  <si>
    <t>Doação</t>
  </si>
  <si>
    <t>Gráfica</t>
  </si>
  <si>
    <t>Viagens</t>
  </si>
  <si>
    <t>Investimentos</t>
  </si>
  <si>
    <t>Outros (Socios)</t>
  </si>
  <si>
    <t>Total Geral</t>
  </si>
  <si>
    <t>Saldo Anterior 31/12/23</t>
  </si>
  <si>
    <t>Saldo Final - 31/12/24</t>
  </si>
  <si>
    <t>unimde</t>
  </si>
  <si>
    <t>Saldo</t>
  </si>
  <si>
    <t>Coluna1</t>
  </si>
  <si>
    <t>Coluna2</t>
  </si>
  <si>
    <t>Coluna3</t>
  </si>
  <si>
    <t>Coluna4</t>
  </si>
  <si>
    <t>Integralização Rose</t>
  </si>
  <si>
    <t>Integralização Lis</t>
  </si>
  <si>
    <t>Integralização Ellen</t>
  </si>
  <si>
    <t>Integralização Kellen</t>
  </si>
  <si>
    <t>Despesas bancárias - movimentação</t>
  </si>
  <si>
    <t>Integralização Emerson</t>
  </si>
  <si>
    <t>Integralização Eniléia</t>
  </si>
  <si>
    <t>Certidão junta comercial</t>
  </si>
  <si>
    <t>Sala Shopping</t>
  </si>
  <si>
    <t xml:space="preserve">Microkids Tecnologia </t>
  </si>
  <si>
    <t>Xp - Investimentos</t>
  </si>
  <si>
    <t>Distribuição Enileia e Emerson</t>
  </si>
  <si>
    <t>Sala Shopping (escritura)</t>
  </si>
  <si>
    <t>Retirada mensal - Berg (conta kellen)</t>
  </si>
  <si>
    <t>Retirada Kellen</t>
  </si>
  <si>
    <t>Retirada Ellen</t>
  </si>
  <si>
    <t>Retirada Lisalba (mensal + reembolso)</t>
  </si>
  <si>
    <t>Retirada Rose</t>
  </si>
  <si>
    <t>Energia elétrica - sala 1507 - maio</t>
  </si>
  <si>
    <t>Condominio</t>
  </si>
  <si>
    <t>Integralização - dev. Lis</t>
  </si>
  <si>
    <t>Integralização - dev. Rose</t>
  </si>
  <si>
    <t>Distribuição de Lucro - Kellen</t>
  </si>
  <si>
    <t>Distribuição de Lucro - Ellen (ellen pagou R$100 mil lisalba)</t>
  </si>
  <si>
    <t>Distribuição de Lucro - Rose</t>
  </si>
  <si>
    <t>Distribuição de Lucro - Lis (lisalba recebeu R$100 mil ellen)</t>
  </si>
  <si>
    <t>Imposto - ITBI</t>
  </si>
  <si>
    <t>Integralização - dev. Ellen</t>
  </si>
  <si>
    <t>Integralização - dev. Kellen</t>
  </si>
  <si>
    <t>movimentação bancária</t>
  </si>
  <si>
    <t>Empréstimo Délio (Sala creative)</t>
  </si>
  <si>
    <t>01/02</t>
  </si>
  <si>
    <t>Integralização - dev. Emerson/Enileia</t>
  </si>
  <si>
    <t>Imposto - Pis (0.65%)</t>
  </si>
  <si>
    <t>Imposto - Cofins (3%)</t>
  </si>
  <si>
    <t>02/02</t>
  </si>
  <si>
    <t>Dominio Etc - nucleo br</t>
  </si>
  <si>
    <t>Retirada Eniléia(reembolso folha da pagto bel, dani e lavínia</t>
  </si>
  <si>
    <t>Retirada mensal - Berg (conta rose)</t>
  </si>
  <si>
    <t>Retirada mensal - Eniléia/Emerson</t>
  </si>
  <si>
    <t>Mundo de Kaboo (falta contrato)</t>
  </si>
  <si>
    <t>Reembolso e salários diversos eniléia e emerson</t>
  </si>
  <si>
    <t>Energia elétrica - sala 1507 - junho</t>
  </si>
  <si>
    <t>Marcio SP (Enileia(</t>
  </si>
  <si>
    <t>Marcos SP (Enileia)</t>
  </si>
  <si>
    <t>Imposto - gru ref inpi fazendo o transito legal</t>
  </si>
  <si>
    <t>Inpi - Advogado _ transito legal</t>
  </si>
  <si>
    <t>Retirada Kellen (dev. ref ao 250 mil delio para bluepay)</t>
  </si>
  <si>
    <t>Imposto - Tx de postura Etc</t>
  </si>
  <si>
    <t>Retirada Mensal - Berg (depositado roselita)</t>
  </si>
  <si>
    <t>Retirada Mensal - Ellen</t>
  </si>
  <si>
    <t>Retirada Lisalba</t>
  </si>
  <si>
    <t>Juliana MT (Lisalba)</t>
  </si>
  <si>
    <t>Retirada Emerson e Eniléia</t>
  </si>
  <si>
    <t>Reembolsos emerson - acerto ref a delio e outros</t>
  </si>
  <si>
    <t>Marcos SP (Ellen)</t>
  </si>
  <si>
    <t>Marcio  (Ellen)</t>
  </si>
  <si>
    <t>Energia elétrica - sala 1507</t>
  </si>
  <si>
    <t>Distribuição de Lucro -  Enileia (antecipação)</t>
  </si>
  <si>
    <t>Empréstimo Microkids</t>
  </si>
  <si>
    <t>Empréstimo Ieda</t>
  </si>
  <si>
    <t>Energia elétrica - sala 1507 - julho</t>
  </si>
  <si>
    <t>Alteração contratual ETC</t>
  </si>
  <si>
    <t>Retirada Rose (Berg)</t>
  </si>
  <si>
    <t>Juliana MT (Emerson)</t>
  </si>
  <si>
    <t>Retirada Emerson  (reeembolso outros tb)</t>
  </si>
  <si>
    <t>Juliana + Marcos sp (Rose)</t>
  </si>
  <si>
    <t>Retirada Roselita</t>
  </si>
  <si>
    <t>Max/Marcelle - Kellen</t>
  </si>
  <si>
    <t xml:space="preserve">Retirada Lisalba </t>
  </si>
  <si>
    <t xml:space="preserve">Retirada Emerson </t>
  </si>
  <si>
    <t>Retirada Emerson (Reembolso)</t>
  </si>
  <si>
    <t>Galpão - Emerson</t>
  </si>
  <si>
    <t>Distribuição de Lucro - Emerson (casa juliana)</t>
  </si>
  <si>
    <t>Retirada Emerson</t>
  </si>
  <si>
    <t xml:space="preserve">Emprestimo mk - devolução </t>
  </si>
  <si>
    <t>Retirada Lisalba (carro berg)</t>
  </si>
  <si>
    <t>Andrelisa, Marcelle, Fernanda, Max, Dani) - Kellen</t>
  </si>
  <si>
    <t>Contabilidade - Controltech - constituição ello</t>
  </si>
  <si>
    <t>Retirada Rose (Érico)</t>
  </si>
  <si>
    <t>Luciano - Kellen (ref emprestimo)</t>
  </si>
  <si>
    <t>Marcio Wada (Ellen)</t>
  </si>
  <si>
    <t>Marcos SP (Lisalba)</t>
  </si>
  <si>
    <t xml:space="preserve">Retirada Rose </t>
  </si>
  <si>
    <t>Juliana MT (Roselita)</t>
  </si>
  <si>
    <t>Retirada Emerson/Eniléia</t>
  </si>
  <si>
    <t>Retirada Emerson (Reembolso diversos)</t>
  </si>
  <si>
    <t>Cerificado Ello</t>
  </si>
  <si>
    <t>Galpão - Rose</t>
  </si>
  <si>
    <t>Bel e Lavínia  (Rose)</t>
  </si>
  <si>
    <t xml:space="preserve">Retirada Mensal - Ellen </t>
  </si>
  <si>
    <t>Retirada Rose (rose/berg)</t>
  </si>
  <si>
    <t>Retirada Mensal - Ellen (retirada + equipe)</t>
  </si>
  <si>
    <t>Priscila Camargo (Lisalba)</t>
  </si>
  <si>
    <t>Retirada Lisalba (reembolsos)</t>
  </si>
  <si>
    <t>Marci/Luciano - (Kellen)</t>
  </si>
  <si>
    <t>Retirada Emerson/eniléia (reembolsos + retiradas)</t>
  </si>
  <si>
    <t>Galpão - Pedro Rezende - Rose</t>
  </si>
  <si>
    <t>Comissão Andreia/Rodrigo - Rose</t>
  </si>
  <si>
    <t>Comissão Andreia/Rodrigo - Ellen</t>
  </si>
  <si>
    <t>Bonus Andrelisa (NF Fernando Medina)</t>
  </si>
  <si>
    <t>Ana Amélia (perguntas transito) - bluepay</t>
  </si>
  <si>
    <t>Blue pay (imposto)</t>
  </si>
  <si>
    <t>Distribuição de Lucro -  Bonus Max (bluepay)</t>
  </si>
  <si>
    <t>Henrique Bazoni (projeto Lógica e Programação)</t>
  </si>
  <si>
    <t>Emprestimo - Andreia (bluepay)</t>
  </si>
  <si>
    <t>Jamil (Direitos autorais kodu, 6% sob as vendas)</t>
  </si>
  <si>
    <t>Márcio - valor R$130.000 abati 3.5% imposto (bluepay)</t>
  </si>
  <si>
    <t>Retirada Kellen (Andrade Rodrigues Ltda - panetone)</t>
  </si>
  <si>
    <t>Lavínia - (Kellen)</t>
  </si>
  <si>
    <t>Dani - (Kellen)</t>
  </si>
  <si>
    <t>Ana Amélia - Correção material transito (Kellen)</t>
  </si>
  <si>
    <t>Bel - (Kellen)</t>
  </si>
  <si>
    <t>William Lomar dos Santos (sistema)</t>
  </si>
  <si>
    <t>Ajuste de contas brasil digital (depositado conta bb emerson)</t>
  </si>
  <si>
    <t>Ab soluções - consultoria transito</t>
  </si>
  <si>
    <t>Despesas bancos - Juros</t>
  </si>
  <si>
    <t>Andrelisa - (Ellen)</t>
  </si>
  <si>
    <t>Fernanda - (Kellen)</t>
  </si>
  <si>
    <t>Marcelle -  (Kellen)</t>
  </si>
  <si>
    <t>Marci</t>
  </si>
  <si>
    <t>Max (Lisalba)</t>
  </si>
  <si>
    <t>Retirada Rose (Luciano)</t>
  </si>
  <si>
    <t>Programador - Talles</t>
  </si>
  <si>
    <t>Desp Escritorio - Nine - papel toalha e papel higienico</t>
  </si>
  <si>
    <t>Outras Despesas - Maçanetas sala lisalba e etc</t>
  </si>
  <si>
    <t>Condominio - sala 1507</t>
  </si>
  <si>
    <t>Condominio - sala 1505</t>
  </si>
  <si>
    <t>Condominio - sala 1506</t>
  </si>
  <si>
    <t xml:space="preserve">Retirada Kellen </t>
  </si>
  <si>
    <t>Energia elétrica 1507</t>
  </si>
  <si>
    <t>Galpão - As Material eletrico</t>
  </si>
  <si>
    <t>Desp escritório - ecpf emerson</t>
  </si>
  <si>
    <t>Desp escritório - Tinta (Tc print)</t>
  </si>
  <si>
    <t>Viagem - Feira educar Sp (Priscila)</t>
  </si>
  <si>
    <t>Galpão - Enileia</t>
  </si>
  <si>
    <t>Cartao credito - hostgator (hospedagem)</t>
  </si>
  <si>
    <t>Loga</t>
  </si>
  <si>
    <t>Contabilidade - Controltech - Mensal</t>
  </si>
  <si>
    <t>Galpão - Ellen</t>
  </si>
  <si>
    <t>Galpão - Retirada Kellen</t>
  </si>
  <si>
    <t>Retirada Emerson/Enileia</t>
  </si>
  <si>
    <t>Retirada Emerson (Reembolso ref dinh env pra delio contas mk)</t>
  </si>
  <si>
    <t>Retirada Emerson (Reembolsos div)</t>
  </si>
  <si>
    <t>Edgar transito - Emerson</t>
  </si>
  <si>
    <t>Retirada Roselita (Berg)</t>
  </si>
  <si>
    <t>Retirada Emerson (reemb eq)</t>
  </si>
  <si>
    <t>Royalties - Kaboo</t>
  </si>
  <si>
    <t>Acerto Creative (Transf de estoque)</t>
  </si>
  <si>
    <t>Viitra</t>
  </si>
  <si>
    <t>Lindsay - (doação cirurgia) - Lisalba</t>
  </si>
  <si>
    <t>Lindsay - (doação cirurgia) - Roselita</t>
  </si>
  <si>
    <t>Fechadura automática</t>
  </si>
  <si>
    <t>Aluguel de studio para videos epigenética</t>
  </si>
  <si>
    <t>Imposto - Tx anual prefeitura</t>
  </si>
  <si>
    <t>Viagem - Passagem aérea Marcos SP</t>
  </si>
  <si>
    <t>Bel - (Ellen)</t>
  </si>
  <si>
    <t>Cartão de credito</t>
  </si>
  <si>
    <t>Marcos SP (Kellen)</t>
  </si>
  <si>
    <t>Acerto Creative (Transf de estoque+Direitos Autorais)</t>
  </si>
  <si>
    <t>Imposto - iss nota tutu</t>
  </si>
  <si>
    <t>Zaky - produtos boas vindas Wenes</t>
  </si>
  <si>
    <t>Marketing - Feira educar</t>
  </si>
  <si>
    <t>Energia elétrica - salas 1507</t>
  </si>
  <si>
    <t>Energia elétrica - salas 1505/1506</t>
  </si>
  <si>
    <t>Marketing - studio podcast epigenética</t>
  </si>
  <si>
    <t>Empréstimo - Salas Creative (empr feito em 05 e 27/05) - devolução</t>
  </si>
  <si>
    <t>Transf fictisia mk</t>
  </si>
  <si>
    <t>Empréstimo - Dev. Luciano (pago a kellen)</t>
  </si>
  <si>
    <t>Internet Loga</t>
  </si>
  <si>
    <t>Distruibuição de Lucro - Kellen (dinh do luciano ref emprestimo)</t>
  </si>
  <si>
    <t>Distribuição de Lucro - Emerson (dinh que saiu da mk)</t>
  </si>
  <si>
    <t>Distribuição de Lucro - Emerson (dinh que saiu do delio)</t>
  </si>
  <si>
    <t>Empréstimo Mk (20/07/23) - devolução</t>
  </si>
  <si>
    <t>Desp Escritorio - Papermel</t>
  </si>
  <si>
    <t>Distribuição de Lucro - Ellen (saiu da mk)</t>
  </si>
  <si>
    <t>Distribuição de Lucro - Lisalba (saiu da mk)</t>
  </si>
  <si>
    <t>Distribuição de Lucro - Berg (Enileia)</t>
  </si>
  <si>
    <t>Distribuição de Lucro - Ellen</t>
  </si>
  <si>
    <t>Distribuição de Lucro - Emerson</t>
  </si>
  <si>
    <t>Distribuição de Lucro - Lisalba</t>
  </si>
  <si>
    <t>Distribuição de Lucro - Roselita</t>
  </si>
  <si>
    <t>Movimentação bancária - ted</t>
  </si>
  <si>
    <t>Movimentação bancária</t>
  </si>
  <si>
    <t>Diagramação Edinei</t>
  </si>
  <si>
    <t>Hotel - Wenes</t>
  </si>
  <si>
    <t>Retirada Mensal - Lisalba</t>
  </si>
  <si>
    <t>Retirada Mensal - Emerson</t>
  </si>
  <si>
    <t>Juliana MT (Ellen)</t>
  </si>
  <si>
    <t>Juliana MT (Kellen)</t>
  </si>
  <si>
    <t>Retirada Emerson - Unimed</t>
  </si>
  <si>
    <t>Bibiliotecária (alerta maximo)</t>
  </si>
  <si>
    <t>Retirada Emerson (Reembolsos MK e ETC)</t>
  </si>
  <si>
    <t>Retirada Kellen (saiu da mk)</t>
  </si>
  <si>
    <t>Retirada Mensal - Ellen (saiu da mk)</t>
  </si>
  <si>
    <t>Retirada Lisalba (saiu da mk - reembolsos)</t>
  </si>
  <si>
    <t>Retirada Roselita (Berg) - (saiu da mk)</t>
  </si>
  <si>
    <t>Distribuição de Lucro-  Kellen (ref aos 1.050.000) (esse valor saiu da mk)</t>
  </si>
  <si>
    <t>Videos Epgenéticas mais institucional (Imagine)</t>
  </si>
  <si>
    <t>Transc de libras projeto epigenética</t>
  </si>
  <si>
    <t>Outras Despesas - Manutenção ar condicionado studio</t>
  </si>
  <si>
    <t>Gesso banheiro masculino - Tematika</t>
  </si>
  <si>
    <t>Zaky - produtos boas vindas Wenes (2a cesta)</t>
  </si>
  <si>
    <t>Centro de Excelência Laplace (plataforma)</t>
  </si>
  <si>
    <t>Imposto - Difal Hd</t>
  </si>
  <si>
    <t>Teresa Maté (assessoria transito)</t>
  </si>
  <si>
    <t>Imposto - Difal Hd (paguei duplicado)</t>
  </si>
  <si>
    <t>Grafica Jeep (capas que foram refeitas)</t>
  </si>
  <si>
    <t>Doação (desbravadores)</t>
  </si>
  <si>
    <t>Imposto - CSLL Etc sobre aplicação (semestre)</t>
  </si>
  <si>
    <t>Retirada Emerson (desp diversas mk)</t>
  </si>
  <si>
    <t>Retirada Emerson (adiantamento faxina tainara)</t>
  </si>
  <si>
    <t>Imposto - RPJ Etc sobre aplicação (semestre)</t>
  </si>
  <si>
    <t xml:space="preserve">Empréstimo - Fluence </t>
  </si>
  <si>
    <t>Desp Escritorio - Papel (Camila Lino)</t>
  </si>
  <si>
    <t>Retirada Emerson - Unimed - cooparticipação</t>
  </si>
  <si>
    <t>Viagem - Passagem aérea Lisalba (SPxJoão Pessoa) Latam</t>
  </si>
  <si>
    <t>Retirada Emerson (Reembolsos mk)</t>
  </si>
  <si>
    <t>Retirada Mensal - Kellen</t>
  </si>
  <si>
    <t>Concerto da porta de correr de vidro</t>
  </si>
  <si>
    <t>Viagem Estonia (Lisalba)</t>
  </si>
  <si>
    <t>Retirada Emerson (reembolso mk)</t>
  </si>
  <si>
    <t>Retirada Mensal - Emerson (antecipação mês set)</t>
  </si>
  <si>
    <t xml:space="preserve">Venda - Editora Creative </t>
  </si>
  <si>
    <t>Energia elétrica sala 1507</t>
  </si>
  <si>
    <t>Energia elétrica sala 1505</t>
  </si>
  <si>
    <t>Retirada Lisalba - Direitos Autorais - Henrique Bazoni (projeto Lógica e Programação) 1% sobre as vendas</t>
  </si>
  <si>
    <t>Henrique Bazoni (projeto Lógica e Programação) 1% sobre as vendas - Ellen</t>
  </si>
  <si>
    <t>Henrique Bazoni (projeto Lógica e Programação) 1% sobre as vendas (Enileia)</t>
  </si>
  <si>
    <t>Direitos Autorais - Jamil (6% sob venda do Kodu) (total foi de R$136.856</t>
  </si>
  <si>
    <t>Retirada Enileia (antecipação)</t>
  </si>
  <si>
    <t>Hotel Rafael para gravar video alerta máximo</t>
  </si>
  <si>
    <t xml:space="preserve">Marketing - Evento ES - Fernanda </t>
  </si>
  <si>
    <t>Aluguel do Studio para o video alerta maximo</t>
  </si>
  <si>
    <t>Viagem - Estonia (Priscila) - Lisalba que irá arcar com os custos</t>
  </si>
  <si>
    <t>Empréstimo - Salas Creative (empr feito em 05 e 27/05) - devolução)</t>
  </si>
  <si>
    <t>Empréstimo - dev Delio (acerto diversos)</t>
  </si>
  <si>
    <t>Frete SP (valor total foi de R$32.500) acerto restante depois)</t>
  </si>
  <si>
    <t>Xp - investimentos (conta 11289301)</t>
  </si>
  <si>
    <t>Xp - investimentos</t>
  </si>
  <si>
    <t>Cartão de debito (pessoal emerson) aff</t>
  </si>
  <si>
    <t>Marketing - Evento SP (Kellen e Fernanda)</t>
  </si>
  <si>
    <t>Retirada Rose/Berg</t>
  </si>
  <si>
    <t>Distribuição de Lucro - Emerson (antecipação)</t>
  </si>
  <si>
    <t>Viagem SP - Emerson (saque)</t>
  </si>
  <si>
    <t>Videos Alerta Máximo - 10 videos (Guardião Escolar Treinament) - Rafael</t>
  </si>
  <si>
    <t>Xp - investimentos (resgate)</t>
  </si>
  <si>
    <t>Mimos equipe - Baccio di late</t>
  </si>
  <si>
    <t>Hotel SP (Kellen e Fernanda)</t>
  </si>
  <si>
    <t>Retirada Emerson (Dev Delio ref pgto cuiaba)</t>
  </si>
  <si>
    <t>Aziz (Análise da empresa pra vender)</t>
  </si>
  <si>
    <t>Video alerta máximo (Agencia Interativa)</t>
  </si>
  <si>
    <t>Imposto - IRPJ e CSLL 01/60 (imposto q devia ter sido pago em maio 2023)</t>
  </si>
  <si>
    <t>Botao filtro</t>
  </si>
  <si>
    <t>Mimos etc</t>
  </si>
  <si>
    <t xml:space="preserve">Impressora </t>
  </si>
  <si>
    <t>Edgar Transito (dev emp)</t>
  </si>
  <si>
    <t>Reforma ETC - Emideo Paes</t>
  </si>
  <si>
    <t>Creative Book - Direitos Autorais - finalização de acerto com balanço</t>
  </si>
  <si>
    <t>Creative Book - Direitos Autorais - acerto ref emissao nf 01</t>
  </si>
  <si>
    <t>Reforma ETC - Vimercat</t>
  </si>
  <si>
    <t>Impostos - CSLL sobre o lucro</t>
  </si>
  <si>
    <t>Reforma ETC - Iluminação</t>
  </si>
  <si>
    <t>Reforma ETC - Gesso</t>
  </si>
  <si>
    <t>Imposto - IRPJ e CSLL 02/60 (imposto q devia ter sido pago em maio 2023)</t>
  </si>
  <si>
    <t xml:space="preserve">Distribuição de Lucro - Emerson </t>
  </si>
  <si>
    <t>Retirada Emerson (doação igreja bela aurora)</t>
  </si>
  <si>
    <t>Distribuição de Lucro - Ellen (26 mil foi pra kellen, acerto delas)</t>
  </si>
  <si>
    <t>Reforma ETC - Móveis Romanza</t>
  </si>
  <si>
    <t>01/04</t>
  </si>
  <si>
    <t>Retirada Mensal - Ellen (mês)</t>
  </si>
  <si>
    <t>Retirada Lis (Viagem Priscila Estonia)</t>
  </si>
  <si>
    <t>Retirada Lis (priscila)</t>
  </si>
  <si>
    <t>Retirada Lis (mês)</t>
  </si>
  <si>
    <t>Retirada Kellen (mês)</t>
  </si>
  <si>
    <t>Distribuição de Lucro - Kellen (R$26 mil ellen mandou)</t>
  </si>
  <si>
    <t>Cartório - procuração enileia para banco sicoob</t>
  </si>
  <si>
    <t>Reforma ETC - Salvatore Granitos</t>
  </si>
  <si>
    <t>Juliana MT (Lis)</t>
  </si>
  <si>
    <t>Imposto - IRPJ e CSLL 03/60 (imposto q devia ter sido pago em maio 2023)</t>
  </si>
  <si>
    <t>Impostos - ISS</t>
  </si>
  <si>
    <t>Mangos - buffet final de ano (sinal)</t>
  </si>
  <si>
    <t>02/04</t>
  </si>
  <si>
    <t>Fotografa - festa final de ano</t>
  </si>
  <si>
    <t>Retirada Lisalba (doação escola)</t>
  </si>
  <si>
    <t>Retirada Lisalba (aluguel atrio)</t>
  </si>
  <si>
    <t>Retirada Kellen (aluguel atrio)</t>
  </si>
  <si>
    <t>Retirada Ellen (aluguel atrio + internet Luzia)</t>
  </si>
  <si>
    <t>Retirada Lisalba (Priscila)</t>
  </si>
  <si>
    <t xml:space="preserve">  </t>
  </si>
  <si>
    <t>Unimed coparticipação (retirada emerson)</t>
  </si>
  <si>
    <t>Retirada Emerson/Enileia (adint faxinas tainara)</t>
  </si>
  <si>
    <t>Unimed (retirada emerson)</t>
  </si>
  <si>
    <t>Retirada Emerson/Enileia (alug instituto juliana)</t>
  </si>
  <si>
    <t>Retirada Emerson/Enileia (bonus delio - relógio)</t>
  </si>
  <si>
    <t>Vendas - Creative</t>
  </si>
  <si>
    <t>Retirada Emerson (bonus creative - relogio delio)</t>
  </si>
  <si>
    <t>Empréstimo - Fluence (devolução)</t>
  </si>
  <si>
    <t>Empréstimo - Fluence (juros) irei devolver</t>
  </si>
  <si>
    <t>Saque ??</t>
  </si>
  <si>
    <t>Buffet final do ano</t>
  </si>
  <si>
    <t>Contabilidade (Irpf 2023/2024/Balanço offshore)</t>
  </si>
  <si>
    <t>Retirada Emerson (desp diversas creative) dev.</t>
  </si>
  <si>
    <t>xp - Investimentos</t>
  </si>
  <si>
    <t>Imposto - IRPJ e CSLL 04/60 (imposto q devia ter sido pago em maio 2023)</t>
  </si>
  <si>
    <t>Juros</t>
  </si>
  <si>
    <t>Empréstimo - Luciano (devolução)</t>
  </si>
  <si>
    <t xml:space="preserve">Unimed coparticipação (retirada emerson) </t>
  </si>
  <si>
    <t>Retirada Priscila - mestrado (Lisalba)</t>
  </si>
  <si>
    <t>Escola 6m ajuda filha adriana ??</t>
  </si>
  <si>
    <t>Retirada Priscila + presente natal (Lisalba)</t>
  </si>
  <si>
    <t>Retirada Lisalba + presente natal + aluguel atrios</t>
  </si>
  <si>
    <t>Retirada Rose + presente natal + sitio natal + aluguel atrios</t>
  </si>
  <si>
    <t>03/04</t>
  </si>
  <si>
    <t>Retirada Enileia</t>
  </si>
  <si>
    <t>Retirada Emerson (???)</t>
  </si>
  <si>
    <t>Doação aluguel juliana (Enileia)</t>
  </si>
  <si>
    <t>Doação (familia pr cristiano) -  emerson</t>
  </si>
  <si>
    <t xml:space="preserve">Retirada Berg  Apto (Lisalba) </t>
  </si>
  <si>
    <t>Reforma ETC - Metalon (Marroan) - 1a parcela</t>
  </si>
  <si>
    <t>Retirada Berg  Apto (Lisalba)</t>
  </si>
  <si>
    <t>Reforma ETC - papel de parede</t>
  </si>
  <si>
    <t>04/04</t>
  </si>
  <si>
    <t>Retirada Emerson (coparticipação unimed)</t>
  </si>
  <si>
    <t>Retirada Emerson (unimed)</t>
  </si>
  <si>
    <t>Retirada Rose (aluguel atrio)</t>
  </si>
  <si>
    <t>Doação (Semestre faculdade Pr Cristiano) - Lisalba</t>
  </si>
  <si>
    <t>Doação Instituto Pr. Silas (Enileia)</t>
  </si>
  <si>
    <t>Doação (aluguel austistas juliana) 2 meses (retirada emerson)</t>
  </si>
  <si>
    <t>Retirada Priscila (Lisalba)</t>
  </si>
  <si>
    <t>Doação - faculdade medicina esposa pr Elmir (Enileia)</t>
  </si>
  <si>
    <t>Doação pais Pr.Cristiano (Enileia)</t>
  </si>
  <si>
    <t>Retirada Emerson/Enileia (sitio/festa mk/outros/reforma etc)</t>
  </si>
  <si>
    <t>Empréstimo - Délio</t>
  </si>
  <si>
    <t>Empréstimo MK</t>
  </si>
  <si>
    <t>Imposto - INSS (Meses de novembro a janeiro)</t>
  </si>
  <si>
    <t>Imposto - Csll - sobre faturamento - base calculo (out a dez)</t>
  </si>
  <si>
    <t>Imposto - Irpj - sobre faturamento - base calculo (out a dez)</t>
  </si>
  <si>
    <t xml:space="preserve">ISBN - 2 Titulos </t>
  </si>
  <si>
    <t>Empréstimo MK - Devolução</t>
  </si>
  <si>
    <t xml:space="preserve">Dicson transito - NF </t>
  </si>
  <si>
    <t>Tx ref ao processo da marca Fazendo transito legal (INPI)</t>
  </si>
  <si>
    <t>Direitos Autorais - Rafael (Projeto ETC Box Segurança)</t>
  </si>
  <si>
    <t>Reforma ETC - Cadeiras (Caderode - 9 cadeiras)</t>
  </si>
  <si>
    <t>Energia eletrica - sala 1507</t>
  </si>
  <si>
    <t>Doação igreja Jadilson (Emerson)</t>
  </si>
  <si>
    <t>Doação igreja bela aurora (Emerson)</t>
  </si>
  <si>
    <t>Direitos Autorais - Mariana (Material ref ao Kaboo) (Emerson)</t>
  </si>
  <si>
    <t>imposto - INSS</t>
  </si>
  <si>
    <t>Reforma ETC - Metalon (Marroan) - 2a parcela</t>
  </si>
  <si>
    <t>Reforma ETC - Tomadas bridi</t>
  </si>
  <si>
    <t>Imposto - IRPJ e CSLL 05/60 (imposto q devia ter sido pago em maio 2023)</t>
  </si>
  <si>
    <t>Imposto - IRPJ e CSLL 06/60 (imposto q devia ter sido pago em maio 2023)</t>
  </si>
  <si>
    <t>Retirada Berg  Apto (Lisalba) - 01/10</t>
  </si>
  <si>
    <t>ISBN - Diversos titulos</t>
  </si>
  <si>
    <t>Viagem - passagens aéreas feira - grupo ETC</t>
  </si>
  <si>
    <t>Retirada Emerson - (unimed)</t>
  </si>
  <si>
    <t>Retirada Lisalba (???)</t>
  </si>
  <si>
    <t>Retirada Priscila -  (Lisalba)</t>
  </si>
  <si>
    <t xml:space="preserve">Cartão credito </t>
  </si>
  <si>
    <t>Retirada Berg (Rose)</t>
  </si>
  <si>
    <t>Doação - Colégio neta abelha (Emerson)</t>
  </si>
  <si>
    <t>Acerto Saulo (Retirada Emerson)</t>
  </si>
  <si>
    <t>Retirada Emerson e Enileia (aluguel atrio)</t>
  </si>
  <si>
    <t xml:space="preserve">Retirada Emerson e Enileia </t>
  </si>
  <si>
    <t>Retirada Emerson e Enileia + bonus natal</t>
  </si>
  <si>
    <t>Controltech (contabilidade)</t>
  </si>
  <si>
    <t>Reforma ETC (Maxmix- decoração)</t>
  </si>
  <si>
    <t>Reforma ETC (Avatim - decoração)</t>
  </si>
  <si>
    <t>Reforma ETC (Ponto mix - decoração)</t>
  </si>
  <si>
    <t>Reforma ETC (Vila Aleixo- decoração)</t>
  </si>
  <si>
    <t>Retirada Emerson (dev. Valor saulo)</t>
  </si>
  <si>
    <t>Reforma ETC (Manoel Garcia) - iluminação</t>
  </si>
  <si>
    <t xml:space="preserve">Reforma ETC (Caderode) cadeira </t>
  </si>
  <si>
    <t>Reforma ETC (Natalia) - fechadura porta</t>
  </si>
  <si>
    <t>Reforma ETC - cortina</t>
  </si>
  <si>
    <t>Doação - aluguel instituto juliana (Emerson)</t>
  </si>
  <si>
    <t>Acerto Saulo (Emerson)</t>
  </si>
  <si>
    <t>Retirada Emerson (reembolsos)</t>
  </si>
  <si>
    <t>Reforma ETC (Projeto Nicole e mao de obra Lucas) Emerson</t>
  </si>
  <si>
    <t>Retirada Emerson (março)</t>
  </si>
  <si>
    <t>Saque para viagem acre</t>
  </si>
  <si>
    <t>Isbn - Camara Brasileria do livro</t>
  </si>
  <si>
    <t xml:space="preserve">Investimento XP </t>
  </si>
  <si>
    <t>Retirada Priscila (reembolso passagem sp)</t>
  </si>
  <si>
    <t>Retirada Priscila - mestrato (Lisalba)</t>
  </si>
  <si>
    <t>Retirada Berg  Apto (Lisalba) - 02/10</t>
  </si>
  <si>
    <t>Imposto - IRPJ e CSLL 07/60 (imposto q devia ter sido pago em maio 2023)</t>
  </si>
  <si>
    <t xml:space="preserve">Papel foto </t>
  </si>
  <si>
    <t>Xp investimentos</t>
  </si>
  <si>
    <t>Retirada Kellen (Reembolso outros)</t>
  </si>
  <si>
    <t>Retirada Kellen (Reembolso pass sp e bh e hotel BH)</t>
  </si>
  <si>
    <t>Reforma ETC - Tv/acrilico e suporte papel (kellen)</t>
  </si>
  <si>
    <t>Manutenção ar condicionado sala ellen e kellen</t>
  </si>
  <si>
    <t>Condominio sala 1507</t>
  </si>
  <si>
    <t>Reforma ETC (Reembolso Rose)</t>
  </si>
  <si>
    <t>Imposto - IPTU</t>
  </si>
  <si>
    <t>Imposto - Iptu</t>
  </si>
  <si>
    <t>Certificado digital etc autoral</t>
  </si>
  <si>
    <t>Retirada Ellen (emprestimo Alcides)</t>
  </si>
  <si>
    <t>Retirada Lisalba (emprestimo Alcides)</t>
  </si>
  <si>
    <t>Empréstimo Alcides (Rose)</t>
  </si>
  <si>
    <t>Pagamento ??? Suprema negocios turismo??</t>
  </si>
  <si>
    <t>Hotel Sp (Beteducar)</t>
  </si>
  <si>
    <t>Retirada Lisalba (alimentação feira Pri/Lis)</t>
  </si>
  <si>
    <t>Retirada Berg  Apto (Lisalba) - 03/10</t>
  </si>
  <si>
    <t>Imposto - Csll - sobre faturamento - base calculo (jan a março)</t>
  </si>
  <si>
    <t>Frete (levar material até amiga jussara)</t>
  </si>
  <si>
    <t>Saque banco - viagem emerson</t>
  </si>
  <si>
    <t>Retirada Ellen (aluguel atrio + internet Luzia + outros)</t>
  </si>
  <si>
    <t>Retirada Rose (aluguel atrio outros)</t>
  </si>
  <si>
    <t>Cartao de crédito mastercard</t>
  </si>
  <si>
    <t>Retirada Kellen (aluguel atrio) + reembolsos</t>
  </si>
  <si>
    <t>Doação - igreja bela aurora (Emerson)</t>
  </si>
  <si>
    <t>Imposto - IRPJ e CSLL 08/60 (imposto q devia ter sido pago em maio 2023)</t>
  </si>
  <si>
    <t>Imposto - Irpj - sobre faturamento - base calculo (jan a março)</t>
  </si>
  <si>
    <t>Retirada Emerson (outros)</t>
  </si>
  <si>
    <t>Retirada Emerson (emp andrelisa)</t>
  </si>
  <si>
    <t xml:space="preserve">Mentoria - Emerson </t>
  </si>
  <si>
    <t>Grafica Jep - (cartoes/quis )</t>
  </si>
  <si>
    <t>Tinta (impressao mk)</t>
  </si>
  <si>
    <t>Empréstimo - Microkids</t>
  </si>
  <si>
    <t>Contabilidade</t>
  </si>
  <si>
    <t xml:space="preserve">Xp investimentos </t>
  </si>
  <si>
    <t>Mariana - vários documentos que foram feitos</t>
  </si>
  <si>
    <t>Nine Representações - Papeis toalhas</t>
  </si>
  <si>
    <t>Transporte - Van Equipe brasilia (Gold Service)</t>
  </si>
  <si>
    <t>Video - Material Ieda</t>
  </si>
  <si>
    <t>Aluguel - Cowork SP - Wework</t>
  </si>
  <si>
    <t>Imposto - IRPJ e CSLL 09/60 (imposto q devia ter sido pago em maio 2023)</t>
  </si>
  <si>
    <t>Empréstimo - Rafael (compra 50% da guardiao escolar)</t>
  </si>
  <si>
    <t>Retirada Berg  Apto (Lisalba) - 04/10</t>
  </si>
  <si>
    <t>Nucleo de Formação ??</t>
  </si>
  <si>
    <t>Banner - Carlos Metzker</t>
  </si>
  <si>
    <t xml:space="preserve">Van - Equipe brasilia </t>
  </si>
  <si>
    <t>Viagem - Saque emerson SP</t>
  </si>
  <si>
    <t>Retirada Emerson - Unimed cooparticição</t>
  </si>
  <si>
    <t>Viagem - Feira Maranhao (Hosp Andrelisa)</t>
  </si>
  <si>
    <t xml:space="preserve">Papel duro - </t>
  </si>
  <si>
    <t>Retirada Rose (reembolso almoço equipe brasilia)</t>
  </si>
  <si>
    <t>Retirada Kellen (reembolso trafego)</t>
  </si>
  <si>
    <t>Retirada Kellen + aluguel</t>
  </si>
  <si>
    <t>Retirada Rose + aluguel</t>
  </si>
  <si>
    <t>Vendas - Setor privado (Renato) - Taisa</t>
  </si>
  <si>
    <t>Doação - igreja junio (Emerson)</t>
  </si>
  <si>
    <t xml:space="preserve">ISBN </t>
  </si>
  <si>
    <t xml:space="preserve">Energia elétrica - sala 1507 </t>
  </si>
  <si>
    <t>Saque viagem emerson</t>
  </si>
  <si>
    <t>Energia elétrica - sala 1505</t>
  </si>
  <si>
    <t>Video - (equipamento e filmagem) Material Ieda</t>
  </si>
  <si>
    <t>imposto - INSS - diferença</t>
  </si>
  <si>
    <t>Invoke - Mensal Jamil</t>
  </si>
  <si>
    <t>Tc Print - Concerto + tinta impressora etc</t>
  </si>
  <si>
    <t>Doação - Projeto Laura Morena</t>
  </si>
  <si>
    <t>Retirada Berg  Apto (Lisalba) - 05/10</t>
  </si>
  <si>
    <t>Empréstimo - Edgar transito (devolução)</t>
  </si>
  <si>
    <t>Retirada Emerson  (Edgar devolveu na conta PF)</t>
  </si>
  <si>
    <t>Imposto - IRPJ e CSLL 10/60 (imposto q devia ter sido pago em maio 2023)</t>
  </si>
  <si>
    <t>Transf teste</t>
  </si>
  <si>
    <t>Emprestimo - Next Home Imóves (SP) (Vinicius)</t>
  </si>
  <si>
    <t>Emprestimo - Next Home Imóves (SP)</t>
  </si>
  <si>
    <t>Saque em viagem</t>
  </si>
  <si>
    <t>William - software (estados e capitais)</t>
  </si>
  <si>
    <t>William - mensal</t>
  </si>
  <si>
    <t>Retirada Priscila (Mestrado) - Lisalba</t>
  </si>
  <si>
    <t>Empréstimo - Halik (Gefferson)</t>
  </si>
  <si>
    <t>Emprestimo - Next Home Imóves (SP) (devolução)</t>
  </si>
  <si>
    <t>Unimed (coparticipação) (Emerson)</t>
  </si>
  <si>
    <t>Unimed (Emerson)</t>
  </si>
  <si>
    <t>Doação - igreja?? - Reembolso emerson</t>
  </si>
  <si>
    <t xml:space="preserve">Emprestimo - Next Home Imóves (SP) devolvi pra mandar da conta correta </t>
  </si>
  <si>
    <t>Escrtorio Juridico - Belinger</t>
  </si>
  <si>
    <t>Saque para viagem sp</t>
  </si>
  <si>
    <t xml:space="preserve">Video e ediçao plataforma </t>
  </si>
  <si>
    <t>Video - (ediçao) Material Ieda</t>
  </si>
  <si>
    <t>Edp - sala1507</t>
  </si>
  <si>
    <t>Edp - sala 1505</t>
  </si>
  <si>
    <t>Desesenvolvimento de produtos para Bet (Everton) Ton</t>
  </si>
  <si>
    <t>Gráfica Jep - material ieda (bonecas)</t>
  </si>
  <si>
    <t>Doação - Faculdade pastor cristiano</t>
  </si>
  <si>
    <t>Emprestimo - Andrelisa (apto) - retirada enileia</t>
  </si>
  <si>
    <t>Emprestimo - Delio</t>
  </si>
  <si>
    <t>Imposto - Bluepay - NF Invoke</t>
  </si>
  <si>
    <t>Retirada Berg  Apto (Lisalba) - 06/10</t>
  </si>
  <si>
    <t>Investimento - Compra 50% empresa jamil (Invoke) - NF Bluepay</t>
  </si>
  <si>
    <t>Controltech - Imposto de renda socios</t>
  </si>
  <si>
    <t>Viagens = Retirada Enileia</t>
  </si>
  <si>
    <t>Doaçao igreja Junio e Faculdade Pr. Cristiano (Retirada Enileia)</t>
  </si>
  <si>
    <t>Juliana MT (Retirada Enileia)</t>
  </si>
  <si>
    <t>Imposto -sobre rendimento xp</t>
  </si>
  <si>
    <t>Imposto - IRPJ e CSLL 11/60 (imposto q devia ter sido pago em maio 2023)</t>
  </si>
  <si>
    <t>Cartâo de credito - mastercard Emerson</t>
  </si>
  <si>
    <t>Emprestimo - Delio (devolução)</t>
  </si>
  <si>
    <t>Unimed - coparticipação (Emerson)</t>
  </si>
  <si>
    <t>Unimed (Emerson/kellen)</t>
  </si>
  <si>
    <t>Controltech - contabilidade</t>
  </si>
  <si>
    <t>Doação Colegio Cris - Retirada Lisalba (6 meses)</t>
  </si>
  <si>
    <t>Retirada Lisalba (Lis, diagramador e atrio)</t>
  </si>
  <si>
    <t>Investimento - Compra 33%  (software) rafael - imposto (blue pay)</t>
  </si>
  <si>
    <t>Investimento - Compra 50% empresa guardião escolar rafael (imposto) - (blue pay)</t>
  </si>
  <si>
    <t>Investimento - Compra 33% software rafael (blue pay)</t>
  </si>
  <si>
    <t>Investimento - Compra 50% empresa rafael (guardião escolar) (blue pay)</t>
  </si>
  <si>
    <t>Viagem (Renato (rioxbrasilia)</t>
  </si>
  <si>
    <t>Retirada Enileia/Emerson</t>
  </si>
  <si>
    <t>Viagens diversas (Emerson</t>
  </si>
  <si>
    <t>Doação igreja Junio/Faculdade Junio (Emerson)</t>
  </si>
  <si>
    <t>Investimento - Evento prof Heli</t>
  </si>
  <si>
    <t>Vendas - Setor privado (Renato)</t>
  </si>
  <si>
    <t>Henrique Bazoni (projeto Lógica e Programação) - Direitos Autorais futuros</t>
  </si>
  <si>
    <t>Acerto Saulo (reembolso emerson)</t>
  </si>
  <si>
    <t>pagamento ???</t>
  </si>
  <si>
    <t>Pix ??</t>
  </si>
  <si>
    <t>Energia - edp sala 1507</t>
  </si>
  <si>
    <t>Energia - edp</t>
  </si>
  <si>
    <t>Prefeitura ??</t>
  </si>
  <si>
    <t>despesas bancarias - pacote</t>
  </si>
  <si>
    <t>debito???</t>
  </si>
  <si>
    <t>Emprestimo - Andrelisa (apto) (Emerson Camargo)</t>
  </si>
  <si>
    <t>Emerson ???</t>
  </si>
  <si>
    <t>Imposto - IRPJ e CSLL 12/60 (imposto q devia ter sido pago em maio 2023)</t>
  </si>
  <si>
    <t>Emprestimo - next home (juros do periodo usado)</t>
  </si>
  <si>
    <t>Cooffe break sinepe es</t>
  </si>
  <si>
    <t>Emprestimo MK</t>
  </si>
  <si>
    <t>Cartão de credito (viagens e hotel (Lucimara e Renato ES)</t>
  </si>
  <si>
    <t>Cartao de credito mastercard</t>
  </si>
  <si>
    <t>Coffe break - sinepe-ES (2o pagto)</t>
  </si>
  <si>
    <t>Retirada Emerson - Unimed coparticipação</t>
  </si>
  <si>
    <t>Retirada Kellen - Unimed</t>
  </si>
  <si>
    <t>Coffe break - evento segurança brasilia</t>
  </si>
  <si>
    <t>Emprestimo - Andrelisa (apto)</t>
  </si>
  <si>
    <t>Retirada Emerson (mensal e diversos)</t>
  </si>
  <si>
    <t>Vendas - Setor privado (Renato) - creative q pagou</t>
  </si>
  <si>
    <t>Venda - Editora Creative (bluepay)</t>
  </si>
  <si>
    <t>Coffe break - palestra segurança brasilia</t>
  </si>
  <si>
    <t>Lucimara Kherle - setor privado (bluepay creaiive)</t>
  </si>
  <si>
    <t>Investimento - Compra 50% empresa jamil (Invoke)</t>
  </si>
  <si>
    <t>Investimento - Compra 50% empresa rafael (guardião escolar)</t>
  </si>
  <si>
    <t>Hobberson - diagramador (emerson)</t>
  </si>
  <si>
    <t>Emprestimo - Andrelisa (apto) retirada emerson</t>
  </si>
  <si>
    <t>EDP 1506</t>
  </si>
  <si>
    <t>EDP 1505</t>
  </si>
  <si>
    <t>Imposto - Inss</t>
  </si>
  <si>
    <t>Vendas - Creative book</t>
  </si>
  <si>
    <t>Imposto - IRPJ e CSLL 13/60 (imposto q devia ter sido pago em maio 2023)</t>
  </si>
  <si>
    <t>Cartao de crédito mastercard (viagem rioxbrasilia renato)</t>
  </si>
  <si>
    <t>Viagem China (Emerson)</t>
  </si>
  <si>
    <t>Unimed - cooparticipação (retirada emerson)</t>
  </si>
  <si>
    <t>Unimed - cooparticipação (retirada emerson e kellen)</t>
  </si>
  <si>
    <t>Investimento Vinicius (curso controler) reembolso emerson</t>
  </si>
  <si>
    <t>Retirada Lisalba (reembolso emerson)</t>
  </si>
  <si>
    <t>Monica - Consultoria Pedagogica (reembolsar lisalba)</t>
  </si>
  <si>
    <t xml:space="preserve">Laplace </t>
  </si>
  <si>
    <t>Venda Creative (bluepay)</t>
  </si>
  <si>
    <t xml:space="preserve">Lucimara </t>
  </si>
  <si>
    <t xml:space="preserve">Vendas Creative </t>
  </si>
  <si>
    <t>Imposto - dif de icms comput dell</t>
  </si>
  <si>
    <t>Direitos Autorais Emerson</t>
  </si>
  <si>
    <t>Edp - sala 1507</t>
  </si>
  <si>
    <t>Edp - sala 1505 e 1506</t>
  </si>
  <si>
    <t>Inpi - registro marca etc 360</t>
  </si>
  <si>
    <t>Inpi - registro marca projetos etc</t>
  </si>
  <si>
    <t xml:space="preserve">Imposto - inss </t>
  </si>
  <si>
    <t>Banner circuitos</t>
  </si>
  <si>
    <t>Direitos Autorais Enileia</t>
  </si>
  <si>
    <t>Certificado digital emerson etc</t>
  </si>
  <si>
    <t>movimentação bancário</t>
  </si>
  <si>
    <t>Imposto - IRPJ e CSLL 14/60 (imposto q devia ter sido pago em maio 2023)</t>
  </si>
  <si>
    <t>Imposto - Csll - sobre faturamento - base calculo (julho a set</t>
  </si>
  <si>
    <t>Imposto - Irpj - sobre faturamento - base calculo (julho a set)</t>
  </si>
  <si>
    <t>Aluguel - tx de pintura (caução)</t>
  </si>
  <si>
    <t>Aluguel - 3 meses (caução)</t>
  </si>
  <si>
    <t xml:space="preserve">Cartão de credito </t>
  </si>
  <si>
    <t xml:space="preserve">mensal socios </t>
  </si>
  <si>
    <t>Imposto - Cofins (3%) (esse imposto foi pago indevidamente)</t>
  </si>
  <si>
    <t>Empréstimo - Delio (devolução)</t>
  </si>
  <si>
    <t>Investimento Correia Neto - devolução (conta da enileia por ser socia e fechar as contas)</t>
  </si>
  <si>
    <t>Imposto - Pis (0.65%) (esse imposto foi pago indevidamente)</t>
  </si>
  <si>
    <t xml:space="preserve">Juliana MT </t>
  </si>
  <si>
    <t>Retirada Enileia (dinh correia neto)</t>
  </si>
  <si>
    <t>Ofshore - Astrid (Ellen)</t>
  </si>
  <si>
    <t>Investimento Correia Neto - devolução</t>
  </si>
  <si>
    <t>Emprestimo - Devolução Alcides</t>
  </si>
  <si>
    <t xml:space="preserve">Acerto Saulo </t>
  </si>
  <si>
    <t>Retirada Berg  Apto (Lisalba) - 10/10 (100% Berg)</t>
  </si>
  <si>
    <t>Imposto - IRPJ e CSLL 15/60 (imposto q devia ter sido pago em maio 2023)</t>
  </si>
  <si>
    <t>Empréstimo - Marcio Wada (devolução)</t>
  </si>
  <si>
    <t>Empréstimo - Ademar-SP (devolução)</t>
  </si>
  <si>
    <t>Empréstimo - Ieda (devolução)</t>
  </si>
  <si>
    <t>Empréstimo - Rafael (segurança) - devolução</t>
  </si>
  <si>
    <t>Empréstimo - Andrelisa (dev.)</t>
  </si>
  <si>
    <t>Imposto - multa por atraso dct (restituição contabilidade)</t>
  </si>
  <si>
    <t>Ofshore - Astrid (Kellen)</t>
  </si>
  <si>
    <t>Emprestimo - Andrelisa (apto) - devolução</t>
  </si>
  <si>
    <t>Direitos Autorais - Jeffinho (alerta maximo/bullyng)</t>
  </si>
  <si>
    <t>Imposto - IRPJ e CSLL 16/60 (imposto q devia ter sido pago em maio 2023)</t>
  </si>
  <si>
    <t>Imposto - Irpj - sobre faturamento - base calculo out a dez)</t>
  </si>
  <si>
    <t>Offshore - Declaração DBE</t>
  </si>
  <si>
    <t>Offshore - Declaração Astrid</t>
  </si>
  <si>
    <t>Caução wework - são paulo</t>
  </si>
  <si>
    <t>Rótulos de Linha</t>
  </si>
  <si>
    <t>Janeiro</t>
  </si>
  <si>
    <t>Fevereiro</t>
  </si>
  <si>
    <t>Março</t>
  </si>
  <si>
    <t>Abril</t>
  </si>
  <si>
    <t>Maio</t>
  </si>
  <si>
    <t xml:space="preserve"> </t>
  </si>
  <si>
    <t>Junho</t>
  </si>
  <si>
    <t>Julho</t>
  </si>
  <si>
    <t>Agosto</t>
  </si>
  <si>
    <t>Setembro</t>
  </si>
  <si>
    <t>Outubro</t>
  </si>
  <si>
    <t>Novembro</t>
  </si>
  <si>
    <t>Dezembro</t>
  </si>
  <si>
    <t>Reforma</t>
  </si>
  <si>
    <t>Consultoria</t>
  </si>
  <si>
    <t>Bett</t>
  </si>
  <si>
    <t>Apto BERG</t>
  </si>
  <si>
    <t>Juliana MT</t>
  </si>
  <si>
    <t>Marketing</t>
  </si>
  <si>
    <t>Privado</t>
  </si>
  <si>
    <t>Atrio (F1)</t>
  </si>
  <si>
    <t>Rendimento Financeiro</t>
  </si>
  <si>
    <t>Setor Privado</t>
  </si>
  <si>
    <t>Invoke</t>
  </si>
  <si>
    <t>Guardião Escolar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</si>
</sst>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#,##0;[Red]#,##0"/>
    <numFmt numFmtId="165" formatCode="#,##0.00;[Red]#,##0.00"/>
    <numFmt numFmtId="166" formatCode="dd/mm/yy;@"/>
    <numFmt numFmtId="167" formatCode="_-* #,##0.00_-;-* #,##0.00_-;_-* &quot;-&quot;??_-;_-@_-"/>
  </numFmts>
  <fonts count="15" x14ac:knownFonts="1">
    <font>
      <color theme="1"/>
      <family val="2"/>
      <scheme val="minor"/>
      <sz val="11"/>
      <name val="Calibri"/>
    </font>
    <font>
      <color theme="1"/>
      <family val="2"/>
      <scheme val="minor"/>
      <sz val="12"/>
      <name val="Aptos Narrow"/>
    </font>
    <font>
      <color theme="0"/>
      <family val="2"/>
      <scheme val="minor"/>
      <sz val="12"/>
      <name val="Aptos Narrow"/>
    </font>
    <font>
      <color theme="1"/>
      <family val="2"/>
      <scheme val="minor"/>
      <sz val="20"/>
      <name val="Aptos Narrow"/>
    </font>
    <font>
      <b/>
      <color theme="0"/>
      <family val="2"/>
      <scheme val="minor"/>
      <sz val="18"/>
      <name val="Aptos Narrow"/>
    </font>
    <font>
      <b/>
      <color theme="1"/>
      <family val="2"/>
      <scheme val="minor"/>
      <sz val="18"/>
      <name val="Aptos Narrow"/>
    </font>
    <font>
      <b/>
      <color theme="0"/>
      <family val="2"/>
      <sz val="18"/>
      <name val="Agency FB"/>
    </font>
    <font>
      <color theme="1"/>
      <family val="2"/>
      <scheme val="minor"/>
      <sz val="18"/>
      <name val="Aptos Narrow"/>
    </font>
    <font>
      <b/>
      <color theme="0"/>
      <family val="2"/>
      <scheme val="minor"/>
      <sz val="12"/>
      <name val="Aptos Narrow"/>
    </font>
    <font>
      <color theme="1"/>
      <family val="2"/>
      <scheme val="minor"/>
      <sz val="28"/>
      <name val="Aptos Narrow"/>
    </font>
    <font>
      <color rgb="FF000000"/>
      <family val="2"/>
      <scheme val="minor"/>
      <sz val="12"/>
      <name val="Aptos Narrow"/>
    </font>
    <font>
      <b/>
      <color theme="1"/>
      <family val="2"/>
      <scheme val="minor"/>
      <sz val="12"/>
      <name val="Aptos Narrow"/>
    </font>
    <font>
      <color rgb="FF001D35"/>
      <family val="2"/>
      <sz val="14"/>
      <name val="Arial"/>
    </font>
    <font>
      <family val="2"/>
      <sz val="10"/>
      <name val="Arial"/>
    </font>
    <font>
      <b/>
      <color theme="1"/>
      <family val="2"/>
      <scheme val="minor"/>
      <sz val="20"/>
      <name val="Aptos Narrow"/>
    </font>
  </fonts>
  <fills count="13">
    <fill>
      <patternFill patternType="none"/>
    </fill>
    <fill>
      <patternFill patternType="gray125"/>
    </fill>
    <fill>
      <patternFill patternType="solid">
        <fgColor theme="2" tint="-0.0999786370433668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3" tint="0.749992370372631"/>
        <bgColor theme="4" tint="0.7999816888943144"/>
      </patternFill>
    </fill>
    <fill>
      <patternFill patternType="solid">
        <fgColor theme="3" tint="0.8999908444471572"/>
        <bgColor theme="4" tint="0.7999816888943144"/>
      </patternFill>
    </fill>
    <fill>
      <patternFill patternType="solid">
        <fgColor theme="2" tint="-0.0999786370433668"/>
        <bgColor theme="4"/>
      </patternFill>
    </fill>
    <fill>
      <patternFill patternType="solid">
        <fgColor theme="2" tint="-0.0999786370433668"/>
        <bgColor theme="4" tint="0.799981688894314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theme="4" tint="0.7999816888943144"/>
      </patternFill>
    </fill>
  </fills>
  <borders count="9">
    <border>
      <left/>
      <right/>
      <top/>
      <bottom/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/>
      <right/>
      <top style="thin">
        <color theme="4" tint="0.3999755851924192"/>
      </top>
      <bottom style="thin">
        <color theme="4" tint="0.399975585192419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44B3E1"/>
      </left>
      <right/>
      <top style="thin">
        <color rgb="FF44B3E1"/>
      </top>
      <bottom style="thin">
        <color rgb="FF44B3E1"/>
      </bottom>
      <diagonal/>
    </border>
    <border>
      <left/>
      <right/>
      <top style="thin">
        <color rgb="FF44B3E1"/>
      </top>
      <bottom style="thin">
        <color rgb="FF44B3E1"/>
      </bottom>
      <diagonal/>
    </border>
    <border>
      <left style="thin">
        <color rgb="FF44B3E1"/>
      </left>
      <right/>
      <top style="thin">
        <color rgb="FF44B3E1"/>
      </top>
      <bottom/>
      <diagonal/>
    </border>
    <border>
      <left/>
      <right/>
      <top/>
      <bottom style="thin">
        <color theme="4" tint="0.3999755851924192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0" borderId="0" xfId="0" applyFont="1"/>
    <xf numFmtId="0" fontId="4" fillId="3" borderId="1" xfId="0" applyFont="1" applyFill="1" applyBorder="1" applyAlignment="1">
      <alignment horizontal="right"/>
    </xf>
    <xf numFmtId="0" fontId="5" fillId="4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3" fillId="0" borderId="0" xfId="0" applyFont="1" applyAlignment="1">
      <alignment horizontal="left"/>
    </xf>
    <xf numFmtId="164" fontId="3" fillId="0" borderId="0" xfId="0" applyNumberFormat="1" applyFont="1"/>
    <xf numFmtId="0" fontId="6" fillId="3" borderId="2" xfId="0" applyFont="1" applyFill="1" applyBorder="1" applyAlignment="1">
      <alignment horizontal="right"/>
    </xf>
    <xf numFmtId="0" fontId="5" fillId="4" borderId="2" xfId="0" applyFont="1" applyFill="1" applyBorder="1" applyAlignment="1">
      <alignment horizontal="left"/>
    </xf>
    <xf numFmtId="0" fontId="7" fillId="5" borderId="2" xfId="0" applyFont="1" applyFill="1" applyBorder="1" applyAlignment="1">
      <alignment horizontal="left"/>
    </xf>
    <xf numFmtId="0" fontId="1" fillId="4" borderId="2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right"/>
    </xf>
    <xf numFmtId="0" fontId="7" fillId="4" borderId="2" xfId="0" applyFont="1" applyFill="1" applyBorder="1" applyAlignment="1">
      <alignment horizontal="left"/>
    </xf>
    <xf numFmtId="165" fontId="5" fillId="4" borderId="2" xfId="0" applyNumberFormat="1" applyFont="1" applyFill="1" applyBorder="1" applyAlignment="1">
      <alignment horizontal="left"/>
    </xf>
    <xf numFmtId="0" fontId="8" fillId="6" borderId="1" xfId="0" applyFont="1" applyFill="1" applyBorder="1"/>
    <xf numFmtId="0" fontId="8" fillId="6" borderId="2" xfId="0" applyFont="1" applyFill="1" applyBorder="1"/>
    <xf numFmtId="165" fontId="1" fillId="4" borderId="2" xfId="0" applyNumberFormat="1" applyFont="1" applyFill="1" applyBorder="1" applyAlignment="1">
      <alignment horizontal="left"/>
    </xf>
    <xf numFmtId="0" fontId="1" fillId="7" borderId="1" xfId="0" applyFont="1" applyFill="1" applyBorder="1"/>
    <xf numFmtId="0" fontId="1" fillId="7" borderId="2" xfId="0" applyFont="1" applyFill="1" applyBorder="1" applyAlignment="1">
      <alignment horizontal="center"/>
    </xf>
    <xf numFmtId="0" fontId="1" fillId="7" borderId="2" xfId="0" applyFont="1" applyFill="1" applyBorder="1"/>
    <xf numFmtId="165" fontId="1" fillId="7" borderId="2" xfId="0" applyNumberFormat="1" applyFont="1" applyFill="1" applyBorder="1"/>
    <xf numFmtId="165" fontId="1" fillId="7" borderId="2" xfId="0" applyNumberFormat="1" applyFont="1" applyFill="1" applyBorder="1" applyAlignment="1">
      <alignment horizontal="center"/>
    </xf>
    <xf numFmtId="166" fontId="1" fillId="7" borderId="2" xfId="0" applyNumberFormat="1" applyFont="1" applyFill="1" applyBorder="1"/>
    <xf numFmtId="1" fontId="1" fillId="7" borderId="2" xfId="0" applyNumberFormat="1" applyFont="1" applyFill="1" applyBorder="1" applyAlignment="1">
      <alignment horizontal="center"/>
    </xf>
    <xf numFmtId="164" fontId="1" fillId="7" borderId="2" xfId="0" applyNumberFormat="1" applyFont="1" applyFill="1" applyBorder="1" applyAlignment="1">
      <alignment horizontal="center"/>
    </xf>
    <xf numFmtId="166" fontId="7" fillId="4" borderId="2" xfId="0" applyNumberFormat="1" applyFont="1" applyFill="1" applyBorder="1" applyAlignment="1">
      <alignment horizontal="left"/>
    </xf>
    <xf numFmtId="166" fontId="1" fillId="4" borderId="2" xfId="0" applyNumberFormat="1" applyFont="1" applyFill="1" applyBorder="1" applyAlignment="1">
      <alignment horizontal="left"/>
    </xf>
    <xf numFmtId="1" fontId="1" fillId="4" borderId="2" xfId="0" applyNumberFormat="1" applyFont="1" applyFill="1" applyBorder="1" applyAlignment="1">
      <alignment horizontal="left"/>
    </xf>
    <xf numFmtId="0" fontId="9" fillId="2" borderId="3" xfId="0" applyFont="1" applyFill="1" applyBorder="1"/>
    <xf numFmtId="167" fontId="9" fillId="2" borderId="4" xfId="0" applyNumberFormat="1" applyFont="1" applyFill="1" applyBorder="1"/>
    <xf numFmtId="0" fontId="5" fillId="3" borderId="2" xfId="0" applyFont="1" applyFill="1" applyBorder="1" applyAlignment="1">
      <alignment horizontal="right"/>
    </xf>
    <xf numFmtId="1" fontId="7" fillId="4" borderId="2" xfId="0" applyNumberFormat="1" applyFont="1" applyFill="1" applyBorder="1" applyAlignment="1">
      <alignment horizontal="left"/>
    </xf>
    <xf numFmtId="164" fontId="1" fillId="2" borderId="0" xfId="0" applyNumberFormat="1" applyFont="1" applyFill="1"/>
    <xf numFmtId="167" fontId="1" fillId="2" borderId="0" xfId="0" applyNumberFormat="1" applyFont="1" applyFill="1"/>
    <xf numFmtId="167" fontId="2" fillId="2" borderId="0" xfId="0" applyNumberFormat="1" applyFont="1" applyFill="1"/>
    <xf numFmtId="0" fontId="1" fillId="0" borderId="0" xfId="0" applyFont="1" applyAlignment="1">
      <alignment horizontal="center"/>
    </xf>
    <xf numFmtId="167" fontId="1" fillId="0" borderId="0" xfId="0" applyNumberFormat="1" applyFont="1"/>
    <xf numFmtId="165" fontId="1" fillId="0" borderId="0" xfId="0" applyNumberFormat="1" applyFont="1"/>
    <xf numFmtId="165" fontId="1" fillId="0" borderId="0" xfId="0" applyNumberFormat="1" applyFont="1" applyAlignment="1">
      <alignment horizontal="center"/>
    </xf>
    <xf numFmtId="166" fontId="1" fillId="0" borderId="0" xfId="0" applyNumberFormat="1" applyFont="1"/>
    <xf numFmtId="1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165" fontId="1" fillId="8" borderId="0" xfId="0" applyNumberFormat="1" applyFont="1" applyFill="1"/>
    <xf numFmtId="0" fontId="10" fillId="0" borderId="0" xfId="0" applyFont="1"/>
    <xf numFmtId="16" fontId="1" fillId="0" borderId="0" xfId="0" applyNumberFormat="1" applyFont="1"/>
    <xf numFmtId="0" fontId="1" fillId="0" borderId="5" xfId="0" applyFont="1" applyBorder="1"/>
    <xf numFmtId="165" fontId="11" fillId="0" borderId="0" xfId="0" applyNumberFormat="1" applyFont="1" applyAlignment="1">
      <alignment horizontal="center"/>
    </xf>
    <xf numFmtId="0" fontId="10" fillId="9" borderId="0" xfId="0" applyFont="1" applyFill="1"/>
    <xf numFmtId="0" fontId="10" fillId="9" borderId="0" xfId="0" applyFont="1" applyFill="1" applyAlignment="1">
      <alignment horizontal="center"/>
    </xf>
    <xf numFmtId="165" fontId="10" fillId="9" borderId="0" xfId="0" applyNumberFormat="1" applyFont="1" applyFill="1"/>
    <xf numFmtId="165" fontId="10" fillId="9" borderId="0" xfId="0" applyNumberFormat="1" applyFont="1" applyFill="1" applyAlignment="1">
      <alignment horizontal="center"/>
    </xf>
    <xf numFmtId="166" fontId="10" fillId="9" borderId="0" xfId="0" applyNumberFormat="1" applyFont="1" applyFill="1"/>
    <xf numFmtId="165" fontId="1" fillId="0" borderId="6" xfId="0" applyNumberFormat="1" applyFont="1" applyBorder="1" applyAlignment="1">
      <alignment horizontal="center"/>
    </xf>
    <xf numFmtId="166" fontId="1" fillId="0" borderId="6" xfId="0" applyNumberFormat="1" applyFont="1" applyBorder="1"/>
    <xf numFmtId="0" fontId="12" fillId="0" borderId="0" xfId="0" applyFont="1" applyAlignment="1">
      <alignment horizontal="center"/>
    </xf>
    <xf numFmtId="0" fontId="1" fillId="0" borderId="7" xfId="0" applyFont="1" applyBorder="1"/>
    <xf numFmtId="0" fontId="1" fillId="0" borderId="0" xfId="0" applyFont="1"/>
    <xf numFmtId="1" fontId="1" fillId="0" borderId="0" xfId="0" applyNumberFormat="1" applyFont="1" applyAlignment="1">
      <alignment horizontal="left"/>
    </xf>
    <xf numFmtId="166" fontId="1" fillId="0" borderId="0" xfId="0" applyNumberFormat="1" applyFont="1" applyAlignment="1">
      <alignment horizontal="left"/>
    </xf>
    <xf numFmtId="0" fontId="13" fillId="0" borderId="0" xfId="0" applyFont="1"/>
    <xf numFmtId="0" fontId="13" fillId="10" borderId="0" xfId="0" applyFont="1" applyFill="1"/>
    <xf numFmtId="0" fontId="13" fillId="11" borderId="0" xfId="0" applyFont="1" applyFill="1"/>
    <xf numFmtId="0" fontId="14" fillId="12" borderId="8" xfId="0" applyFont="1" applyFill="1" applyBorder="1"/>
    <xf numFmtId="0" fontId="3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6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2.xml"/><Relationship Id="rId8" Type="http://schemas.openxmlformats.org/officeDocument/2006/relationships/worksheet" Target="worksheets/sheet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name="Tabela3" displayName="Tabela3" ref="A2:O1718" totalsRowShown="1" headerRowCount="0">
  <autoFilter ref="A2:O1718">
    <filterColumn colId="0" hiddenButton="1"/>
    <filterColumn colId="1" hiddenButton="1"/>
    <filterColumn colId="2" hiddenButton="1"/>
  </autoFilter>
  <tableColumns count="3">
    <tableColumn id="1" name="Descrição"/>
    <tableColumn id="2" name="Código"/>
    <tableColumn id="3" name="Centro de Cus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table" Target="../tables/table1.xml"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4F4D6"/>
  </sheetPr>
  <dimension ref="A2:K45"/>
  <sheetViews>
    <sheetView workbookViewId="0" zoomScale="242" zoomScaleNormal="100">
      <selection activeCell="B29" sqref="B29"/>
    </sheetView>
  </sheetViews>
  <sheetFormatPr defaultRowHeight="12.75" outlineLevelRow="0" outlineLevelCol="0" x14ac:dyDescent="0.2" defaultColWidth="10.875" customHeight="1"/>
  <cols>
    <col min="1" max="1" width="10.875" style="62" customWidth="1"/>
    <col min="2" max="2" width="20.875" style="62" customWidth="1"/>
    <col min="3" max="16384" width="10.875" style="62" customWidth="1"/>
  </cols>
  <sheetData>
    <row r="2" ht="15.75" customHeight="1" spans="1:11" x14ac:dyDescent="0.25">
      <c r="A2" s="63">
        <v>1</v>
      </c>
      <c r="B2" s="63" t="s">
        <v>6</v>
      </c>
      <c r="J2">
        <v>1</v>
      </c>
      <c r="K2" t="s">
        <v>641</v>
      </c>
    </row>
    <row r="3" ht="15.75" customHeight="1" spans="1:11" x14ac:dyDescent="0.25">
      <c r="A3" s="63">
        <v>2</v>
      </c>
      <c r="B3" s="63" t="s">
        <v>4</v>
      </c>
      <c r="J3">
        <v>2</v>
      </c>
      <c r="K3" t="s">
        <v>642</v>
      </c>
    </row>
    <row r="4" ht="15.75" customHeight="1" spans="1:11" x14ac:dyDescent="0.25">
      <c r="A4" s="63">
        <v>3</v>
      </c>
      <c r="B4" s="63" t="s">
        <v>30</v>
      </c>
      <c r="J4">
        <v>3</v>
      </c>
      <c r="K4" t="s">
        <v>643</v>
      </c>
    </row>
    <row r="5" ht="15.75" customHeight="1" spans="1:11" x14ac:dyDescent="0.25">
      <c r="A5" s="63">
        <v>4</v>
      </c>
      <c r="B5" s="63" t="s">
        <v>654</v>
      </c>
      <c r="J5">
        <v>4</v>
      </c>
      <c r="K5" t="s">
        <v>644</v>
      </c>
    </row>
    <row r="6" ht="15.75" customHeight="1" spans="1:11" x14ac:dyDescent="0.25">
      <c r="A6" s="63">
        <v>5</v>
      </c>
      <c r="B6" s="63" t="s">
        <v>655</v>
      </c>
      <c r="J6">
        <v>5</v>
      </c>
      <c r="K6" t="s">
        <v>645</v>
      </c>
    </row>
    <row r="7" ht="15.75" customHeight="1" spans="1:11" x14ac:dyDescent="0.25">
      <c r="A7" s="64">
        <v>10</v>
      </c>
      <c r="B7" s="64" t="s">
        <v>8</v>
      </c>
      <c r="J7">
        <v>6</v>
      </c>
      <c r="K7" t="s">
        <v>647</v>
      </c>
    </row>
    <row r="8" ht="15.75" customHeight="1" spans="1:11" x14ac:dyDescent="0.25">
      <c r="A8" s="64">
        <v>11</v>
      </c>
      <c r="B8" s="64" t="s">
        <v>19</v>
      </c>
      <c r="J8">
        <v>7</v>
      </c>
      <c r="K8" t="s">
        <v>648</v>
      </c>
    </row>
    <row r="9" ht="15.75" customHeight="1" spans="1:11" x14ac:dyDescent="0.25">
      <c r="A9" s="64">
        <v>12</v>
      </c>
      <c r="B9" s="64" t="s">
        <v>25</v>
      </c>
      <c r="J9">
        <v>8</v>
      </c>
      <c r="K9" t="s">
        <v>649</v>
      </c>
    </row>
    <row r="10" ht="15.75" customHeight="1" spans="1:11" x14ac:dyDescent="0.25">
      <c r="A10" s="64">
        <v>13</v>
      </c>
      <c r="B10" s="64" t="s">
        <v>17</v>
      </c>
      <c r="J10">
        <v>9</v>
      </c>
      <c r="K10" t="s">
        <v>650</v>
      </c>
    </row>
    <row r="11" ht="15.75" customHeight="1" spans="1:11" x14ac:dyDescent="0.25">
      <c r="A11" s="64">
        <v>14</v>
      </c>
      <c r="B11" s="64" t="s">
        <v>18</v>
      </c>
      <c r="J11">
        <v>10</v>
      </c>
      <c r="K11" t="s">
        <v>651</v>
      </c>
    </row>
    <row r="12" ht="15.75" customHeight="1" spans="1:11" x14ac:dyDescent="0.25">
      <c r="A12" s="64">
        <v>15</v>
      </c>
      <c r="B12" s="64" t="s">
        <v>29</v>
      </c>
      <c r="J12">
        <v>11</v>
      </c>
      <c r="K12" t="s">
        <v>652</v>
      </c>
    </row>
    <row r="13" ht="15.75" customHeight="1" spans="1:11" x14ac:dyDescent="0.25">
      <c r="A13" s="64">
        <v>16</v>
      </c>
      <c r="B13" s="64" t="s">
        <v>28</v>
      </c>
      <c r="J13">
        <v>12</v>
      </c>
      <c r="K13" t="s">
        <v>653</v>
      </c>
    </row>
    <row r="14" spans="1:2" x14ac:dyDescent="0.25">
      <c r="A14" s="64">
        <v>17</v>
      </c>
      <c r="B14" s="64" t="s">
        <v>31</v>
      </c>
    </row>
    <row r="15" spans="1:2" x14ac:dyDescent="0.25">
      <c r="A15" s="64">
        <v>18</v>
      </c>
      <c r="B15" s="64" t="s">
        <v>656</v>
      </c>
    </row>
    <row r="16" spans="1:2" x14ac:dyDescent="0.25">
      <c r="A16" s="64">
        <v>19</v>
      </c>
      <c r="B16" s="64" t="s">
        <v>657</v>
      </c>
    </row>
    <row r="17" spans="1:2" x14ac:dyDescent="0.25">
      <c r="A17" s="63">
        <v>20</v>
      </c>
      <c r="B17" s="63" t="s">
        <v>20</v>
      </c>
    </row>
    <row r="18" spans="1:2" x14ac:dyDescent="0.25">
      <c r="A18" s="63">
        <v>21</v>
      </c>
      <c r="B18" s="63" t="s">
        <v>658</v>
      </c>
    </row>
    <row r="19" spans="1:2" x14ac:dyDescent="0.25">
      <c r="A19" s="63">
        <v>22</v>
      </c>
      <c r="B19" s="63" t="s">
        <v>27</v>
      </c>
    </row>
    <row r="20" spans="1:2" x14ac:dyDescent="0.25">
      <c r="A20" s="64">
        <v>30</v>
      </c>
      <c r="B20" s="64" t="s">
        <v>24</v>
      </c>
    </row>
    <row r="21" spans="1:2" x14ac:dyDescent="0.25">
      <c r="A21" s="64">
        <v>31</v>
      </c>
      <c r="B21" s="64" t="s">
        <v>659</v>
      </c>
    </row>
    <row r="22" spans="1:2" x14ac:dyDescent="0.25">
      <c r="A22" s="64">
        <v>32</v>
      </c>
      <c r="B22" s="64" t="s">
        <v>660</v>
      </c>
    </row>
    <row r="23" spans="1:2" x14ac:dyDescent="0.25">
      <c r="A23" s="64">
        <v>33</v>
      </c>
      <c r="B23" s="64" t="s">
        <v>661</v>
      </c>
    </row>
    <row r="24" spans="1:2" x14ac:dyDescent="0.25">
      <c r="A24" s="63">
        <v>40</v>
      </c>
      <c r="B24" s="63" t="s">
        <v>21</v>
      </c>
    </row>
    <row r="25" spans="1:2" x14ac:dyDescent="0.25">
      <c r="A25" s="63">
        <v>41</v>
      </c>
      <c r="B25" s="63" t="s">
        <v>22</v>
      </c>
    </row>
    <row r="26" spans="1:2" x14ac:dyDescent="0.25">
      <c r="A26" s="63">
        <v>42</v>
      </c>
      <c r="B26" s="63" t="s">
        <v>662</v>
      </c>
    </row>
    <row r="27" spans="1:2" x14ac:dyDescent="0.25">
      <c r="A27" s="63">
        <v>43</v>
      </c>
      <c r="B27" s="63" t="s">
        <v>663</v>
      </c>
    </row>
    <row r="28" spans="1:2" x14ac:dyDescent="0.25">
      <c r="A28" s="64">
        <v>50</v>
      </c>
      <c r="B28" s="64" t="s">
        <v>23</v>
      </c>
    </row>
    <row r="29" spans="1:2" x14ac:dyDescent="0.25">
      <c r="A29" s="64">
        <v>51</v>
      </c>
      <c r="B29" s="64" t="s">
        <v>664</v>
      </c>
    </row>
    <row r="30" spans="1:2" x14ac:dyDescent="0.25">
      <c r="A30" s="64">
        <v>52</v>
      </c>
      <c r="B30" s="64" t="s">
        <v>665</v>
      </c>
    </row>
    <row r="31" spans="1:2" x14ac:dyDescent="0.25">
      <c r="A31" s="64"/>
      <c r="B31" s="64"/>
    </row>
    <row r="32" spans="1:2" x14ac:dyDescent="0.25">
      <c r="A32" s="64"/>
      <c r="B32" s="64"/>
    </row>
    <row r="33" spans="1:2" x14ac:dyDescent="0.25">
      <c r="A33" s="64"/>
      <c r="B33" s="64"/>
    </row>
    <row r="34" spans="1:2" x14ac:dyDescent="0.25">
      <c r="A34" s="64"/>
      <c r="B34" s="64"/>
    </row>
    <row r="35" spans="1:2" x14ac:dyDescent="0.25">
      <c r="A35" s="64"/>
      <c r="B35" s="64"/>
    </row>
    <row r="36" spans="1:2" x14ac:dyDescent="0.25">
      <c r="A36" s="64"/>
      <c r="B36" s="64"/>
    </row>
    <row r="37" spans="1:2" x14ac:dyDescent="0.25">
      <c r="A37" s="64"/>
      <c r="B37" s="64"/>
    </row>
    <row r="38" spans="1:2" x14ac:dyDescent="0.25">
      <c r="A38" s="64"/>
      <c r="B38" s="64"/>
    </row>
    <row r="39" spans="1:2" x14ac:dyDescent="0.25">
      <c r="A39" s="64"/>
      <c r="B39" s="64"/>
    </row>
    <row r="40" spans="1:2" x14ac:dyDescent="0.25">
      <c r="A40" s="64"/>
      <c r="B40" s="64"/>
    </row>
    <row r="41" spans="1:2" x14ac:dyDescent="0.25">
      <c r="A41" s="64"/>
      <c r="B41" s="64"/>
    </row>
    <row r="42" spans="1:2" x14ac:dyDescent="0.25">
      <c r="A42" s="64"/>
      <c r="B42" s="64"/>
    </row>
    <row r="43" spans="1:2" x14ac:dyDescent="0.25">
      <c r="A43" s="64"/>
      <c r="B43" s="64"/>
    </row>
    <row r="44" spans="1:2" x14ac:dyDescent="0.25">
      <c r="A44" s="64"/>
      <c r="B44" s="64"/>
    </row>
    <row r="45" spans="1:2" x14ac:dyDescent="0.25">
      <c r="A45" s="64"/>
      <c r="B45" s="64"/>
    </row>
  </sheetData>
  <pageMargins left="0.511811024" right="0.511811024" top="0.787401575" bottom="0.787401575" header="0.31496062" footer="0.31496062"/>
  <pageSetup paperSize="9" orientation="portrait" horizontalDpi="0" verticalDpi="0" scale="100" fitToWidth="1" fitToHeight="1" firstPageNumber="1" useFirstPageNumber="1" copies="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7999816888943144"/>
  </sheetPr>
  <dimension ref="A1:V1718"/>
  <sheetViews>
    <sheetView workbookViewId="0" zoomScale="85" zoomScaleNormal="85">
      <pane ySplit="2" topLeftCell="A1122" activePane="bottomLeft" state="frozen"/>
      <selection pane="bottomLeft" activeCell="K1126" sqref="K1126"/>
    </sheetView>
  </sheetViews>
  <sheetFormatPr defaultRowHeight="15.75" outlineLevelRow="0" outlineLevelCol="0" x14ac:dyDescent="0.25" defaultColWidth="11" customHeight="1"/>
  <cols>
    <col min="1" max="1" width="43.875" customWidth="1"/>
    <col min="2" max="2" width="9.375" customWidth="1"/>
    <col min="3" max="3" width="14" customWidth="1"/>
    <col min="4" max="4" width="8.625" customWidth="1"/>
    <col min="5" max="5" width="13.125" customWidth="1"/>
    <col min="6" max="6" width="5.5" customWidth="1"/>
    <col min="7" max="7" width="9.125" customWidth="1"/>
    <col min="8" max="8" width="6.625" hidden="1" customWidth="1"/>
    <col min="9" max="9" width="9.5" hidden="1" customWidth="1"/>
    <col min="10" max="10" width="8.5" hidden="1" customWidth="1"/>
    <col min="11" max="11" width="14.375" customWidth="1"/>
    <col min="12" max="14" width="12.625" customWidth="1"/>
    <col min="15" max="15" width="19.625" customWidth="1"/>
    <col min="16" max="20" width="12.625" customWidth="1"/>
    <col min="22" max="22" width="18.375" customWidth="1"/>
  </cols>
  <sheetData>
    <row r="1" ht="36" customHeight="1" spans="1:22" x14ac:dyDescent="0.25">
      <c r="A1" s="37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V1" s="38" t="s">
        <v>35</v>
      </c>
    </row>
    <row r="2" spans="1:15" x14ac:dyDescent="0.25">
      <c r="A2" t="s">
        <v>2</v>
      </c>
      <c r="B2" t="s">
        <v>11</v>
      </c>
      <c r="C2" t="s">
        <v>0</v>
      </c>
      <c r="D2" t="s">
        <v>7</v>
      </c>
      <c r="E2" t="s">
        <v>9</v>
      </c>
      <c r="F2" t="s">
        <v>12</v>
      </c>
      <c r="G2" t="s">
        <v>13</v>
      </c>
      <c r="H2" t="s">
        <v>14</v>
      </c>
      <c r="I2" t="s">
        <v>15</v>
      </c>
      <c r="J2" t="s">
        <v>16</v>
      </c>
      <c r="K2" t="s">
        <v>36</v>
      </c>
      <c r="L2" t="s">
        <v>37</v>
      </c>
      <c r="M2" t="s">
        <v>38</v>
      </c>
      <c r="N2" t="s">
        <v>39</v>
      </c>
      <c r="O2" t="s">
        <v>40</v>
      </c>
    </row>
    <row r="3" spans="1:22" x14ac:dyDescent="0.25">
      <c r="A3" t="s">
        <v>41</v>
      </c>
      <c r="B3" s="37">
        <v>2</v>
      </c>
      <c r="C3" t="str">
        <f>_xlfn.XLOOKUP(B3,'Centro de Custo'!A$2:A$45,'Centro de Custo'!B$2:B$45)</f>
        <v>Outras Receitas</v>
      </c>
      <c r="E3" s="39">
        <v>39600</v>
      </c>
      <c r="F3" s="40" t="s">
        <v>10</v>
      </c>
      <c r="G3" s="41">
        <v>45001</v>
      </c>
      <c r="H3" s="42">
        <f>YEAR(Tabela3[[#This Row],[Data]])</f>
        <v>2023</v>
      </c>
      <c r="I3" s="42" t="str">
        <f>_xlfn.XLOOKUP(J3,'Centro de Custo'!J$2:J$13,'Centro de Custo'!K$2:K$13)</f>
        <v>Março</v>
      </c>
      <c r="J3" s="43">
        <f>MONTH(Tabela3[[#This Row],[Data]])</f>
        <v>3</v>
      </c>
      <c r="K3" s="39">
        <f>SUM(E$3:Tabela3[[#This Row],[Valor]])</f>
        <v>39600</v>
      </c>
      <c r="L3" s="40">
        <f t="shared" ref="L3:L66" si="0">17.79/8</f>
        <v>2.22375</v>
      </c>
      <c r="M3" s="40"/>
      <c r="N3" s="40"/>
      <c r="O3" s="40"/>
      <c r="P3" s="39"/>
      <c r="Q3" s="39"/>
      <c r="R3" s="39"/>
      <c r="S3" s="39"/>
      <c r="T3" s="39"/>
      <c r="V3">
        <f>IF(Tabela3[[#This Row],[Pago]]&lt;&gt;"",IF(F4="",Tabela3[[#This Row],[Saldo]],0))</f>
        <v>0</v>
      </c>
    </row>
    <row r="4" spans="1:22" x14ac:dyDescent="0.25">
      <c r="A4" t="s">
        <v>42</v>
      </c>
      <c r="B4" s="37">
        <v>2</v>
      </c>
      <c r="C4" t="str">
        <f>_xlfn.XLOOKUP(B4,'Centro de Custo'!A$2:A$45,'Centro de Custo'!B$2:B$45)</f>
        <v>Outras Receitas</v>
      </c>
      <c r="E4" s="39">
        <v>39600</v>
      </c>
      <c r="F4" s="40" t="s">
        <v>10</v>
      </c>
      <c r="G4" s="41">
        <v>45008</v>
      </c>
      <c r="H4" s="42">
        <f>YEAR(Tabela3[[#This Row],[Data]])</f>
        <v>2023</v>
      </c>
      <c r="I4" s="42" t="str">
        <f>_xlfn.XLOOKUP(J4,'Centro de Custo'!J$2:J$13,'Centro de Custo'!K$2:K$13)</f>
        <v>Março</v>
      </c>
      <c r="J4" s="43">
        <f>MONTH(Tabela3[[#This Row],[Data]])</f>
        <v>3</v>
      </c>
      <c r="K4" s="39">
        <f>SUM(E$3:Tabela3[[#This Row],[Valor]])</f>
        <v>79200</v>
      </c>
      <c r="L4" s="40">
        <f t="shared" si="0"/>
        <v>2.22375</v>
      </c>
      <c r="M4" s="40"/>
      <c r="N4" s="40"/>
      <c r="O4" s="40"/>
      <c r="P4" s="39"/>
      <c r="Q4" s="39"/>
      <c r="R4" s="39"/>
      <c r="S4" s="39"/>
      <c r="T4" s="39"/>
      <c r="V4">
        <f>IF(Tabela3[[#This Row],[Pago]]&lt;&gt;"",IF(F5="",Tabela3[[#This Row],[Saldo]],0))</f>
        <v>0</v>
      </c>
    </row>
    <row r="5" spans="1:22" x14ac:dyDescent="0.25">
      <c r="A5" t="s">
        <v>43</v>
      </c>
      <c r="B5" s="37">
        <v>2</v>
      </c>
      <c r="C5" t="str">
        <f>_xlfn.XLOOKUP(B5,'Centro de Custo'!A$2:A$45,'Centro de Custo'!B$2:B$45)</f>
        <v>Outras Receitas</v>
      </c>
      <c r="E5" s="39">
        <v>27000</v>
      </c>
      <c r="F5" s="40" t="s">
        <v>10</v>
      </c>
      <c r="G5" s="41">
        <v>45008</v>
      </c>
      <c r="H5" s="42">
        <f>YEAR(Tabela3[[#This Row],[Data]])</f>
        <v>2023</v>
      </c>
      <c r="I5" s="42" t="str">
        <f>_xlfn.XLOOKUP(J5,'Centro de Custo'!J$2:J$13,'Centro de Custo'!K$2:K$13)</f>
        <v>Março</v>
      </c>
      <c r="J5" s="43">
        <f>MONTH(Tabela3[[#This Row],[Data]])</f>
        <v>3</v>
      </c>
      <c r="K5" s="39">
        <f>SUM(E$3:Tabela3[[#This Row],[Valor]])</f>
        <v>106200</v>
      </c>
      <c r="L5" s="40">
        <f t="shared" si="0"/>
        <v>2.22375</v>
      </c>
      <c r="M5" s="40"/>
      <c r="N5" s="40"/>
      <c r="O5" s="40"/>
      <c r="P5" s="39"/>
      <c r="Q5" s="39"/>
      <c r="R5" s="39"/>
      <c r="S5" s="39"/>
      <c r="T5" s="39"/>
      <c r="V5">
        <f>IF(Tabela3[[#This Row],[Pago]]&lt;&gt;"",IF(F6="",Tabela3[[#This Row],[Saldo]],0))</f>
        <v>0</v>
      </c>
    </row>
    <row r="6" spans="1:22" x14ac:dyDescent="0.25">
      <c r="A6" t="s">
        <v>44</v>
      </c>
      <c r="B6" s="37">
        <v>2</v>
      </c>
      <c r="C6" t="str">
        <f>_xlfn.XLOOKUP(B6,'Centro de Custo'!A$2:A$45,'Centro de Custo'!B$2:B$45)</f>
        <v>Outras Receitas</v>
      </c>
      <c r="E6" s="39">
        <v>27000</v>
      </c>
      <c r="F6" s="40" t="s">
        <v>10</v>
      </c>
      <c r="G6" s="41">
        <v>45009</v>
      </c>
      <c r="H6" s="42">
        <f>YEAR(Tabela3[[#This Row],[Data]])</f>
        <v>2023</v>
      </c>
      <c r="I6" s="42" t="str">
        <f>_xlfn.XLOOKUP(J6,'Centro de Custo'!J$2:J$13,'Centro de Custo'!K$2:K$13)</f>
        <v>Março</v>
      </c>
      <c r="J6" s="43">
        <f>MONTH(Tabela3[[#This Row],[Data]])</f>
        <v>3</v>
      </c>
      <c r="K6" s="39">
        <f>SUM(E$3:Tabela3[[#This Row],[Valor]])</f>
        <v>133200</v>
      </c>
      <c r="L6" s="40">
        <f t="shared" si="0"/>
        <v>2.22375</v>
      </c>
      <c r="M6" s="40"/>
      <c r="N6" s="40"/>
      <c r="O6" s="40"/>
      <c r="P6" s="39"/>
      <c r="Q6" s="39"/>
      <c r="R6" s="39"/>
      <c r="S6" s="39"/>
      <c r="T6" s="39"/>
      <c r="V6">
        <f>IF(Tabela3[[#This Row],[Pago]]&lt;&gt;"",IF(F7="",Tabela3[[#This Row],[Saldo]],0))</f>
        <v>0</v>
      </c>
    </row>
    <row r="7" spans="1:22" x14ac:dyDescent="0.25">
      <c r="A7" t="s">
        <v>45</v>
      </c>
      <c r="B7" s="37">
        <v>20</v>
      </c>
      <c r="C7" t="str">
        <f>_xlfn.XLOOKUP(B7,'Centro de Custo'!A$2:A$45,'Centro de Custo'!B$2:B$45)</f>
        <v>Desp. ADM</v>
      </c>
      <c r="E7" s="39">
        <v>-25.85</v>
      </c>
      <c r="F7" s="40" t="s">
        <v>10</v>
      </c>
      <c r="G7" s="41">
        <v>45012</v>
      </c>
      <c r="H7" s="42">
        <f>YEAR(Tabela3[[#This Row],[Data]])</f>
        <v>2023</v>
      </c>
      <c r="I7" s="42" t="str">
        <f>_xlfn.XLOOKUP(J7,'Centro de Custo'!J$2:J$13,'Centro de Custo'!K$2:K$13)</f>
        <v>Março</v>
      </c>
      <c r="J7" s="43">
        <f>MONTH(Tabela3[[#This Row],[Data]])</f>
        <v>3</v>
      </c>
      <c r="K7" s="39">
        <f>SUM(E$3:Tabela3[[#This Row],[Valor]])</f>
        <v>133174.15</v>
      </c>
      <c r="L7" s="40">
        <f t="shared" si="0"/>
        <v>2.22375</v>
      </c>
      <c r="M7" s="40"/>
      <c r="N7" s="40"/>
      <c r="O7" s="40"/>
      <c r="P7" s="39"/>
      <c r="Q7" s="39"/>
      <c r="R7" s="39"/>
      <c r="S7" s="39"/>
      <c r="T7" s="39"/>
      <c r="V7">
        <f>IF(Tabela3[[#This Row],[Pago]]&lt;&gt;"",IF(F8="",Tabela3[[#This Row],[Saldo]],0))</f>
        <v>0</v>
      </c>
    </row>
    <row r="8" spans="1:22" x14ac:dyDescent="0.25">
      <c r="A8" t="s">
        <v>46</v>
      </c>
      <c r="B8" s="37">
        <v>2</v>
      </c>
      <c r="C8" t="str">
        <f>_xlfn.XLOOKUP(B8,'Centro de Custo'!A$2:A$45,'Centro de Custo'!B$2:B$45)</f>
        <v>Outras Receitas</v>
      </c>
      <c r="E8" s="39">
        <v>25200</v>
      </c>
      <c r="F8" s="40" t="s">
        <v>10</v>
      </c>
      <c r="G8" s="41">
        <v>45013</v>
      </c>
      <c r="H8" s="42">
        <f>YEAR(Tabela3[[#This Row],[Data]])</f>
        <v>2023</v>
      </c>
      <c r="I8" s="42" t="str">
        <f>_xlfn.XLOOKUP(J8,'Centro de Custo'!J$2:J$13,'Centro de Custo'!K$2:K$13)</f>
        <v>Março</v>
      </c>
      <c r="J8" s="43">
        <f>MONTH(Tabela3[[#This Row],[Data]])</f>
        <v>3</v>
      </c>
      <c r="K8" s="39">
        <f>SUM(E$3:Tabela3[[#This Row],[Valor]])</f>
        <v>158374.15</v>
      </c>
      <c r="L8" s="40">
        <f t="shared" si="0"/>
        <v>2.22375</v>
      </c>
      <c r="M8" s="40"/>
      <c r="N8" s="40"/>
      <c r="O8" s="40"/>
      <c r="P8" s="39"/>
      <c r="Q8" s="39"/>
      <c r="R8" s="39"/>
      <c r="S8" s="39"/>
      <c r="T8" s="39"/>
      <c r="V8">
        <f>IF(Tabela3[[#This Row],[Pago]]&lt;&gt;"",IF(F9="",Tabela3[[#This Row],[Saldo]],0))</f>
        <v>0</v>
      </c>
    </row>
    <row r="9" spans="1:22" x14ac:dyDescent="0.25">
      <c r="A9" t="s">
        <v>47</v>
      </c>
      <c r="B9" s="37">
        <v>2</v>
      </c>
      <c r="C9" t="str">
        <f>_xlfn.XLOOKUP(B9,'Centro de Custo'!A$2:A$45,'Centro de Custo'!B$2:B$45)</f>
        <v>Outras Receitas</v>
      </c>
      <c r="E9" s="39">
        <v>21600</v>
      </c>
      <c r="F9" s="40" t="s">
        <v>10</v>
      </c>
      <c r="G9" s="41">
        <v>45020</v>
      </c>
      <c r="H9" s="42">
        <f>YEAR(Tabela3[[#This Row],[Data]])</f>
        <v>2023</v>
      </c>
      <c r="I9" s="42" t="str">
        <f>_xlfn.XLOOKUP(J9,'Centro de Custo'!J$2:J$13,'Centro de Custo'!K$2:K$13)</f>
        <v>Abril</v>
      </c>
      <c r="J9" s="43">
        <f>MONTH(Tabela3[[#This Row],[Data]])</f>
        <v>4</v>
      </c>
      <c r="K9" s="39">
        <f>SUM(E$3:Tabela3[[#This Row],[Valor]])</f>
        <v>179974.15</v>
      </c>
      <c r="L9" s="40">
        <f t="shared" si="0"/>
        <v>2.22375</v>
      </c>
      <c r="M9" s="40"/>
      <c r="N9" s="40"/>
      <c r="O9" s="40"/>
      <c r="P9" s="39"/>
      <c r="Q9" s="39"/>
      <c r="R9" s="39"/>
      <c r="S9" s="39"/>
      <c r="T9" s="39"/>
      <c r="V9">
        <f>IF(Tabela3[[#This Row],[Pago]]&lt;&gt;"",IF(F10="",Tabela3[[#This Row],[Saldo]],0))</f>
        <v>0</v>
      </c>
    </row>
    <row r="10" spans="1:22" x14ac:dyDescent="0.25">
      <c r="A10" t="s">
        <v>48</v>
      </c>
      <c r="B10" s="37">
        <v>30</v>
      </c>
      <c r="C10" t="str">
        <f>_xlfn.XLOOKUP(B10,'Centro de Custo'!A$2:A$45,'Centro de Custo'!B$2:B$45)</f>
        <v>Impostos</v>
      </c>
      <c r="E10" s="39">
        <v>-79.65</v>
      </c>
      <c r="F10" s="40" t="s">
        <v>10</v>
      </c>
      <c r="G10" s="41">
        <v>45026</v>
      </c>
      <c r="H10" s="42">
        <f>YEAR(Tabela3[[#This Row],[Data]])</f>
        <v>2023</v>
      </c>
      <c r="I10" s="42" t="str">
        <f>_xlfn.XLOOKUP(J10,'Centro de Custo'!J$2:J$13,'Centro de Custo'!K$2:K$13)</f>
        <v>Abril</v>
      </c>
      <c r="J10" s="43">
        <f>MONTH(Tabela3[[#This Row],[Data]])</f>
        <v>4</v>
      </c>
      <c r="K10" s="39">
        <f>SUM(E$3:Tabela3[[#This Row],[Valor]])</f>
        <v>179894.5</v>
      </c>
      <c r="L10" s="40">
        <f t="shared" si="0"/>
        <v>2.22375</v>
      </c>
      <c r="M10" s="40"/>
      <c r="N10" s="40"/>
      <c r="O10" s="40"/>
      <c r="P10" s="39"/>
      <c r="Q10" s="39"/>
      <c r="R10" s="39"/>
      <c r="S10" s="39"/>
      <c r="T10" s="39"/>
      <c r="V10">
        <f>IF(Tabela3[[#This Row],[Pago]]&lt;&gt;"",IF(F11="",Tabela3[[#This Row],[Saldo]],0))</f>
        <v>0</v>
      </c>
    </row>
    <row r="11" spans="1:22" x14ac:dyDescent="0.25">
      <c r="A11" t="s">
        <v>49</v>
      </c>
      <c r="B11" s="37">
        <v>3</v>
      </c>
      <c r="C11" t="str">
        <f>_xlfn.XLOOKUP(B11,'Centro de Custo'!A$2:A$45,'Centro de Custo'!B$2:B$45)</f>
        <v>Investimentos</v>
      </c>
      <c r="E11" s="39">
        <v>-78000</v>
      </c>
      <c r="F11" s="40" t="s">
        <v>10</v>
      </c>
      <c r="G11" s="41">
        <v>45026</v>
      </c>
      <c r="H11" s="42">
        <f>YEAR(Tabela3[[#This Row],[Data]])</f>
        <v>2023</v>
      </c>
      <c r="I11" s="42" t="str">
        <f>_xlfn.XLOOKUP(J11,'Centro de Custo'!J$2:J$13,'Centro de Custo'!K$2:K$13)</f>
        <v>Abril</v>
      </c>
      <c r="J11" s="43">
        <f>MONTH(Tabela3[[#This Row],[Data]])</f>
        <v>4</v>
      </c>
      <c r="K11" s="39">
        <f>SUM(E$3:Tabela3[[#This Row],[Valor]])</f>
        <v>101894.5</v>
      </c>
      <c r="L11" s="40">
        <f t="shared" si="0"/>
        <v>2.22375</v>
      </c>
      <c r="M11" s="40"/>
      <c r="N11" s="40"/>
      <c r="O11" s="40"/>
      <c r="P11" s="39"/>
      <c r="Q11" s="39"/>
      <c r="R11" s="39"/>
      <c r="S11" s="39"/>
      <c r="T11" s="39"/>
      <c r="V11">
        <f>IF(Tabela3[[#This Row],[Pago]]&lt;&gt;"",IF(F12="",Tabela3[[#This Row],[Saldo]],0))</f>
        <v>0</v>
      </c>
    </row>
    <row r="12" spans="1:22" x14ac:dyDescent="0.25">
      <c r="A12" t="s">
        <v>50</v>
      </c>
      <c r="B12" s="37">
        <v>1</v>
      </c>
      <c r="C12" t="str">
        <f>_xlfn.XLOOKUP(B12,'Centro de Custo'!A$2:A$45,'Centro de Custo'!B$2:B$45)</f>
        <v>Receita de Produto</v>
      </c>
      <c r="E12" s="39">
        <v>27618514.07</v>
      </c>
      <c r="F12" s="40" t="s">
        <v>10</v>
      </c>
      <c r="G12" s="41">
        <v>45034</v>
      </c>
      <c r="H12" s="42">
        <f>YEAR(Tabela3[[#This Row],[Data]])</f>
        <v>2023</v>
      </c>
      <c r="I12" s="42" t="str">
        <f>_xlfn.XLOOKUP(J12,'Centro de Custo'!J$2:J$13,'Centro de Custo'!K$2:K$13)</f>
        <v>Abril</v>
      </c>
      <c r="J12" s="43">
        <f>MONTH(Tabela3[[#This Row],[Data]])</f>
        <v>4</v>
      </c>
      <c r="K12" s="39">
        <f>SUM(E$3:Tabela3[[#This Row],[Valor]])</f>
        <v>27720408.57</v>
      </c>
      <c r="L12" s="40">
        <f t="shared" si="0"/>
        <v>2.22375</v>
      </c>
      <c r="M12" s="40"/>
      <c r="N12" s="40"/>
      <c r="O12" s="40"/>
      <c r="P12" s="39"/>
      <c r="Q12" s="39"/>
      <c r="R12" s="39"/>
      <c r="S12" s="39"/>
      <c r="T12" s="39"/>
      <c r="V12">
        <f>IF(Tabela3[[#This Row],[Pago]]&lt;&gt;"",IF(F13="",Tabela3[[#This Row],[Saldo]],0))</f>
        <v>0</v>
      </c>
    </row>
    <row r="13" spans="1:22" x14ac:dyDescent="0.25">
      <c r="A13" t="s">
        <v>51</v>
      </c>
      <c r="B13" s="37">
        <v>40</v>
      </c>
      <c r="C13" t="str">
        <f>_xlfn.XLOOKUP(B13,'Centro de Custo'!A$2:A$45,'Centro de Custo'!B$2:B$45)</f>
        <v>Aplicação Financeira</v>
      </c>
      <c r="E13" s="39">
        <v>-20162000</v>
      </c>
      <c r="F13" s="40" t="s">
        <v>10</v>
      </c>
      <c r="G13" s="41">
        <v>45035</v>
      </c>
      <c r="H13" s="42">
        <f>YEAR(Tabela3[[#This Row],[Data]])</f>
        <v>2023</v>
      </c>
      <c r="I13" s="42" t="str">
        <f>_xlfn.XLOOKUP(J13,'Centro de Custo'!J$2:J$13,'Centro de Custo'!K$2:K$13)</f>
        <v>Abril</v>
      </c>
      <c r="J13" s="43">
        <f>MONTH(Tabela3[[#This Row],[Data]])</f>
        <v>4</v>
      </c>
      <c r="K13" s="39">
        <f>SUM(E$3:Tabela3[[#This Row],[Valor]])</f>
        <v>7558408.57</v>
      </c>
      <c r="L13" s="40">
        <f t="shared" si="0"/>
        <v>2.22375</v>
      </c>
      <c r="M13" s="40"/>
      <c r="N13" s="40"/>
      <c r="O13" s="40"/>
      <c r="P13" s="39"/>
      <c r="Q13" s="39"/>
      <c r="R13" s="39"/>
      <c r="S13" s="39"/>
      <c r="T13" s="39"/>
      <c r="V13">
        <f>IF(Tabela3[[#This Row],[Pago]]&lt;&gt;"",IF(F14="",Tabela3[[#This Row],[Saldo]],0))</f>
        <v>0</v>
      </c>
    </row>
    <row r="14" spans="1:22" x14ac:dyDescent="0.25">
      <c r="A14" t="s">
        <v>51</v>
      </c>
      <c r="B14" s="37">
        <v>40</v>
      </c>
      <c r="C14" t="str">
        <f>_xlfn.XLOOKUP(B14,'Centro de Custo'!A$2:A$45,'Centro de Custo'!B$2:B$45)</f>
        <v>Aplicação Financeira</v>
      </c>
      <c r="E14" s="39">
        <v>-888000</v>
      </c>
      <c r="F14" s="40" t="s">
        <v>10</v>
      </c>
      <c r="G14" s="41">
        <v>45036</v>
      </c>
      <c r="H14" s="42">
        <f>YEAR(Tabela3[[#This Row],[Data]])</f>
        <v>2023</v>
      </c>
      <c r="I14" s="42" t="str">
        <f>_xlfn.XLOOKUP(J14,'Centro de Custo'!J$2:J$13,'Centro de Custo'!K$2:K$13)</f>
        <v>Abril</v>
      </c>
      <c r="J14" s="43">
        <f>MONTH(Tabela3[[#This Row],[Data]])</f>
        <v>4</v>
      </c>
      <c r="K14" s="39">
        <f>SUM(E$3:Tabela3[[#This Row],[Valor]])</f>
        <v>6670408.57</v>
      </c>
      <c r="L14" s="40">
        <f t="shared" si="0"/>
        <v>2.22375</v>
      </c>
      <c r="M14" s="40"/>
      <c r="N14" s="40"/>
      <c r="O14" s="40"/>
      <c r="P14" s="39"/>
      <c r="Q14" s="39"/>
      <c r="R14" s="39"/>
      <c r="S14" s="39"/>
      <c r="T14" s="39"/>
      <c r="V14">
        <f>IF(Tabela3[[#This Row],[Pago]]&lt;&gt;"",IF(F15="",Tabela3[[#This Row],[Saldo]],0))</f>
        <v>0</v>
      </c>
    </row>
    <row r="15" spans="1:22" x14ac:dyDescent="0.25">
      <c r="A15" t="s">
        <v>51</v>
      </c>
      <c r="B15" s="37">
        <v>40</v>
      </c>
      <c r="C15" t="str">
        <f>_xlfn.XLOOKUP(B15,'Centro de Custo'!A$2:A$45,'Centro de Custo'!B$2:B$45)</f>
        <v>Aplicação Financeira</v>
      </c>
      <c r="E15" s="39">
        <v>-1300000</v>
      </c>
      <c r="F15" s="40" t="s">
        <v>10</v>
      </c>
      <c r="G15" s="41">
        <v>45036</v>
      </c>
      <c r="H15" s="42">
        <f>YEAR(Tabela3[[#This Row],[Data]])</f>
        <v>2023</v>
      </c>
      <c r="I15" s="42" t="str">
        <f>_xlfn.XLOOKUP(J15,'Centro de Custo'!J$2:J$13,'Centro de Custo'!K$2:K$13)</f>
        <v>Abril</v>
      </c>
      <c r="J15" s="43">
        <f>MONTH(Tabela3[[#This Row],[Data]])</f>
        <v>4</v>
      </c>
      <c r="K15" s="39">
        <f>SUM(E$3:Tabela3[[#This Row],[Valor]])</f>
        <v>5370408.57</v>
      </c>
      <c r="L15" s="40">
        <f t="shared" si="0"/>
        <v>2.22375</v>
      </c>
      <c r="M15" s="40"/>
      <c r="N15" s="40"/>
      <c r="O15" s="40"/>
      <c r="P15" s="39"/>
      <c r="Q15" s="39"/>
      <c r="R15" s="39"/>
      <c r="S15" s="39"/>
      <c r="T15" s="39"/>
      <c r="V15">
        <f>IF(Tabela3[[#This Row],[Pago]]&lt;&gt;"",IF(F16="",Tabela3[[#This Row],[Saldo]],0))</f>
        <v>0</v>
      </c>
    </row>
    <row r="16" spans="1:22" x14ac:dyDescent="0.25">
      <c r="A16" t="s">
        <v>52</v>
      </c>
      <c r="B16" s="37">
        <v>11</v>
      </c>
      <c r="C16" t="str">
        <f>_xlfn.XLOOKUP(B16,'Centro de Custo'!A$2:A$45,'Centro de Custo'!B$2:B$45)</f>
        <v>Distribuição de Lucro</v>
      </c>
      <c r="E16" s="39">
        <v>-5370000</v>
      </c>
      <c r="F16" s="40" t="s">
        <v>10</v>
      </c>
      <c r="G16" s="41">
        <v>45036</v>
      </c>
      <c r="H16" s="42">
        <f>YEAR(Tabela3[[#This Row],[Data]])</f>
        <v>2023</v>
      </c>
      <c r="I16" s="42" t="str">
        <f>_xlfn.XLOOKUP(J16,'Centro de Custo'!J$2:J$13,'Centro de Custo'!K$2:K$13)</f>
        <v>Abril</v>
      </c>
      <c r="J16" s="43">
        <f>MONTH(Tabela3[[#This Row],[Data]])</f>
        <v>4</v>
      </c>
      <c r="K16" s="39">
        <f>SUM(E$3:Tabela3[[#This Row],[Valor]])</f>
        <v>408.570000000298</v>
      </c>
      <c r="L16" s="40">
        <f t="shared" si="0"/>
        <v>2.22375</v>
      </c>
      <c r="M16" s="40"/>
      <c r="N16" s="40"/>
      <c r="O16" s="40"/>
      <c r="P16" s="39"/>
      <c r="Q16" s="39"/>
      <c r="R16" s="39"/>
      <c r="S16" s="39"/>
      <c r="T16" s="39"/>
      <c r="V16">
        <f>IF(Tabela3[[#This Row],[Pago]]&lt;&gt;"",IF(F17="",Tabela3[[#This Row],[Saldo]],0))</f>
        <v>0</v>
      </c>
    </row>
    <row r="17" spans="1:22" x14ac:dyDescent="0.25">
      <c r="A17" t="s">
        <v>51</v>
      </c>
      <c r="B17" s="37">
        <v>41</v>
      </c>
      <c r="C17" t="str">
        <f>_xlfn.XLOOKUP(B17,'Centro de Custo'!A$2:A$45,'Centro de Custo'!B$2:B$45)</f>
        <v>Resgate Financeiro</v>
      </c>
      <c r="E17" s="39">
        <v>322000</v>
      </c>
      <c r="F17" s="40" t="s">
        <v>10</v>
      </c>
      <c r="G17" s="41">
        <v>45041</v>
      </c>
      <c r="H17" s="42">
        <f>YEAR(Tabela3[[#This Row],[Data]])</f>
        <v>2023</v>
      </c>
      <c r="I17" s="42" t="str">
        <f>_xlfn.XLOOKUP(J17,'Centro de Custo'!J$2:J$13,'Centro de Custo'!K$2:K$13)</f>
        <v>Abril</v>
      </c>
      <c r="J17" s="43">
        <f>MONTH(Tabela3[[#This Row],[Data]])</f>
        <v>4</v>
      </c>
      <c r="K17" s="39">
        <f>SUM(E$3:Tabela3[[#This Row],[Valor]])</f>
        <v>322408.5700000003</v>
      </c>
      <c r="L17" s="40">
        <f t="shared" si="0"/>
        <v>2.22375</v>
      </c>
      <c r="M17" s="40"/>
      <c r="N17" s="40"/>
      <c r="O17" s="40"/>
      <c r="P17" s="39"/>
      <c r="Q17" s="39"/>
      <c r="R17" s="39"/>
      <c r="S17" s="39"/>
      <c r="T17" s="39"/>
      <c r="V17">
        <f>IF(Tabela3[[#This Row],[Pago]]&lt;&gt;"",IF(F18="",Tabela3[[#This Row],[Saldo]],0))</f>
        <v>0</v>
      </c>
    </row>
    <row r="18" spans="1:22" x14ac:dyDescent="0.25">
      <c r="A18" t="s">
        <v>45</v>
      </c>
      <c r="B18" s="37">
        <v>20</v>
      </c>
      <c r="C18" t="str">
        <f>_xlfn.XLOOKUP(B18,'Centro de Custo'!A$2:A$45,'Centro de Custo'!B$2:B$45)</f>
        <v>Desp. ADM</v>
      </c>
      <c r="E18" s="39">
        <v>-25.85</v>
      </c>
      <c r="F18" s="40" t="s">
        <v>10</v>
      </c>
      <c r="G18" s="41">
        <v>45041</v>
      </c>
      <c r="H18" s="42">
        <f>YEAR(Tabela3[[#This Row],[Data]])</f>
        <v>2023</v>
      </c>
      <c r="I18" s="42" t="str">
        <f>_xlfn.XLOOKUP(J18,'Centro de Custo'!J$2:J$13,'Centro de Custo'!K$2:K$13)</f>
        <v>Abril</v>
      </c>
      <c r="J18" s="43">
        <f>MONTH(Tabela3[[#This Row],[Data]])</f>
        <v>4</v>
      </c>
      <c r="K18" s="39">
        <f>SUM(E$3:Tabela3[[#This Row],[Valor]])</f>
        <v>322382.7200000003</v>
      </c>
      <c r="L18" s="40">
        <f t="shared" si="0"/>
        <v>2.22375</v>
      </c>
      <c r="M18" s="40"/>
      <c r="N18" s="40"/>
      <c r="O18" s="40"/>
      <c r="P18" s="39"/>
      <c r="Q18" s="39"/>
      <c r="R18" s="39"/>
      <c r="S18" s="39"/>
      <c r="T18" s="39"/>
      <c r="V18">
        <f>IF(Tabela3[[#This Row],[Pago]]&lt;&gt;"",IF(F19="",Tabela3[[#This Row],[Saldo]],0))</f>
        <v>0</v>
      </c>
    </row>
    <row r="19" spans="1:22" x14ac:dyDescent="0.25">
      <c r="A19" t="s">
        <v>53</v>
      </c>
      <c r="B19" s="37">
        <v>3</v>
      </c>
      <c r="C19" t="str">
        <f>_xlfn.XLOOKUP(B19,'Centro de Custo'!A$2:A$45,'Centro de Custo'!B$2:B$45)</f>
        <v>Investimentos</v>
      </c>
      <c r="E19" s="39">
        <v>-8191.55</v>
      </c>
      <c r="F19" s="40" t="s">
        <v>10</v>
      </c>
      <c r="G19" s="41">
        <v>45041</v>
      </c>
      <c r="H19" s="42">
        <f>YEAR(Tabela3[[#This Row],[Data]])</f>
        <v>2023</v>
      </c>
      <c r="I19" s="42" t="str">
        <f>_xlfn.XLOOKUP(J19,'Centro de Custo'!J$2:J$13,'Centro de Custo'!K$2:K$13)</f>
        <v>Abril</v>
      </c>
      <c r="J19" s="43">
        <f>MONTH(Tabela3[[#This Row],[Data]])</f>
        <v>4</v>
      </c>
      <c r="K19" s="39">
        <f>SUM(E$3:Tabela3[[#This Row],[Valor]])</f>
        <v>314191.17000000033</v>
      </c>
      <c r="L19" s="40">
        <f t="shared" si="0"/>
        <v>2.22375</v>
      </c>
      <c r="M19" s="40"/>
      <c r="N19" s="40"/>
      <c r="O19" s="40"/>
      <c r="P19" s="39"/>
      <c r="Q19" s="39"/>
      <c r="R19" s="39"/>
      <c r="S19" s="39"/>
      <c r="T19" s="39"/>
      <c r="V19">
        <f>IF(Tabela3[[#This Row],[Pago]]&lt;&gt;"",IF(F20="",Tabela3[[#This Row],[Saldo]],0))</f>
        <v>0</v>
      </c>
    </row>
    <row r="20" spans="1:22" x14ac:dyDescent="0.25">
      <c r="A20" t="s">
        <v>49</v>
      </c>
      <c r="B20" s="37">
        <v>3</v>
      </c>
      <c r="C20" t="str">
        <f>_xlfn.XLOOKUP(B20,'Centro de Custo'!A$2:A$45,'Centro de Custo'!B$2:B$45)</f>
        <v>Investimentos</v>
      </c>
      <c r="E20" s="39">
        <v>-312000</v>
      </c>
      <c r="F20" s="40" t="s">
        <v>10</v>
      </c>
      <c r="G20" s="41">
        <v>45041</v>
      </c>
      <c r="H20" s="42">
        <f>YEAR(Tabela3[[#This Row],[Data]])</f>
        <v>2023</v>
      </c>
      <c r="I20" s="42" t="str">
        <f>_xlfn.XLOOKUP(J20,'Centro de Custo'!J$2:J$13,'Centro de Custo'!K$2:K$13)</f>
        <v>Abril</v>
      </c>
      <c r="J20" s="43">
        <f>MONTH(Tabela3[[#This Row],[Data]])</f>
        <v>4</v>
      </c>
      <c r="K20" s="39">
        <f>SUM(E$3:Tabela3[[#This Row],[Valor]])</f>
        <v>2191.170000000333</v>
      </c>
      <c r="L20" s="40">
        <f t="shared" si="0"/>
        <v>2.22375</v>
      </c>
      <c r="M20" s="40"/>
      <c r="N20" s="40"/>
      <c r="O20" s="40"/>
      <c r="P20" s="39"/>
      <c r="Q20" s="39"/>
      <c r="R20" s="39"/>
      <c r="S20" s="39"/>
      <c r="T20" s="39"/>
      <c r="V20">
        <f>IF(Tabela3[[#This Row],[Pago]]&lt;&gt;"",IF(F21="",Tabela3[[#This Row],[Saldo]],0))</f>
        <v>0</v>
      </c>
    </row>
    <row r="21" spans="1:22" x14ac:dyDescent="0.25">
      <c r="A21" t="s">
        <v>51</v>
      </c>
      <c r="B21" s="37">
        <v>41</v>
      </c>
      <c r="C21" t="str">
        <f>_xlfn.XLOOKUP(B21,'Centro de Custo'!A$2:A$45,'Centro de Custo'!B$2:B$45)</f>
        <v>Resgate Financeiro</v>
      </c>
      <c r="E21" s="39">
        <v>100000</v>
      </c>
      <c r="F21" s="40" t="s">
        <v>10</v>
      </c>
      <c r="G21" s="41">
        <v>45049</v>
      </c>
      <c r="H21" s="42">
        <f>YEAR(Tabela3[[#This Row],[Data]])</f>
        <v>2023</v>
      </c>
      <c r="I21" s="42" t="str">
        <f>_xlfn.XLOOKUP(J21,'Centro de Custo'!J$2:J$13,'Centro de Custo'!K$2:K$13)</f>
        <v>Maio</v>
      </c>
      <c r="J21" s="43">
        <f>MONTH(Tabela3[[#This Row],[Data]])</f>
        <v>5</v>
      </c>
      <c r="K21" s="39">
        <f>SUM(E$3:Tabela3[[#This Row],[Valor]])</f>
        <v>102191.17000000033</v>
      </c>
      <c r="L21" s="40">
        <f t="shared" si="0"/>
        <v>2.22375</v>
      </c>
      <c r="M21" s="40"/>
      <c r="N21" s="40"/>
      <c r="O21" s="40"/>
      <c r="P21" s="39"/>
      <c r="Q21" s="39"/>
      <c r="R21" s="39"/>
      <c r="S21" s="39"/>
      <c r="T21" s="39"/>
      <c r="V21">
        <f>IF(Tabela3[[#This Row],[Pago]]&lt;&gt;"",IF(F22="",Tabela3[[#This Row],[Saldo]],0))</f>
        <v>0</v>
      </c>
    </row>
    <row r="22" spans="1:22" x14ac:dyDescent="0.25">
      <c r="A22" t="s">
        <v>54</v>
      </c>
      <c r="B22" s="37">
        <v>10</v>
      </c>
      <c r="C22" t="str">
        <f>_xlfn.XLOOKUP(B22,'Centro de Custo'!A$2:A$45,'Centro de Custo'!B$2:B$45)</f>
        <v>Retirada Mensal</v>
      </c>
      <c r="E22" s="39">
        <v>-10000</v>
      </c>
      <c r="F22" s="40" t="s">
        <v>10</v>
      </c>
      <c r="G22" s="41">
        <v>45054</v>
      </c>
      <c r="H22" s="42">
        <f>YEAR(Tabela3[[#This Row],[Data]])</f>
        <v>2023</v>
      </c>
      <c r="I22" s="42" t="str">
        <f>_xlfn.XLOOKUP(J22,'Centro de Custo'!J$2:J$13,'Centro de Custo'!K$2:K$13)</f>
        <v>Maio</v>
      </c>
      <c r="J22" s="43">
        <f>MONTH(Tabela3[[#This Row],[Data]])</f>
        <v>5</v>
      </c>
      <c r="K22" s="39">
        <f>SUM(E$3:Tabela3[[#This Row],[Valor]])</f>
        <v>92191.17000000033</v>
      </c>
      <c r="L22" s="40">
        <f t="shared" si="0"/>
        <v>2.22375</v>
      </c>
      <c r="M22" s="40"/>
      <c r="N22" s="40"/>
      <c r="O22" s="40"/>
      <c r="P22" s="39"/>
      <c r="Q22" s="39"/>
      <c r="R22" s="39"/>
      <c r="S22" s="39"/>
      <c r="T22" s="39"/>
      <c r="V22">
        <f>IF(Tabela3[[#This Row],[Pago]]&lt;&gt;"",IF(F23="",Tabela3[[#This Row],[Saldo]],0))</f>
        <v>0</v>
      </c>
    </row>
    <row r="23" spans="1:22" x14ac:dyDescent="0.25">
      <c r="A23" t="s">
        <v>55</v>
      </c>
      <c r="B23" s="37">
        <v>10</v>
      </c>
      <c r="C23" t="str">
        <f>_xlfn.XLOOKUP(B23,'Centro de Custo'!A$2:A$45,'Centro de Custo'!B$2:B$45)</f>
        <v>Retirada Mensal</v>
      </c>
      <c r="E23" s="39">
        <v>-10880</v>
      </c>
      <c r="F23" s="40" t="s">
        <v>10</v>
      </c>
      <c r="G23" s="41">
        <v>45054</v>
      </c>
      <c r="H23" s="42">
        <f>YEAR(Tabela3[[#This Row],[Data]])</f>
        <v>2023</v>
      </c>
      <c r="I23" s="42" t="str">
        <f>_xlfn.XLOOKUP(J23,'Centro de Custo'!J$2:J$13,'Centro de Custo'!K$2:K$13)</f>
        <v>Maio</v>
      </c>
      <c r="J23" s="43">
        <f>MONTH(Tabela3[[#This Row],[Data]])</f>
        <v>5</v>
      </c>
      <c r="K23" s="39">
        <f>SUM(E$3:Tabela3[[#This Row],[Valor]])</f>
        <v>81311.17000000033</v>
      </c>
      <c r="L23" s="40">
        <f t="shared" si="0"/>
        <v>2.22375</v>
      </c>
      <c r="M23" s="40"/>
      <c r="N23" s="40"/>
      <c r="O23" s="40"/>
      <c r="P23" s="39"/>
      <c r="Q23" s="39"/>
      <c r="R23" s="39"/>
      <c r="S23" s="39"/>
      <c r="T23" s="39"/>
      <c r="V23">
        <f>IF(Tabela3[[#This Row],[Pago]]&lt;&gt;"",IF(F24="",Tabela3[[#This Row],[Saldo]],0))</f>
        <v>0</v>
      </c>
    </row>
    <row r="24" spans="1:22" x14ac:dyDescent="0.25">
      <c r="A24" t="s">
        <v>56</v>
      </c>
      <c r="B24" s="37">
        <v>10</v>
      </c>
      <c r="C24" t="str">
        <f>_xlfn.XLOOKUP(B24,'Centro de Custo'!A$2:A$45,'Centro de Custo'!B$2:B$45)</f>
        <v>Retirada Mensal</v>
      </c>
      <c r="E24" s="39">
        <v>-13000</v>
      </c>
      <c r="F24" s="40" t="s">
        <v>10</v>
      </c>
      <c r="G24" s="41">
        <v>45054</v>
      </c>
      <c r="H24" s="42">
        <f>YEAR(Tabela3[[#This Row],[Data]])</f>
        <v>2023</v>
      </c>
      <c r="I24" s="42" t="str">
        <f>_xlfn.XLOOKUP(J24,'Centro de Custo'!J$2:J$13,'Centro de Custo'!K$2:K$13)</f>
        <v>Maio</v>
      </c>
      <c r="J24" s="43">
        <f>MONTH(Tabela3[[#This Row],[Data]])</f>
        <v>5</v>
      </c>
      <c r="K24" s="39">
        <f>SUM(E$3:Tabela3[[#This Row],[Valor]])</f>
        <v>68311.17000000033</v>
      </c>
      <c r="L24" s="40">
        <f t="shared" si="0"/>
        <v>2.22375</v>
      </c>
      <c r="M24" s="40"/>
      <c r="N24" s="40"/>
      <c r="O24" s="40"/>
      <c r="P24" s="39"/>
      <c r="Q24" s="39"/>
      <c r="R24" s="39"/>
      <c r="S24" s="39"/>
      <c r="T24" s="39"/>
      <c r="V24">
        <f>IF(Tabela3[[#This Row],[Pago]]&lt;&gt;"",IF(F25="",Tabela3[[#This Row],[Saldo]],0))</f>
        <v>0</v>
      </c>
    </row>
    <row r="25" spans="1:22" x14ac:dyDescent="0.25">
      <c r="A25" t="s">
        <v>57</v>
      </c>
      <c r="B25" s="37">
        <v>10</v>
      </c>
      <c r="C25" t="str">
        <f>_xlfn.XLOOKUP(B25,'Centro de Custo'!A$2:A$45,'Centro de Custo'!B$2:B$45)</f>
        <v>Retirada Mensal</v>
      </c>
      <c r="E25" s="39">
        <v>-14000</v>
      </c>
      <c r="F25" s="40" t="s">
        <v>10</v>
      </c>
      <c r="G25" s="41">
        <v>45054</v>
      </c>
      <c r="H25" s="42">
        <f>YEAR(Tabela3[[#This Row],[Data]])</f>
        <v>2023</v>
      </c>
      <c r="I25" s="42" t="str">
        <f>_xlfn.XLOOKUP(J25,'Centro de Custo'!J$2:J$13,'Centro de Custo'!K$2:K$13)</f>
        <v>Maio</v>
      </c>
      <c r="J25" s="43">
        <f>MONTH(Tabela3[[#This Row],[Data]])</f>
        <v>5</v>
      </c>
      <c r="K25" s="39">
        <f>SUM(E$3:Tabela3[[#This Row],[Valor]])</f>
        <v>54311.17000000033</v>
      </c>
      <c r="L25" s="40">
        <f t="shared" si="0"/>
        <v>2.22375</v>
      </c>
      <c r="M25" s="40"/>
      <c r="N25" s="40"/>
      <c r="O25" s="40"/>
      <c r="P25" s="39"/>
      <c r="Q25" s="39"/>
      <c r="R25" s="39"/>
      <c r="S25" s="39"/>
      <c r="T25" s="39"/>
      <c r="V25">
        <f>IF(Tabela3[[#This Row],[Pago]]&lt;&gt;"",IF(F26="",Tabela3[[#This Row],[Saldo]],0))</f>
        <v>0</v>
      </c>
    </row>
    <row r="26" spans="1:22" x14ac:dyDescent="0.25">
      <c r="A26" t="s">
        <v>58</v>
      </c>
      <c r="B26" s="37">
        <v>10</v>
      </c>
      <c r="C26" t="str">
        <f>_xlfn.XLOOKUP(B26,'Centro de Custo'!A$2:A$45,'Centro de Custo'!B$2:B$45)</f>
        <v>Retirada Mensal</v>
      </c>
      <c r="E26" s="39">
        <v>-10630</v>
      </c>
      <c r="F26" s="40" t="s">
        <v>10</v>
      </c>
      <c r="G26" s="41">
        <v>45055</v>
      </c>
      <c r="H26" s="42">
        <f>YEAR(Tabela3[[#This Row],[Data]])</f>
        <v>2023</v>
      </c>
      <c r="I26" s="42" t="str">
        <f>_xlfn.XLOOKUP(J26,'Centro de Custo'!J$2:J$13,'Centro de Custo'!K$2:K$13)</f>
        <v>Maio</v>
      </c>
      <c r="J26" s="43">
        <f>MONTH(Tabela3[[#This Row],[Data]])</f>
        <v>5</v>
      </c>
      <c r="K26" s="39">
        <f>SUM(E$3:Tabela3[[#This Row],[Valor]])</f>
        <v>43681.17000000033</v>
      </c>
      <c r="L26" s="40">
        <f t="shared" si="0"/>
        <v>2.22375</v>
      </c>
      <c r="M26" s="40"/>
      <c r="N26" s="40"/>
      <c r="O26" s="40"/>
      <c r="P26" s="39"/>
      <c r="Q26" s="39"/>
      <c r="R26" s="39"/>
      <c r="S26" s="39"/>
      <c r="T26" s="39"/>
      <c r="V26">
        <f>IF(Tabela3[[#This Row],[Pago]]&lt;&gt;"",IF(F27="",Tabela3[[#This Row],[Saldo]],0))</f>
        <v>0</v>
      </c>
    </row>
    <row r="27" spans="1:22" x14ac:dyDescent="0.25">
      <c r="A27" t="s">
        <v>51</v>
      </c>
      <c r="B27" s="37">
        <v>41</v>
      </c>
      <c r="C27" t="str">
        <f>_xlfn.XLOOKUP(B27,'Centro de Custo'!A$2:A$45,'Centro de Custo'!B$2:B$45)</f>
        <v>Resgate Financeiro</v>
      </c>
      <c r="E27" s="39">
        <v>100000</v>
      </c>
      <c r="F27" s="40" t="s">
        <v>10</v>
      </c>
      <c r="G27" s="41">
        <v>45057</v>
      </c>
      <c r="H27" s="42">
        <f>YEAR(Tabela3[[#This Row],[Data]])</f>
        <v>2023</v>
      </c>
      <c r="I27" s="42" t="str">
        <f>_xlfn.XLOOKUP(J27,'Centro de Custo'!J$2:J$13,'Centro de Custo'!K$2:K$13)</f>
        <v>Maio</v>
      </c>
      <c r="J27" s="43">
        <f>MONTH(Tabela3[[#This Row],[Data]])</f>
        <v>5</v>
      </c>
      <c r="K27" s="39">
        <f>SUM(E$3:Tabela3[[#This Row],[Valor]])</f>
        <v>143681.17000000033</v>
      </c>
      <c r="L27" s="40">
        <f t="shared" si="0"/>
        <v>2.22375</v>
      </c>
      <c r="M27" s="40"/>
      <c r="N27" s="40"/>
      <c r="O27" s="40"/>
      <c r="P27" s="39"/>
      <c r="Q27" s="39"/>
      <c r="R27" s="39"/>
      <c r="S27" s="39"/>
      <c r="T27" s="39"/>
      <c r="V27">
        <f>IF(Tabela3[[#This Row],[Pago]]&lt;&gt;"",IF(F28="",Tabela3[[#This Row],[Saldo]],0))</f>
        <v>0</v>
      </c>
    </row>
    <row r="28" spans="1:22" x14ac:dyDescent="0.25">
      <c r="A28" t="s">
        <v>59</v>
      </c>
      <c r="B28" s="37">
        <v>20</v>
      </c>
      <c r="C28" t="str">
        <f>_xlfn.XLOOKUP(B28,'Centro de Custo'!A$2:A$45,'Centro de Custo'!B$2:B$45)</f>
        <v>Desp. ADM</v>
      </c>
      <c r="E28" s="39">
        <v>-93.66</v>
      </c>
      <c r="F28" s="40" t="s">
        <v>10</v>
      </c>
      <c r="G28" s="41">
        <v>45057</v>
      </c>
      <c r="H28" s="42">
        <f>YEAR(Tabela3[[#This Row],[Data]])</f>
        <v>2023</v>
      </c>
      <c r="I28" s="42" t="str">
        <f>_xlfn.XLOOKUP(J28,'Centro de Custo'!J$2:J$13,'Centro de Custo'!K$2:K$13)</f>
        <v>Maio</v>
      </c>
      <c r="J28" s="43">
        <f>MONTH(Tabela3[[#This Row],[Data]])</f>
        <v>5</v>
      </c>
      <c r="K28" s="39">
        <f>SUM(E$3:Tabela3[[#This Row],[Valor]])</f>
        <v>143587.51000000033</v>
      </c>
      <c r="L28" s="40">
        <f t="shared" si="0"/>
        <v>2.22375</v>
      </c>
      <c r="M28" s="40"/>
      <c r="N28" s="40"/>
      <c r="O28" s="40"/>
      <c r="P28" s="39"/>
      <c r="Q28" s="39"/>
      <c r="R28" s="39"/>
      <c r="S28" s="39"/>
      <c r="T28" s="39"/>
      <c r="V28">
        <f>IF(Tabela3[[#This Row],[Pago]]&lt;&gt;"",IF(F29="",Tabela3[[#This Row],[Saldo]],0))</f>
        <v>0</v>
      </c>
    </row>
    <row r="29" spans="1:22" x14ac:dyDescent="0.25">
      <c r="A29" t="s">
        <v>60</v>
      </c>
      <c r="B29" s="37">
        <v>20</v>
      </c>
      <c r="C29" t="str">
        <f>_xlfn.XLOOKUP(B29,'Centro de Custo'!A$2:A$45,'Centro de Custo'!B$2:B$45)</f>
        <v>Desp. ADM</v>
      </c>
      <c r="E29" s="39">
        <v>-405.17</v>
      </c>
      <c r="F29" s="40" t="s">
        <v>10</v>
      </c>
      <c r="G29" s="41">
        <v>45057</v>
      </c>
      <c r="H29" s="42">
        <f>YEAR(Tabela3[[#This Row],[Data]])</f>
        <v>2023</v>
      </c>
      <c r="I29" s="42" t="str">
        <f>_xlfn.XLOOKUP(J29,'Centro de Custo'!J$2:J$13,'Centro de Custo'!K$2:K$13)</f>
        <v>Maio</v>
      </c>
      <c r="J29" s="43">
        <f>MONTH(Tabela3[[#This Row],[Data]])</f>
        <v>5</v>
      </c>
      <c r="K29" s="39">
        <f>SUM(E$3:Tabela3[[#This Row],[Valor]])</f>
        <v>143182.34000000032</v>
      </c>
      <c r="L29" s="40">
        <f t="shared" si="0"/>
        <v>2.22375</v>
      </c>
      <c r="M29" s="40"/>
      <c r="N29" s="40"/>
      <c r="O29" s="40"/>
      <c r="P29" s="39"/>
      <c r="Q29" s="39"/>
      <c r="R29" s="39"/>
      <c r="S29" s="39"/>
      <c r="T29" s="39"/>
      <c r="V29">
        <f>IF(Tabela3[[#This Row],[Pago]]&lt;&gt;"",IF(F30="",Tabela3[[#This Row],[Saldo]],0))</f>
        <v>0</v>
      </c>
    </row>
    <row r="30" spans="1:22" x14ac:dyDescent="0.25">
      <c r="A30" t="s">
        <v>51</v>
      </c>
      <c r="B30" s="37">
        <v>41</v>
      </c>
      <c r="C30" t="str">
        <f>_xlfn.XLOOKUP(B30,'Centro de Custo'!A$2:A$45,'Centro de Custo'!B$2:B$45)</f>
        <v>Resgate Financeiro</v>
      </c>
      <c r="E30" s="39">
        <v>15400000</v>
      </c>
      <c r="F30" s="40" t="s">
        <v>10</v>
      </c>
      <c r="G30" s="41">
        <v>45061</v>
      </c>
      <c r="H30" s="42">
        <f>YEAR(Tabela3[[#This Row],[Data]])</f>
        <v>2023</v>
      </c>
      <c r="I30" s="42" t="str">
        <f>_xlfn.XLOOKUP(J30,'Centro de Custo'!J$2:J$13,'Centro de Custo'!K$2:K$13)</f>
        <v>Maio</v>
      </c>
      <c r="J30" s="43">
        <f>MONTH(Tabela3[[#This Row],[Data]])</f>
        <v>5</v>
      </c>
      <c r="K30" s="39">
        <f>SUM(E$3:Tabela3[[#This Row],[Valor]])</f>
        <v>15543182.34</v>
      </c>
      <c r="L30" s="40">
        <f t="shared" si="0"/>
        <v>2.22375</v>
      </c>
      <c r="M30" s="40"/>
      <c r="N30" s="40"/>
      <c r="O30" s="40"/>
      <c r="P30" s="39"/>
      <c r="Q30" s="39"/>
      <c r="R30" s="39"/>
      <c r="S30" s="39"/>
      <c r="T30" s="39"/>
      <c r="V30">
        <f>IF(Tabela3[[#This Row],[Pago]]&lt;&gt;"",IF(F31="",Tabela3[[#This Row],[Saldo]],0))</f>
        <v>0</v>
      </c>
    </row>
    <row r="31" spans="1:22" x14ac:dyDescent="0.25">
      <c r="A31" t="s">
        <v>61</v>
      </c>
      <c r="B31" s="37">
        <v>2</v>
      </c>
      <c r="C31" t="str">
        <f>_xlfn.XLOOKUP(B31,'Centro de Custo'!A$2:A$45,'Centro de Custo'!B$2:B$45)</f>
        <v>Outras Receitas</v>
      </c>
      <c r="E31" s="39">
        <v>-39600</v>
      </c>
      <c r="F31" s="40" t="s">
        <v>10</v>
      </c>
      <c r="G31" s="41">
        <v>45061</v>
      </c>
      <c r="H31" s="42">
        <f>YEAR(Tabela3[[#This Row],[Data]])</f>
        <v>2023</v>
      </c>
      <c r="I31" s="42" t="str">
        <f>_xlfn.XLOOKUP(J31,'Centro de Custo'!J$2:J$13,'Centro de Custo'!K$2:K$13)</f>
        <v>Maio</v>
      </c>
      <c r="J31" s="43">
        <f>MONTH(Tabela3[[#This Row],[Data]])</f>
        <v>5</v>
      </c>
      <c r="K31" s="39">
        <f>SUM(E$3:Tabela3[[#This Row],[Valor]])</f>
        <v>15503582.34</v>
      </c>
      <c r="L31" s="40">
        <f t="shared" si="0"/>
        <v>2.22375</v>
      </c>
      <c r="M31" s="40"/>
      <c r="N31" s="40"/>
      <c r="O31" s="40"/>
      <c r="P31" s="39"/>
      <c r="Q31" s="39"/>
      <c r="R31" s="39"/>
      <c r="S31" s="39"/>
      <c r="T31" s="39"/>
      <c r="V31">
        <f>IF(Tabela3[[#This Row],[Pago]]&lt;&gt;"",IF(F32="",Tabela3[[#This Row],[Saldo]],0))</f>
        <v>0</v>
      </c>
    </row>
    <row r="32" spans="1:22" x14ac:dyDescent="0.25">
      <c r="A32" t="s">
        <v>62</v>
      </c>
      <c r="B32" s="37">
        <v>2</v>
      </c>
      <c r="C32" t="str">
        <f>_xlfn.XLOOKUP(B32,'Centro de Custo'!A$2:A$45,'Centro de Custo'!B$2:B$45)</f>
        <v>Outras Receitas</v>
      </c>
      <c r="E32" s="39">
        <v>-39600</v>
      </c>
      <c r="F32" s="40" t="s">
        <v>10</v>
      </c>
      <c r="G32" s="41">
        <v>45061</v>
      </c>
      <c r="H32" s="42">
        <f>YEAR(Tabela3[[#This Row],[Data]])</f>
        <v>2023</v>
      </c>
      <c r="I32" s="42" t="str">
        <f>_xlfn.XLOOKUP(J32,'Centro de Custo'!J$2:J$13,'Centro de Custo'!K$2:K$13)</f>
        <v>Maio</v>
      </c>
      <c r="J32" s="43">
        <f>MONTH(Tabela3[[#This Row],[Data]])</f>
        <v>5</v>
      </c>
      <c r="K32" s="39">
        <f>SUM(E$3:Tabela3[[#This Row],[Valor]])</f>
        <v>15463982.34</v>
      </c>
      <c r="L32" s="40">
        <f t="shared" si="0"/>
        <v>2.22375</v>
      </c>
      <c r="M32" s="40"/>
      <c r="N32" s="40"/>
      <c r="O32" s="40"/>
      <c r="P32" s="39"/>
      <c r="Q32" s="39"/>
      <c r="R32" s="39"/>
      <c r="S32" s="39"/>
      <c r="T32" s="39"/>
      <c r="V32">
        <f>IF(Tabela3[[#This Row],[Pago]]&lt;&gt;"",IF(F33="",Tabela3[[#This Row],[Saldo]],0))</f>
        <v>0</v>
      </c>
    </row>
    <row r="33" spans="1:22" x14ac:dyDescent="0.25">
      <c r="A33" t="s">
        <v>63</v>
      </c>
      <c r="B33" s="37">
        <v>11</v>
      </c>
      <c r="C33" t="str">
        <f>_xlfn.XLOOKUP(B33,'Centro de Custo'!A$2:A$45,'Centro de Custo'!B$2:B$45)</f>
        <v>Distribuição de Lucro</v>
      </c>
      <c r="E33" s="39">
        <v>-1000000</v>
      </c>
      <c r="F33" s="40" t="s">
        <v>10</v>
      </c>
      <c r="G33" s="41">
        <v>45061</v>
      </c>
      <c r="H33" s="42">
        <f>YEAR(Tabela3[[#This Row],[Data]])</f>
        <v>2023</v>
      </c>
      <c r="I33" s="42" t="str">
        <f>_xlfn.XLOOKUP(J33,'Centro de Custo'!J$2:J$13,'Centro de Custo'!K$2:K$13)</f>
        <v>Maio</v>
      </c>
      <c r="J33" s="43">
        <f>MONTH(Tabela3[[#This Row],[Data]])</f>
        <v>5</v>
      </c>
      <c r="K33" s="39">
        <f>SUM(E$3:Tabela3[[#This Row],[Valor]])</f>
        <v>14463982.34</v>
      </c>
      <c r="L33" s="40">
        <f t="shared" si="0"/>
        <v>2.22375</v>
      </c>
      <c r="M33" s="40"/>
      <c r="N33" s="40"/>
      <c r="O33" s="40"/>
      <c r="P33" s="39"/>
      <c r="Q33" s="39"/>
      <c r="R33" s="39"/>
      <c r="S33" s="39"/>
      <c r="T33" s="39"/>
      <c r="V33">
        <f>IF(Tabela3[[#This Row],[Pago]]&lt;&gt;"",IF(F34="",Tabela3[[#This Row],[Saldo]],0))</f>
        <v>0</v>
      </c>
    </row>
    <row r="34" spans="1:22" x14ac:dyDescent="0.25">
      <c r="A34" t="s">
        <v>64</v>
      </c>
      <c r="B34" s="37">
        <v>11</v>
      </c>
      <c r="C34" t="str">
        <f>_xlfn.XLOOKUP(B34,'Centro de Custo'!A$2:A$45,'Centro de Custo'!B$2:B$45)</f>
        <v>Distribuição de Lucro</v>
      </c>
      <c r="E34" s="39">
        <v>-3050000</v>
      </c>
      <c r="F34" s="40" t="s">
        <v>10</v>
      </c>
      <c r="G34" s="41">
        <v>45061</v>
      </c>
      <c r="H34" s="42">
        <f>YEAR(Tabela3[[#This Row],[Data]])</f>
        <v>2023</v>
      </c>
      <c r="I34" s="42" t="str">
        <f>_xlfn.XLOOKUP(J34,'Centro de Custo'!J$2:J$13,'Centro de Custo'!K$2:K$13)</f>
        <v>Maio</v>
      </c>
      <c r="J34" s="43">
        <f>MONTH(Tabela3[[#This Row],[Data]])</f>
        <v>5</v>
      </c>
      <c r="K34" s="39">
        <f>SUM(E$3:Tabela3[[#This Row],[Valor]])</f>
        <v>11413982.34</v>
      </c>
      <c r="L34" s="40">
        <f t="shared" si="0"/>
        <v>2.22375</v>
      </c>
      <c r="M34" s="40"/>
      <c r="N34" s="40"/>
      <c r="O34" s="40"/>
      <c r="P34" s="39"/>
      <c r="Q34" s="39"/>
      <c r="R34" s="39"/>
      <c r="S34" s="39"/>
      <c r="T34" s="39"/>
      <c r="V34">
        <f>IF(Tabela3[[#This Row],[Pago]]&lt;&gt;"",IF(F35="",Tabela3[[#This Row],[Saldo]],0))</f>
        <v>0</v>
      </c>
    </row>
    <row r="35" spans="1:22" x14ac:dyDescent="0.25">
      <c r="A35" t="s">
        <v>65</v>
      </c>
      <c r="B35" s="37">
        <v>11</v>
      </c>
      <c r="C35" t="str">
        <f>_xlfn.XLOOKUP(B35,'Centro de Custo'!A$2:A$45,'Centro de Custo'!B$2:B$45)</f>
        <v>Distribuição de Lucro</v>
      </c>
      <c r="E35" s="39">
        <v>-4320000</v>
      </c>
      <c r="F35" s="40" t="s">
        <v>10</v>
      </c>
      <c r="G35" s="41">
        <v>45061</v>
      </c>
      <c r="H35" s="42">
        <f>YEAR(Tabela3[[#This Row],[Data]])</f>
        <v>2023</v>
      </c>
      <c r="I35" s="42" t="str">
        <f>_xlfn.XLOOKUP(J35,'Centro de Custo'!J$2:J$13,'Centro de Custo'!K$2:K$13)</f>
        <v>Maio</v>
      </c>
      <c r="J35" s="43">
        <f>MONTH(Tabela3[[#This Row],[Data]])</f>
        <v>5</v>
      </c>
      <c r="K35" s="39">
        <f>SUM(E$3:Tabela3[[#This Row],[Valor]])</f>
        <v>7093982.34</v>
      </c>
      <c r="L35" s="40">
        <f t="shared" si="0"/>
        <v>2.22375</v>
      </c>
      <c r="M35" s="40"/>
      <c r="N35" s="40"/>
      <c r="O35" s="40"/>
      <c r="P35" s="39"/>
      <c r="Q35" s="39"/>
      <c r="R35" s="39"/>
      <c r="S35" s="39"/>
      <c r="T35" s="39"/>
      <c r="V35">
        <f>IF(Tabela3[[#This Row],[Pago]]&lt;&gt;"",IF(F36="",Tabela3[[#This Row],[Saldo]],0))</f>
        <v>0</v>
      </c>
    </row>
    <row r="36" spans="1:22" x14ac:dyDescent="0.25">
      <c r="A36" t="s">
        <v>66</v>
      </c>
      <c r="B36" s="37">
        <v>11</v>
      </c>
      <c r="C36" t="str">
        <f>_xlfn.XLOOKUP(B36,'Centro de Custo'!A$2:A$45,'Centro de Custo'!B$2:B$45)</f>
        <v>Distribuição de Lucro</v>
      </c>
      <c r="E36" s="39">
        <v>-4420000</v>
      </c>
      <c r="F36" s="40" t="s">
        <v>10</v>
      </c>
      <c r="G36" s="41">
        <v>45061</v>
      </c>
      <c r="H36" s="42">
        <f>YEAR(Tabela3[[#This Row],[Data]])</f>
        <v>2023</v>
      </c>
      <c r="I36" s="42" t="str">
        <f>_xlfn.XLOOKUP(J36,'Centro de Custo'!J$2:J$13,'Centro de Custo'!K$2:K$13)</f>
        <v>Maio</v>
      </c>
      <c r="J36" s="43">
        <f>MONTH(Tabela3[[#This Row],[Data]])</f>
        <v>5</v>
      </c>
      <c r="K36" s="39">
        <f>SUM(E$3:Tabela3[[#This Row],[Valor]])</f>
        <v>2673982.34</v>
      </c>
      <c r="L36" s="40">
        <f t="shared" si="0"/>
        <v>2.22375</v>
      </c>
      <c r="M36" s="40"/>
      <c r="N36" s="40"/>
      <c r="O36" s="40"/>
      <c r="P36" s="39"/>
      <c r="Q36" s="39"/>
      <c r="R36" s="39"/>
      <c r="S36" s="39"/>
      <c r="T36" s="39"/>
      <c r="V36">
        <f>IF(Tabela3[[#This Row],[Pago]]&lt;&gt;"",IF(F37="",Tabela3[[#This Row],[Saldo]],0))</f>
        <v>0</v>
      </c>
    </row>
    <row r="37" spans="1:22" x14ac:dyDescent="0.25">
      <c r="A37" t="s">
        <v>67</v>
      </c>
      <c r="B37" s="37">
        <v>30</v>
      </c>
      <c r="C37" t="str">
        <f>_xlfn.XLOOKUP(B37,'Centro de Custo'!A$2:A$45,'Centro de Custo'!B$2:B$45)</f>
        <v>Impostos</v>
      </c>
      <c r="E37" s="39">
        <v>-7906.5</v>
      </c>
      <c r="F37" s="40" t="s">
        <v>10</v>
      </c>
      <c r="G37" s="41">
        <v>45062</v>
      </c>
      <c r="H37" s="42">
        <f>YEAR(Tabela3[[#This Row],[Data]])</f>
        <v>2023</v>
      </c>
      <c r="I37" s="42" t="str">
        <f>_xlfn.XLOOKUP(J37,'Centro de Custo'!J$2:J$13,'Centro de Custo'!K$2:K$13)</f>
        <v>Maio</v>
      </c>
      <c r="J37" s="43">
        <f>MONTH(Tabela3[[#This Row],[Data]])</f>
        <v>5</v>
      </c>
      <c r="K37" s="39">
        <f>SUM(E$3:Tabela3[[#This Row],[Valor]])</f>
        <v>2666075.84</v>
      </c>
      <c r="L37" s="40">
        <f t="shared" si="0"/>
        <v>2.22375</v>
      </c>
      <c r="M37" s="40"/>
      <c r="N37" s="40"/>
      <c r="O37" s="40"/>
      <c r="P37" s="39"/>
      <c r="Q37" s="39"/>
      <c r="R37" s="39"/>
      <c r="S37" s="39"/>
      <c r="T37" s="39"/>
      <c r="V37">
        <f>IF(Tabela3[[#This Row],[Pago]]&lt;&gt;"",IF(F38="",Tabela3[[#This Row],[Saldo]],0))</f>
        <v>0</v>
      </c>
    </row>
    <row r="38" spans="1:22" x14ac:dyDescent="0.25">
      <c r="A38" t="s">
        <v>68</v>
      </c>
      <c r="B38" s="37">
        <v>2</v>
      </c>
      <c r="C38" t="str">
        <f>_xlfn.XLOOKUP(B38,'Centro de Custo'!A$2:A$45,'Centro de Custo'!B$2:B$45)</f>
        <v>Outras Receitas</v>
      </c>
      <c r="E38" s="39">
        <v>-27000</v>
      </c>
      <c r="F38" s="40" t="s">
        <v>10</v>
      </c>
      <c r="G38" s="41">
        <v>45062</v>
      </c>
      <c r="H38" s="42">
        <f>YEAR(Tabela3[[#This Row],[Data]])</f>
        <v>2023</v>
      </c>
      <c r="I38" s="42" t="str">
        <f>_xlfn.XLOOKUP(J38,'Centro de Custo'!J$2:J$13,'Centro de Custo'!K$2:K$13)</f>
        <v>Maio</v>
      </c>
      <c r="J38" s="43">
        <f>MONTH(Tabela3[[#This Row],[Data]])</f>
        <v>5</v>
      </c>
      <c r="K38" s="39">
        <f>SUM(E$3:Tabela3[[#This Row],[Valor]])</f>
        <v>2639075.84</v>
      </c>
      <c r="L38" s="40">
        <f t="shared" si="0"/>
        <v>2.22375</v>
      </c>
      <c r="M38" s="40"/>
      <c r="N38" s="40"/>
      <c r="O38" s="40"/>
      <c r="P38" s="39"/>
      <c r="Q38" s="39"/>
      <c r="R38" s="39"/>
      <c r="S38" s="39"/>
      <c r="T38" s="39"/>
      <c r="V38">
        <f>IF(Tabela3[[#This Row],[Pago]]&lt;&gt;"",IF(F39="",Tabela3[[#This Row],[Saldo]],0))</f>
        <v>0</v>
      </c>
    </row>
    <row r="39" spans="1:22" x14ac:dyDescent="0.25">
      <c r="A39" t="s">
        <v>69</v>
      </c>
      <c r="B39" s="37">
        <v>2</v>
      </c>
      <c r="C39" t="str">
        <f>_xlfn.XLOOKUP(B39,'Centro de Custo'!A$2:A$45,'Centro de Custo'!B$2:B$45)</f>
        <v>Outras Receitas</v>
      </c>
      <c r="E39" s="39">
        <v>-27000</v>
      </c>
      <c r="F39" s="40" t="s">
        <v>10</v>
      </c>
      <c r="G39" s="41">
        <v>45062</v>
      </c>
      <c r="H39" s="42">
        <f>YEAR(Tabela3[[#This Row],[Data]])</f>
        <v>2023</v>
      </c>
      <c r="I39" s="42" t="str">
        <f>_xlfn.XLOOKUP(J39,'Centro de Custo'!J$2:J$13,'Centro de Custo'!K$2:K$13)</f>
        <v>Maio</v>
      </c>
      <c r="J39" s="43">
        <f>MONTH(Tabela3[[#This Row],[Data]])</f>
        <v>5</v>
      </c>
      <c r="K39" s="39">
        <f>SUM(E$3:Tabela3[[#This Row],[Valor]])</f>
        <v>2612075.84</v>
      </c>
      <c r="L39" s="40">
        <f t="shared" si="0"/>
        <v>2.22375</v>
      </c>
      <c r="M39" s="40"/>
      <c r="N39" s="40"/>
      <c r="O39" s="40"/>
      <c r="P39" s="39"/>
      <c r="Q39" s="39"/>
      <c r="R39" s="39"/>
      <c r="S39" s="39"/>
      <c r="T39" s="39"/>
      <c r="V39">
        <f>IF(Tabela3[[#This Row],[Pago]]&lt;&gt;"",IF(F40="",Tabela3[[#This Row],[Saldo]],0))</f>
        <v>0</v>
      </c>
    </row>
    <row r="40" spans="1:22" x14ac:dyDescent="0.25">
      <c r="A40" t="s">
        <v>63</v>
      </c>
      <c r="B40" s="37">
        <v>11</v>
      </c>
      <c r="C40" t="str">
        <f>_xlfn.XLOOKUP(B40,'Centro de Custo'!A$2:A$45,'Centro de Custo'!B$2:B$45)</f>
        <v>Distribuição de Lucro</v>
      </c>
      <c r="E40" s="39">
        <v>-2150000</v>
      </c>
      <c r="F40" s="40" t="s">
        <v>10</v>
      </c>
      <c r="G40" s="41">
        <v>45062</v>
      </c>
      <c r="H40" s="42">
        <f>YEAR(Tabela3[[#This Row],[Data]])</f>
        <v>2023</v>
      </c>
      <c r="I40" s="42" t="str">
        <f>_xlfn.XLOOKUP(J40,'Centro de Custo'!J$2:J$13,'Centro de Custo'!K$2:K$13)</f>
        <v>Maio</v>
      </c>
      <c r="J40" s="43">
        <f>MONTH(Tabela3[[#This Row],[Data]])</f>
        <v>5</v>
      </c>
      <c r="K40" s="39">
        <f>SUM(E$3:Tabela3[[#This Row],[Valor]])</f>
        <v>462075.83999999985</v>
      </c>
      <c r="L40" s="40">
        <f t="shared" si="0"/>
        <v>2.22375</v>
      </c>
      <c r="M40" s="40"/>
      <c r="N40" s="40"/>
      <c r="O40" s="40"/>
      <c r="P40" s="39"/>
      <c r="Q40" s="39"/>
      <c r="R40" s="39"/>
      <c r="S40" s="39"/>
      <c r="T40" s="39"/>
      <c r="V40">
        <f>IF(Tabela3[[#This Row],[Pago]]&lt;&gt;"",IF(F41="",Tabela3[[#This Row],[Saldo]],0))</f>
        <v>0</v>
      </c>
    </row>
    <row r="41" spans="1:22" x14ac:dyDescent="0.25">
      <c r="A41" t="s">
        <v>70</v>
      </c>
      <c r="B41" s="37">
        <v>20</v>
      </c>
      <c r="C41" t="str">
        <f>_xlfn.XLOOKUP(B41,'Centro de Custo'!A$2:A$45,'Centro de Custo'!B$2:B$45)</f>
        <v>Desp. ADM</v>
      </c>
      <c r="E41" s="39">
        <v>-7</v>
      </c>
      <c r="F41" s="40" t="s">
        <v>10</v>
      </c>
      <c r="G41" s="41">
        <v>45063</v>
      </c>
      <c r="H41" s="42">
        <f>YEAR(Tabela3[[#This Row],[Data]])</f>
        <v>2023</v>
      </c>
      <c r="I41" s="42" t="str">
        <f>_xlfn.XLOOKUP(J41,'Centro de Custo'!J$2:J$13,'Centro de Custo'!K$2:K$13)</f>
        <v>Maio</v>
      </c>
      <c r="J41" s="43">
        <f>MONTH(Tabela3[[#This Row],[Data]])</f>
        <v>5</v>
      </c>
      <c r="K41" s="39">
        <f>SUM(E$3:Tabela3[[#This Row],[Valor]])</f>
        <v>462068.83999999985</v>
      </c>
      <c r="L41" s="40">
        <f t="shared" si="0"/>
        <v>2.22375</v>
      </c>
      <c r="M41" s="40"/>
      <c r="N41" s="40"/>
      <c r="O41" s="40"/>
      <c r="P41" s="39"/>
      <c r="Q41" s="39"/>
      <c r="R41" s="39"/>
      <c r="S41" s="39"/>
      <c r="T41" s="39"/>
      <c r="V41">
        <f>IF(Tabela3[[#This Row],[Pago]]&lt;&gt;"",IF(F42="",Tabela3[[#This Row],[Saldo]],0))</f>
        <v>0</v>
      </c>
    </row>
    <row r="42" spans="1:22" x14ac:dyDescent="0.25">
      <c r="A42" t="s">
        <v>71</v>
      </c>
      <c r="B42" s="37">
        <v>50</v>
      </c>
      <c r="C42" t="str">
        <f>_xlfn.XLOOKUP(B42,'Centro de Custo'!A$2:A$45,'Centro de Custo'!B$2:B$45)</f>
        <v>Empréstimos</v>
      </c>
      <c r="D42" t="s">
        <v>72</v>
      </c>
      <c r="E42" s="39">
        <v>-235000</v>
      </c>
      <c r="F42" s="40" t="s">
        <v>10</v>
      </c>
      <c r="G42" s="41">
        <v>45063</v>
      </c>
      <c r="H42" s="42">
        <f>YEAR(Tabela3[[#This Row],[Data]])</f>
        <v>2023</v>
      </c>
      <c r="I42" s="42" t="str">
        <f>_xlfn.XLOOKUP(J42,'Centro de Custo'!J$2:J$13,'Centro de Custo'!K$2:K$13)</f>
        <v>Maio</v>
      </c>
      <c r="J42" s="43">
        <f>MONTH(Tabela3[[#This Row],[Data]])</f>
        <v>5</v>
      </c>
      <c r="K42" s="39">
        <f>SUM(E$3:Tabela3[[#This Row],[Valor]])</f>
        <v>227068.83999999985</v>
      </c>
      <c r="L42" s="40">
        <f t="shared" si="0"/>
        <v>2.22375</v>
      </c>
      <c r="M42" s="40"/>
      <c r="N42" s="40"/>
      <c r="O42" s="40"/>
      <c r="P42" s="39"/>
      <c r="Q42" s="39"/>
      <c r="R42" s="39"/>
      <c r="S42" s="39"/>
      <c r="T42" s="39"/>
      <c r="V42">
        <f>IF(Tabela3[[#This Row],[Pago]]&lt;&gt;"",IF(F43="",Tabela3[[#This Row],[Saldo]],0))</f>
        <v>0</v>
      </c>
    </row>
    <row r="43" spans="1:22" x14ac:dyDescent="0.25">
      <c r="A43" t="s">
        <v>51</v>
      </c>
      <c r="B43" s="37">
        <v>41</v>
      </c>
      <c r="C43" t="str">
        <f>_xlfn.XLOOKUP(B43,'Centro de Custo'!A$2:A$45,'Centro de Custo'!B$2:B$45)</f>
        <v>Resgate Financeiro</v>
      </c>
      <c r="E43" s="39">
        <v>500000</v>
      </c>
      <c r="F43" s="40" t="s">
        <v>10</v>
      </c>
      <c r="G43" s="41">
        <v>45065</v>
      </c>
      <c r="H43" s="42">
        <f>YEAR(Tabela3[[#This Row],[Data]])</f>
        <v>2023</v>
      </c>
      <c r="I43" s="42" t="str">
        <f>_xlfn.XLOOKUP(J43,'Centro de Custo'!J$2:J$13,'Centro de Custo'!K$2:K$13)</f>
        <v>Maio</v>
      </c>
      <c r="J43" s="43">
        <f>MONTH(Tabela3[[#This Row],[Data]])</f>
        <v>5</v>
      </c>
      <c r="K43" s="39">
        <f>SUM(E$3:Tabela3[[#This Row],[Valor]])</f>
        <v>727068.8399999999</v>
      </c>
      <c r="L43" s="40">
        <f t="shared" si="0"/>
        <v>2.22375</v>
      </c>
      <c r="M43" s="40"/>
      <c r="N43" s="40"/>
      <c r="O43" s="40"/>
      <c r="P43" s="39"/>
      <c r="Q43" s="39"/>
      <c r="R43" s="39"/>
      <c r="S43" s="39"/>
      <c r="T43" s="39"/>
      <c r="V43">
        <f>IF(Tabela3[[#This Row],[Pago]]&lt;&gt;"",IF(F44="",Tabela3[[#This Row],[Saldo]],0))</f>
        <v>0</v>
      </c>
    </row>
    <row r="44" spans="1:22" x14ac:dyDescent="0.25">
      <c r="A44" t="s">
        <v>51</v>
      </c>
      <c r="B44" s="37">
        <v>40</v>
      </c>
      <c r="C44" t="str">
        <f>_xlfn.XLOOKUP(B44,'Centro de Custo'!A$2:A$45,'Centro de Custo'!B$2:B$45)</f>
        <v>Aplicação Financeira</v>
      </c>
      <c r="E44" s="39">
        <v>-720000</v>
      </c>
      <c r="F44" s="40" t="s">
        <v>10</v>
      </c>
      <c r="G44" s="41">
        <v>45069</v>
      </c>
      <c r="H44" s="42">
        <f>YEAR(Tabela3[[#This Row],[Data]])</f>
        <v>2023</v>
      </c>
      <c r="I44" s="42" t="str">
        <f>_xlfn.XLOOKUP(J44,'Centro de Custo'!J$2:J$13,'Centro de Custo'!K$2:K$13)</f>
        <v>Maio</v>
      </c>
      <c r="J44" s="43">
        <f>MONTH(Tabela3[[#This Row],[Data]])</f>
        <v>5</v>
      </c>
      <c r="K44" s="39">
        <f>SUM(E$3:Tabela3[[#This Row],[Valor]])</f>
        <v>7068.839999999851</v>
      </c>
      <c r="L44" s="40">
        <f t="shared" si="0"/>
        <v>2.22375</v>
      </c>
      <c r="M44" s="40"/>
      <c r="N44" s="40"/>
      <c r="O44" s="40"/>
      <c r="P44" s="39"/>
      <c r="Q44" s="39"/>
      <c r="R44" s="39"/>
      <c r="S44" s="39"/>
      <c r="T44" s="39"/>
      <c r="V44">
        <f>IF(Tabela3[[#This Row],[Pago]]&lt;&gt;"",IF(F45="",Tabela3[[#This Row],[Saldo]],0))</f>
        <v>0</v>
      </c>
    </row>
    <row r="45" spans="1:22" x14ac:dyDescent="0.25">
      <c r="A45" t="s">
        <v>51</v>
      </c>
      <c r="B45" s="37">
        <v>41</v>
      </c>
      <c r="C45" t="str">
        <f>_xlfn.XLOOKUP(B45,'Centro de Custo'!A$2:A$45,'Centro de Custo'!B$2:B$45)</f>
        <v>Resgate Financeiro</v>
      </c>
      <c r="E45" s="39">
        <v>50000</v>
      </c>
      <c r="F45" s="40" t="s">
        <v>10</v>
      </c>
      <c r="G45" s="41">
        <v>45070</v>
      </c>
      <c r="H45" s="42">
        <f>YEAR(Tabela3[[#This Row],[Data]])</f>
        <v>2023</v>
      </c>
      <c r="I45" s="42" t="str">
        <f>_xlfn.XLOOKUP(J45,'Centro de Custo'!J$2:J$13,'Centro de Custo'!K$2:K$13)</f>
        <v>Maio</v>
      </c>
      <c r="J45" s="43">
        <f>MONTH(Tabela3[[#This Row],[Data]])</f>
        <v>5</v>
      </c>
      <c r="K45" s="39">
        <f>SUM(E$3:Tabela3[[#This Row],[Valor]])</f>
        <v>57068.83999999985</v>
      </c>
      <c r="L45" s="40">
        <f t="shared" si="0"/>
        <v>2.22375</v>
      </c>
      <c r="M45" s="40"/>
      <c r="N45" s="40"/>
      <c r="O45" s="40"/>
      <c r="P45" s="39"/>
      <c r="Q45" s="39"/>
      <c r="R45" s="39"/>
      <c r="S45" s="39"/>
      <c r="T45" s="39"/>
      <c r="V45">
        <f>IF(Tabela3[[#This Row],[Pago]]&lt;&gt;"",IF(F46="",Tabela3[[#This Row],[Saldo]],0))</f>
        <v>0</v>
      </c>
    </row>
    <row r="46" spans="1:22" x14ac:dyDescent="0.25">
      <c r="A46" t="s">
        <v>73</v>
      </c>
      <c r="B46" s="37">
        <v>2</v>
      </c>
      <c r="C46" t="str">
        <f>_xlfn.XLOOKUP(B46,'Centro de Custo'!A$2:A$45,'Centro de Custo'!B$2:B$45)</f>
        <v>Outras Receitas</v>
      </c>
      <c r="E46" s="39">
        <v>-46800</v>
      </c>
      <c r="F46" s="40" t="s">
        <v>10</v>
      </c>
      <c r="G46" s="41">
        <v>45070</v>
      </c>
      <c r="H46" s="42">
        <f>YEAR(Tabela3[[#This Row],[Data]])</f>
        <v>2023</v>
      </c>
      <c r="I46" s="42" t="str">
        <f>_xlfn.XLOOKUP(J46,'Centro de Custo'!J$2:J$13,'Centro de Custo'!K$2:K$13)</f>
        <v>Maio</v>
      </c>
      <c r="J46" s="43">
        <f>MONTH(Tabela3[[#This Row],[Data]])</f>
        <v>5</v>
      </c>
      <c r="K46" s="39">
        <f>SUM(E$3:Tabela3[[#This Row],[Valor]])</f>
        <v>10268.839999999851</v>
      </c>
      <c r="L46" s="40">
        <f t="shared" si="0"/>
        <v>2.22375</v>
      </c>
      <c r="M46" s="40"/>
      <c r="N46" s="40"/>
      <c r="O46" s="40"/>
      <c r="P46" s="39"/>
      <c r="Q46" s="39"/>
      <c r="R46" s="39"/>
      <c r="S46" s="39"/>
      <c r="T46" s="39"/>
      <c r="V46">
        <f>IF(Tabela3[[#This Row],[Pago]]&lt;&gt;"",IF(F47="",Tabela3[[#This Row],[Saldo]],0))</f>
        <v>0</v>
      </c>
    </row>
    <row r="47" spans="1:22" x14ac:dyDescent="0.25">
      <c r="A47" t="s">
        <v>51</v>
      </c>
      <c r="B47" s="37">
        <v>41</v>
      </c>
      <c r="C47" t="str">
        <f>_xlfn.XLOOKUP(B47,'Centro de Custo'!A$2:A$45,'Centro de Custo'!B$2:B$45)</f>
        <v>Resgate Financeiro</v>
      </c>
      <c r="E47" s="39">
        <v>720039.69</v>
      </c>
      <c r="F47" s="40" t="s">
        <v>10</v>
      </c>
      <c r="G47" s="41">
        <v>45071</v>
      </c>
      <c r="H47" s="42">
        <f>YEAR(Tabela3[[#This Row],[Data]])</f>
        <v>2023</v>
      </c>
      <c r="I47" s="42" t="str">
        <f>_xlfn.XLOOKUP(J47,'Centro de Custo'!J$2:J$13,'Centro de Custo'!K$2:K$13)</f>
        <v>Maio</v>
      </c>
      <c r="J47" s="43">
        <f>MONTH(Tabela3[[#This Row],[Data]])</f>
        <v>5</v>
      </c>
      <c r="K47" s="39">
        <f>SUM(E$3:Tabela3[[#This Row],[Valor]])</f>
        <v>730308.5299999998</v>
      </c>
      <c r="L47" s="40">
        <f t="shared" si="0"/>
        <v>2.22375</v>
      </c>
      <c r="M47" s="40"/>
      <c r="N47" s="40"/>
      <c r="O47" s="40"/>
      <c r="P47" s="39"/>
      <c r="Q47" s="39"/>
      <c r="R47" s="39"/>
      <c r="S47" s="39"/>
      <c r="T47" s="39"/>
      <c r="V47">
        <f>IF(Tabela3[[#This Row],[Pago]]&lt;&gt;"",IF(F48="",Tabela3[[#This Row],[Saldo]],0))</f>
        <v>0</v>
      </c>
    </row>
    <row r="48" spans="1:22" x14ac:dyDescent="0.25">
      <c r="A48" t="s">
        <v>51</v>
      </c>
      <c r="B48" s="37">
        <v>41</v>
      </c>
      <c r="C48" t="str">
        <f>_xlfn.XLOOKUP(B48,'Centro de Custo'!A$2:A$45,'Centro de Custo'!B$2:B$45)</f>
        <v>Resgate Financeiro</v>
      </c>
      <c r="E48" s="39">
        <v>280000</v>
      </c>
      <c r="F48" s="40" t="s">
        <v>10</v>
      </c>
      <c r="G48" s="41">
        <v>45071</v>
      </c>
      <c r="H48" s="42">
        <f>YEAR(Tabela3[[#This Row],[Data]])</f>
        <v>2023</v>
      </c>
      <c r="I48" s="42" t="str">
        <f>_xlfn.XLOOKUP(J48,'Centro de Custo'!J$2:J$13,'Centro de Custo'!K$2:K$13)</f>
        <v>Maio</v>
      </c>
      <c r="J48" s="43">
        <f>MONTH(Tabela3[[#This Row],[Data]])</f>
        <v>5</v>
      </c>
      <c r="K48" s="39">
        <f>SUM(E$3:Tabela3[[#This Row],[Valor]])</f>
        <v>1010308.5299999998</v>
      </c>
      <c r="L48" s="40">
        <f t="shared" si="0"/>
        <v>2.22375</v>
      </c>
      <c r="M48" s="40"/>
      <c r="N48" s="40"/>
      <c r="O48" s="40"/>
      <c r="P48" s="39"/>
      <c r="Q48" s="39"/>
      <c r="R48" s="39"/>
      <c r="S48" s="39"/>
      <c r="T48" s="39"/>
      <c r="V48">
        <f>IF(Tabela3[[#This Row],[Pago]]&lt;&gt;"",IF(F49="",Tabela3[[#This Row],[Saldo]],0))</f>
        <v>0</v>
      </c>
    </row>
    <row r="49" spans="1:22" x14ac:dyDescent="0.25">
      <c r="A49" t="s">
        <v>45</v>
      </c>
      <c r="B49" s="37">
        <v>20</v>
      </c>
      <c r="C49" t="str">
        <f>_xlfn.XLOOKUP(B49,'Centro de Custo'!A$2:A$45,'Centro de Custo'!B$2:B$45)</f>
        <v>Desp. ADM</v>
      </c>
      <c r="E49" s="39">
        <v>-25.85</v>
      </c>
      <c r="F49" s="40" t="s">
        <v>10</v>
      </c>
      <c r="G49" s="41">
        <v>45071</v>
      </c>
      <c r="H49" s="42">
        <f>YEAR(Tabela3[[#This Row],[Data]])</f>
        <v>2023</v>
      </c>
      <c r="I49" s="42" t="str">
        <f>_xlfn.XLOOKUP(J49,'Centro de Custo'!J$2:J$13,'Centro de Custo'!K$2:K$13)</f>
        <v>Maio</v>
      </c>
      <c r="J49" s="43">
        <f>MONTH(Tabela3[[#This Row],[Data]])</f>
        <v>5</v>
      </c>
      <c r="K49" s="39">
        <f>SUM(E$3:Tabela3[[#This Row],[Valor]])</f>
        <v>1010282.6799999998</v>
      </c>
      <c r="L49" s="40">
        <f t="shared" si="0"/>
        <v>2.22375</v>
      </c>
      <c r="M49" s="40"/>
      <c r="N49" s="40"/>
      <c r="O49" s="40"/>
      <c r="P49" s="39"/>
      <c r="Q49" s="39"/>
      <c r="R49" s="39"/>
      <c r="S49" s="39"/>
      <c r="T49" s="39"/>
      <c r="V49">
        <f>IF(Tabela3[[#This Row],[Pago]]&lt;&gt;"",IF(F50="",Tabela3[[#This Row],[Saldo]],0))</f>
        <v>0</v>
      </c>
    </row>
    <row r="50" spans="1:22" x14ac:dyDescent="0.25">
      <c r="A50" t="s">
        <v>74</v>
      </c>
      <c r="B50" s="37">
        <v>30</v>
      </c>
      <c r="C50" t="str">
        <f>_xlfn.XLOOKUP(B50,'Centro de Custo'!A$2:A$45,'Centro de Custo'!B$2:B$45)</f>
        <v>Impostos</v>
      </c>
      <c r="E50" s="39">
        <v>-179520.34</v>
      </c>
      <c r="F50" s="40" t="s">
        <v>10</v>
      </c>
      <c r="G50" s="41">
        <v>45071</v>
      </c>
      <c r="H50" s="42">
        <f>YEAR(Tabela3[[#This Row],[Data]])</f>
        <v>2023</v>
      </c>
      <c r="I50" s="42" t="str">
        <f>_xlfn.XLOOKUP(J50,'Centro de Custo'!J$2:J$13,'Centro de Custo'!K$2:K$13)</f>
        <v>Maio</v>
      </c>
      <c r="J50" s="43">
        <f>MONTH(Tabela3[[#This Row],[Data]])</f>
        <v>5</v>
      </c>
      <c r="K50" s="39">
        <f>SUM(E$3:Tabela3[[#This Row],[Valor]])</f>
        <v>830762.3399999999</v>
      </c>
      <c r="L50" s="40">
        <f t="shared" si="0"/>
        <v>2.22375</v>
      </c>
      <c r="M50" s="40"/>
      <c r="N50" s="40"/>
      <c r="O50" s="40"/>
      <c r="P50" s="39"/>
      <c r="Q50" s="39"/>
      <c r="R50" s="39"/>
      <c r="S50" s="39"/>
      <c r="T50" s="39"/>
      <c r="V50">
        <f>IF(Tabela3[[#This Row],[Pago]]&lt;&gt;"",IF(F51="",Tabela3[[#This Row],[Saldo]],0))</f>
        <v>0</v>
      </c>
    </row>
    <row r="51" spans="1:22" x14ac:dyDescent="0.25">
      <c r="A51" t="s">
        <v>75</v>
      </c>
      <c r="B51" s="37">
        <v>30</v>
      </c>
      <c r="C51" t="str">
        <f>_xlfn.XLOOKUP(B51,'Centro de Custo'!A$2:A$45,'Centro de Custo'!B$2:B$45)</f>
        <v>Impostos</v>
      </c>
      <c r="E51" s="39">
        <v>-828555.42</v>
      </c>
      <c r="F51" s="40" t="s">
        <v>10</v>
      </c>
      <c r="G51" s="41">
        <v>45071</v>
      </c>
      <c r="H51" s="42">
        <f>YEAR(Tabela3[[#This Row],[Data]])</f>
        <v>2023</v>
      </c>
      <c r="I51" s="42" t="str">
        <f>_xlfn.XLOOKUP(J51,'Centro de Custo'!J$2:J$13,'Centro de Custo'!K$2:K$13)</f>
        <v>Maio</v>
      </c>
      <c r="J51" s="43">
        <f>MONTH(Tabela3[[#This Row],[Data]])</f>
        <v>5</v>
      </c>
      <c r="K51" s="39">
        <f>SUM(E$3:Tabela3[[#This Row],[Valor]])</f>
        <v>2206.919999999809</v>
      </c>
      <c r="L51" s="40">
        <f t="shared" si="0"/>
        <v>2.22375</v>
      </c>
      <c r="M51" s="40"/>
      <c r="N51" s="40"/>
      <c r="O51" s="40"/>
      <c r="P51" s="39"/>
      <c r="Q51" s="39"/>
      <c r="R51" s="39"/>
      <c r="S51" s="39"/>
      <c r="T51" s="39"/>
      <c r="V51">
        <f>IF(Tabela3[[#This Row],[Pago]]&lt;&gt;"",IF(F52="",Tabela3[[#This Row],[Saldo]],0))</f>
        <v>0</v>
      </c>
    </row>
    <row r="52" spans="1:22" x14ac:dyDescent="0.25">
      <c r="A52" t="s">
        <v>51</v>
      </c>
      <c r="B52" s="37">
        <v>41</v>
      </c>
      <c r="C52" t="str">
        <f>_xlfn.XLOOKUP(B52,'Centro de Custo'!A$2:A$45,'Centro de Custo'!B$2:B$45)</f>
        <v>Resgate Financeiro</v>
      </c>
      <c r="E52" s="39">
        <v>300000</v>
      </c>
      <c r="F52" s="40" t="s">
        <v>10</v>
      </c>
      <c r="G52" s="41">
        <v>45072</v>
      </c>
      <c r="H52" s="42">
        <f>YEAR(Tabela3[[#This Row],[Data]])</f>
        <v>2023</v>
      </c>
      <c r="I52" s="42" t="str">
        <f>_xlfn.XLOOKUP(J52,'Centro de Custo'!J$2:J$13,'Centro de Custo'!K$2:K$13)</f>
        <v>Maio</v>
      </c>
      <c r="J52" s="43">
        <f>MONTH(Tabela3[[#This Row],[Data]])</f>
        <v>5</v>
      </c>
      <c r="K52" s="39">
        <f>SUM(E$3:Tabela3[[#This Row],[Valor]])</f>
        <v>302206.9199999998</v>
      </c>
      <c r="L52" s="40">
        <f t="shared" si="0"/>
        <v>2.22375</v>
      </c>
      <c r="M52" s="40"/>
      <c r="N52" s="40"/>
      <c r="O52" s="40"/>
      <c r="P52" s="39"/>
      <c r="Q52" s="39"/>
      <c r="R52" s="39"/>
      <c r="S52" s="39"/>
      <c r="T52" s="39"/>
      <c r="V52">
        <f>IF(Tabela3[[#This Row],[Pago]]&lt;&gt;"",IF(F53="",Tabela3[[#This Row],[Saldo]],0))</f>
        <v>0</v>
      </c>
    </row>
    <row r="53" spans="1:22" x14ac:dyDescent="0.25">
      <c r="A53" t="s">
        <v>71</v>
      </c>
      <c r="B53" s="37">
        <v>50</v>
      </c>
      <c r="C53" t="str">
        <f>_xlfn.XLOOKUP(B53,'Centro de Custo'!A$2:A$45,'Centro de Custo'!B$2:B$45)</f>
        <v>Empréstimos</v>
      </c>
      <c r="D53" t="s">
        <v>76</v>
      </c>
      <c r="E53" s="39">
        <v>-235000</v>
      </c>
      <c r="F53" s="40" t="s">
        <v>10</v>
      </c>
      <c r="G53" s="41">
        <v>45072</v>
      </c>
      <c r="H53" s="42">
        <f>YEAR(Tabela3[[#This Row],[Data]])</f>
        <v>2023</v>
      </c>
      <c r="I53" s="42" t="str">
        <f>_xlfn.XLOOKUP(J53,'Centro de Custo'!J$2:J$13,'Centro de Custo'!K$2:K$13)</f>
        <v>Maio</v>
      </c>
      <c r="J53" s="43">
        <f>MONTH(Tabela3[[#This Row],[Data]])</f>
        <v>5</v>
      </c>
      <c r="K53" s="39">
        <f>SUM(E$3:Tabela3[[#This Row],[Valor]])</f>
        <v>67206.91999999981</v>
      </c>
      <c r="L53" s="40">
        <f t="shared" si="0"/>
        <v>2.22375</v>
      </c>
      <c r="M53" s="40"/>
      <c r="N53" s="40"/>
      <c r="O53" s="40"/>
      <c r="P53" s="39"/>
      <c r="Q53" s="39"/>
      <c r="R53" s="39"/>
      <c r="S53" s="39"/>
      <c r="T53" s="39"/>
      <c r="V53">
        <f>IF(Tabela3[[#This Row],[Pago]]&lt;&gt;"",IF(F54="",Tabela3[[#This Row],[Saldo]],0))</f>
        <v>0</v>
      </c>
    </row>
    <row r="54" spans="1:22" x14ac:dyDescent="0.25">
      <c r="A54" t="s">
        <v>51</v>
      </c>
      <c r="B54" s="37">
        <v>41</v>
      </c>
      <c r="C54" t="str">
        <f>_xlfn.XLOOKUP(B54,'Centro de Custo'!A$2:A$45,'Centro de Custo'!B$2:B$45)</f>
        <v>Resgate Financeiro</v>
      </c>
      <c r="E54" s="39">
        <v>200000</v>
      </c>
      <c r="F54" s="40" t="s">
        <v>10</v>
      </c>
      <c r="G54" s="41">
        <v>45079</v>
      </c>
      <c r="H54" s="42">
        <f>YEAR(Tabela3[[#This Row],[Data]])</f>
        <v>2023</v>
      </c>
      <c r="I54" s="42" t="str">
        <f>_xlfn.XLOOKUP(J54,'Centro de Custo'!J$2:J$13,'Centro de Custo'!K$2:K$13)</f>
        <v>Junho</v>
      </c>
      <c r="J54" s="43">
        <f>MONTH(Tabela3[[#This Row],[Data]])</f>
        <v>6</v>
      </c>
      <c r="K54" s="39">
        <f>SUM(E$3:Tabela3[[#This Row],[Valor]])</f>
        <v>267206.9199999998</v>
      </c>
      <c r="L54" s="40">
        <f t="shared" si="0"/>
        <v>2.22375</v>
      </c>
      <c r="M54" s="40"/>
      <c r="N54" s="40"/>
      <c r="O54" s="40"/>
      <c r="P54" s="39"/>
      <c r="Q54" s="39"/>
      <c r="R54" s="39"/>
      <c r="S54" s="39"/>
      <c r="T54" s="39"/>
      <c r="V54">
        <f>IF(Tabela3[[#This Row],[Pago]]&lt;&gt;"",IF(F55="",Tabela3[[#This Row],[Saldo]],0))</f>
        <v>0</v>
      </c>
    </row>
    <row r="55" spans="1:22" x14ac:dyDescent="0.25">
      <c r="A55" t="s">
        <v>77</v>
      </c>
      <c r="B55" s="37">
        <v>20</v>
      </c>
      <c r="C55" t="str">
        <f>_xlfn.XLOOKUP(B55,'Centro de Custo'!A$2:A$45,'Centro de Custo'!B$2:B$45)</f>
        <v>Desp. ADM</v>
      </c>
      <c r="E55" s="39">
        <v>-76</v>
      </c>
      <c r="F55" s="40" t="s">
        <v>10</v>
      </c>
      <c r="G55" s="41">
        <v>45079</v>
      </c>
      <c r="H55" s="42">
        <f>YEAR(Tabela3[[#This Row],[Data]])</f>
        <v>2023</v>
      </c>
      <c r="I55" s="42" t="str">
        <f>_xlfn.XLOOKUP(J55,'Centro de Custo'!J$2:J$13,'Centro de Custo'!K$2:K$13)</f>
        <v>Junho</v>
      </c>
      <c r="J55" s="43">
        <f>MONTH(Tabela3[[#This Row],[Data]])</f>
        <v>6</v>
      </c>
      <c r="K55" s="39">
        <f>SUM(E$3:Tabela3[[#This Row],[Valor]])</f>
        <v>267130.9199999998</v>
      </c>
      <c r="L55" s="40">
        <f t="shared" si="0"/>
        <v>2.22375</v>
      </c>
      <c r="M55" s="40"/>
      <c r="N55" s="40"/>
      <c r="O55" s="40"/>
      <c r="P55" s="39"/>
      <c r="Q55" s="39"/>
      <c r="R55" s="39"/>
      <c r="S55" s="39"/>
      <c r="T55" s="39"/>
      <c r="V55">
        <f>IF(Tabela3[[#This Row],[Pago]]&lt;&gt;"",IF(F56="",Tabela3[[#This Row],[Saldo]],0))</f>
        <v>0</v>
      </c>
    </row>
    <row r="56" spans="1:22" x14ac:dyDescent="0.25">
      <c r="A56" t="s">
        <v>78</v>
      </c>
      <c r="B56" s="37">
        <v>13</v>
      </c>
      <c r="C56" t="str">
        <f>_xlfn.XLOOKUP(B56,'Centro de Custo'!A$2:A$45,'Centro de Custo'!B$2:B$45)</f>
        <v>Terceirizados</v>
      </c>
      <c r="E56" s="39">
        <v>-7000</v>
      </c>
      <c r="F56" s="40" t="s">
        <v>10</v>
      </c>
      <c r="G56" s="41">
        <v>45079</v>
      </c>
      <c r="H56" s="42">
        <f>YEAR(Tabela3[[#This Row],[Data]])</f>
        <v>2023</v>
      </c>
      <c r="I56" s="42" t="str">
        <f>_xlfn.XLOOKUP(J56,'Centro de Custo'!J$2:J$13,'Centro de Custo'!K$2:K$13)</f>
        <v>Junho</v>
      </c>
      <c r="J56" s="43">
        <f>MONTH(Tabela3[[#This Row],[Data]])</f>
        <v>6</v>
      </c>
      <c r="K56" s="39">
        <f>SUM(E$3:Tabela3[[#This Row],[Valor]])</f>
        <v>260130.9199999998</v>
      </c>
      <c r="L56" s="40">
        <f t="shared" si="0"/>
        <v>2.22375</v>
      </c>
      <c r="M56" s="40"/>
      <c r="N56" s="40"/>
      <c r="O56" s="40"/>
      <c r="P56" s="39"/>
      <c r="Q56" s="39"/>
      <c r="R56" s="39"/>
      <c r="S56" s="39"/>
      <c r="T56" s="39"/>
      <c r="V56">
        <f>IF(Tabela3[[#This Row],[Pago]]&lt;&gt;"",IF(F57="",Tabela3[[#This Row],[Saldo]],0))</f>
        <v>0</v>
      </c>
    </row>
    <row r="57" spans="1:22" x14ac:dyDescent="0.25">
      <c r="A57" t="s">
        <v>79</v>
      </c>
      <c r="B57" s="37">
        <v>10</v>
      </c>
      <c r="C57" t="str">
        <f>_xlfn.XLOOKUP(B57,'Centro de Custo'!A$2:A$45,'Centro de Custo'!B$2:B$45)</f>
        <v>Retirada Mensal</v>
      </c>
      <c r="E57" s="39">
        <v>-10000</v>
      </c>
      <c r="F57" s="40" t="s">
        <v>10</v>
      </c>
      <c r="G57" s="41">
        <v>45079</v>
      </c>
      <c r="H57" s="42">
        <f>YEAR(Tabela3[[#This Row],[Data]])</f>
        <v>2023</v>
      </c>
      <c r="I57" s="42" t="str">
        <f>_xlfn.XLOOKUP(J57,'Centro de Custo'!J$2:J$13,'Centro de Custo'!K$2:K$13)</f>
        <v>Junho</v>
      </c>
      <c r="J57" s="43">
        <f>MONTH(Tabela3[[#This Row],[Data]])</f>
        <v>6</v>
      </c>
      <c r="K57" s="39">
        <f>SUM(E$3:Tabela3[[#This Row],[Valor]])</f>
        <v>250130.9199999998</v>
      </c>
      <c r="L57" s="40">
        <f t="shared" si="0"/>
        <v>2.22375</v>
      </c>
      <c r="M57" s="40"/>
      <c r="N57" s="40"/>
      <c r="O57" s="40"/>
      <c r="P57" s="39"/>
      <c r="Q57" s="39"/>
      <c r="R57" s="39"/>
      <c r="S57" s="39"/>
      <c r="T57" s="39"/>
      <c r="V57">
        <f>IF(Tabela3[[#This Row],[Pago]]&lt;&gt;"",IF(F58="",Tabela3[[#This Row],[Saldo]],0))</f>
        <v>0</v>
      </c>
    </row>
    <row r="58" spans="1:22" x14ac:dyDescent="0.25">
      <c r="A58" t="s">
        <v>55</v>
      </c>
      <c r="B58" s="37">
        <v>10</v>
      </c>
      <c r="C58" t="str">
        <f>_xlfn.XLOOKUP(B58,'Centro de Custo'!A$2:A$45,'Centro de Custo'!B$2:B$45)</f>
        <v>Retirada Mensal</v>
      </c>
      <c r="E58" s="39">
        <v>-10700</v>
      </c>
      <c r="F58" s="40" t="s">
        <v>10</v>
      </c>
      <c r="G58" s="41">
        <v>45079</v>
      </c>
      <c r="H58" s="42">
        <f>YEAR(Tabela3[[#This Row],[Data]])</f>
        <v>2023</v>
      </c>
      <c r="I58" s="42" t="str">
        <f>_xlfn.XLOOKUP(J58,'Centro de Custo'!J$2:J$13,'Centro de Custo'!K$2:K$13)</f>
        <v>Junho</v>
      </c>
      <c r="J58" s="43">
        <f>MONTH(Tabela3[[#This Row],[Data]])</f>
        <v>6</v>
      </c>
      <c r="K58" s="39">
        <f>SUM(E$3:Tabela3[[#This Row],[Valor]])</f>
        <v>239430.9199999998</v>
      </c>
      <c r="L58" s="40">
        <f t="shared" si="0"/>
        <v>2.22375</v>
      </c>
      <c r="M58" s="40"/>
      <c r="N58" s="40"/>
      <c r="O58" s="40"/>
      <c r="P58" s="39"/>
      <c r="Q58" s="39"/>
      <c r="R58" s="39"/>
      <c r="S58" s="39"/>
      <c r="T58" s="39"/>
      <c r="V58">
        <f>IF(Tabela3[[#This Row],[Pago]]&lt;&gt;"",IF(F59="",Tabela3[[#This Row],[Saldo]],0))</f>
        <v>0</v>
      </c>
    </row>
    <row r="59" spans="1:22" x14ac:dyDescent="0.25">
      <c r="A59" t="s">
        <v>58</v>
      </c>
      <c r="B59" s="37">
        <v>10</v>
      </c>
      <c r="C59" t="str">
        <f>_xlfn.XLOOKUP(B59,'Centro de Custo'!A$2:A$45,'Centro de Custo'!B$2:B$45)</f>
        <v>Retirada Mensal</v>
      </c>
      <c r="E59" s="39">
        <v>-10715</v>
      </c>
      <c r="F59" s="40" t="s">
        <v>10</v>
      </c>
      <c r="G59" s="41">
        <v>45079</v>
      </c>
      <c r="H59" s="42">
        <f>YEAR(Tabela3[[#This Row],[Data]])</f>
        <v>2023</v>
      </c>
      <c r="I59" s="42" t="str">
        <f>_xlfn.XLOOKUP(J59,'Centro de Custo'!J$2:J$13,'Centro de Custo'!K$2:K$13)</f>
        <v>Junho</v>
      </c>
      <c r="J59" s="43">
        <f>MONTH(Tabela3[[#This Row],[Data]])</f>
        <v>6</v>
      </c>
      <c r="K59" s="39">
        <f>SUM(E$3:Tabela3[[#This Row],[Valor]])</f>
        <v>228715.9199999998</v>
      </c>
      <c r="L59" s="40">
        <f t="shared" si="0"/>
        <v>2.22375</v>
      </c>
      <c r="M59" s="40"/>
      <c r="N59" s="40"/>
      <c r="O59" s="40"/>
      <c r="P59" s="39"/>
      <c r="Q59" s="39"/>
      <c r="R59" s="39"/>
      <c r="S59" s="39"/>
      <c r="T59" s="39"/>
      <c r="V59">
        <f>IF(Tabela3[[#This Row],[Pago]]&lt;&gt;"",IF(F60="",Tabela3[[#This Row],[Saldo]],0))</f>
        <v>0</v>
      </c>
    </row>
    <row r="60" spans="1:22" x14ac:dyDescent="0.25">
      <c r="A60" t="s">
        <v>56</v>
      </c>
      <c r="B60" s="37">
        <v>10</v>
      </c>
      <c r="C60" t="str">
        <f>_xlfn.XLOOKUP(B60,'Centro de Custo'!A$2:A$45,'Centro de Custo'!B$2:B$45)</f>
        <v>Retirada Mensal</v>
      </c>
      <c r="E60" s="39">
        <v>-12950</v>
      </c>
      <c r="F60" s="40" t="s">
        <v>10</v>
      </c>
      <c r="G60" s="41">
        <v>45079</v>
      </c>
      <c r="H60" s="42">
        <f>YEAR(Tabela3[[#This Row],[Data]])</f>
        <v>2023</v>
      </c>
      <c r="I60" s="42" t="str">
        <f>_xlfn.XLOOKUP(J60,'Centro de Custo'!J$2:J$13,'Centro de Custo'!K$2:K$13)</f>
        <v>Junho</v>
      </c>
      <c r="J60" s="43">
        <f>MONTH(Tabela3[[#This Row],[Data]])</f>
        <v>6</v>
      </c>
      <c r="K60" s="39">
        <f>SUM(E$3:Tabela3[[#This Row],[Valor]])</f>
        <v>215765.9199999998</v>
      </c>
      <c r="L60" s="40">
        <f t="shared" si="0"/>
        <v>2.22375</v>
      </c>
      <c r="M60" s="40"/>
      <c r="N60" s="40"/>
      <c r="O60" s="40"/>
      <c r="P60" s="39"/>
      <c r="Q60" s="39"/>
      <c r="R60" s="39"/>
      <c r="S60" s="39"/>
      <c r="T60" s="39"/>
      <c r="V60">
        <f>IF(Tabela3[[#This Row],[Pago]]&lt;&gt;"",IF(F61="",Tabela3[[#This Row],[Saldo]],0))</f>
        <v>0</v>
      </c>
    </row>
    <row r="61" spans="1:22" x14ac:dyDescent="0.25">
      <c r="A61" t="s">
        <v>57</v>
      </c>
      <c r="B61" s="37">
        <v>10</v>
      </c>
      <c r="C61" t="str">
        <f>_xlfn.XLOOKUP(B61,'Centro de Custo'!A$2:A$45,'Centro de Custo'!B$2:B$45)</f>
        <v>Retirada Mensal</v>
      </c>
      <c r="E61" s="39">
        <v>-16000</v>
      </c>
      <c r="F61" s="40" t="s">
        <v>10</v>
      </c>
      <c r="G61" s="41">
        <v>45079</v>
      </c>
      <c r="H61" s="42">
        <f>YEAR(Tabela3[[#This Row],[Data]])</f>
        <v>2023</v>
      </c>
      <c r="I61" s="42" t="str">
        <f>_xlfn.XLOOKUP(J61,'Centro de Custo'!J$2:J$13,'Centro de Custo'!K$2:K$13)</f>
        <v>Junho</v>
      </c>
      <c r="J61" s="43">
        <f>MONTH(Tabela3[[#This Row],[Data]])</f>
        <v>6</v>
      </c>
      <c r="K61" s="39">
        <f>SUM(E$3:Tabela3[[#This Row],[Valor]])</f>
        <v>199765.9199999998</v>
      </c>
      <c r="L61" s="40">
        <f t="shared" si="0"/>
        <v>2.22375</v>
      </c>
      <c r="M61" s="40"/>
      <c r="N61" s="40"/>
      <c r="O61" s="40"/>
      <c r="P61" s="39"/>
      <c r="Q61" s="39"/>
      <c r="R61" s="39"/>
      <c r="S61" s="39"/>
      <c r="T61" s="39"/>
      <c r="V61">
        <f>IF(Tabela3[[#This Row],[Pago]]&lt;&gt;"",IF(F62="",Tabela3[[#This Row],[Saldo]],0))</f>
        <v>0</v>
      </c>
    </row>
    <row r="62" spans="1:22" x14ac:dyDescent="0.25">
      <c r="A62" t="s">
        <v>80</v>
      </c>
      <c r="B62" s="37">
        <v>10</v>
      </c>
      <c r="C62" t="str">
        <f>_xlfn.XLOOKUP(B62,'Centro de Custo'!A$2:A$45,'Centro de Custo'!B$2:B$45)</f>
        <v>Retirada Mensal</v>
      </c>
      <c r="E62" s="39">
        <v>-17000</v>
      </c>
      <c r="F62" s="40" t="s">
        <v>10</v>
      </c>
      <c r="G62" s="41">
        <v>45079</v>
      </c>
      <c r="H62" s="42">
        <f>YEAR(Tabela3[[#This Row],[Data]])</f>
        <v>2023</v>
      </c>
      <c r="I62" s="42" t="str">
        <f>_xlfn.XLOOKUP(J62,'Centro de Custo'!J$2:J$13,'Centro de Custo'!K$2:K$13)</f>
        <v>Junho</v>
      </c>
      <c r="J62" s="43">
        <f>MONTH(Tabela3[[#This Row],[Data]])</f>
        <v>6</v>
      </c>
      <c r="K62" s="39">
        <f>SUM(E$3:Tabela3[[#This Row],[Valor]])</f>
        <v>182765.9199999998</v>
      </c>
      <c r="L62" s="40">
        <f t="shared" si="0"/>
        <v>2.22375</v>
      </c>
      <c r="M62" s="40"/>
      <c r="N62" s="40"/>
      <c r="O62" s="40"/>
      <c r="P62" s="39"/>
      <c r="Q62" s="39"/>
      <c r="R62" s="39"/>
      <c r="S62" s="39"/>
      <c r="T62" s="39"/>
      <c r="V62">
        <f>IF(Tabela3[[#This Row],[Pago]]&lt;&gt;"",IF(F63="",Tabela3[[#This Row],[Saldo]],0))</f>
        <v>0</v>
      </c>
    </row>
    <row r="63" spans="1:22" x14ac:dyDescent="0.25">
      <c r="A63" t="s">
        <v>81</v>
      </c>
      <c r="B63" s="37">
        <v>3</v>
      </c>
      <c r="C63" t="str">
        <f>_xlfn.XLOOKUP(B63,'Centro de Custo'!A$2:A$45,'Centro de Custo'!B$2:B$45)</f>
        <v>Investimentos</v>
      </c>
      <c r="E63" s="39">
        <v>-70000</v>
      </c>
      <c r="F63" s="40" t="s">
        <v>10</v>
      </c>
      <c r="G63" s="41">
        <v>45079</v>
      </c>
      <c r="H63" s="42">
        <f>YEAR(Tabela3[[#This Row],[Data]])</f>
        <v>2023</v>
      </c>
      <c r="I63" s="42" t="str">
        <f>_xlfn.XLOOKUP(J63,'Centro de Custo'!J$2:J$13,'Centro de Custo'!K$2:K$13)</f>
        <v>Junho</v>
      </c>
      <c r="J63" s="43">
        <f>MONTH(Tabela3[[#This Row],[Data]])</f>
        <v>6</v>
      </c>
      <c r="K63" s="39">
        <f>SUM(E$3:Tabela3[[#This Row],[Valor]])</f>
        <v>112765.91999999981</v>
      </c>
      <c r="L63" s="40">
        <f t="shared" si="0"/>
        <v>2.22375</v>
      </c>
      <c r="M63" s="40"/>
      <c r="N63" s="40"/>
      <c r="O63" s="40"/>
      <c r="P63" s="39"/>
      <c r="Q63" s="39"/>
      <c r="R63" s="39"/>
      <c r="S63" s="39"/>
      <c r="T63" s="39"/>
      <c r="V63">
        <f>IF(Tabela3[[#This Row],[Pago]]&lt;&gt;"",IF(F64="",Tabela3[[#This Row],[Saldo]],0))</f>
        <v>0</v>
      </c>
    </row>
    <row r="64" spans="1:22" x14ac:dyDescent="0.25">
      <c r="A64" t="s">
        <v>82</v>
      </c>
      <c r="B64" s="37">
        <v>13</v>
      </c>
      <c r="C64" t="str">
        <f>_xlfn.XLOOKUP(B64,'Centro de Custo'!A$2:A$45,'Centro de Custo'!B$2:B$45)</f>
        <v>Terceirizados</v>
      </c>
      <c r="E64" s="39">
        <v>-87000</v>
      </c>
      <c r="F64" s="40" t="s">
        <v>10</v>
      </c>
      <c r="G64" s="41">
        <v>45079</v>
      </c>
      <c r="H64" s="42">
        <f>YEAR(Tabela3[[#This Row],[Data]])</f>
        <v>2023</v>
      </c>
      <c r="I64" s="42" t="str">
        <f>_xlfn.XLOOKUP(J64,'Centro de Custo'!J$2:J$13,'Centro de Custo'!K$2:K$13)</f>
        <v>Junho</v>
      </c>
      <c r="J64" s="43">
        <f>MONTH(Tabela3[[#This Row],[Data]])</f>
        <v>6</v>
      </c>
      <c r="K64" s="39">
        <f>SUM(E$3:Tabela3[[#This Row],[Valor]])</f>
        <v>25765.91999999981</v>
      </c>
      <c r="L64" s="40">
        <f t="shared" si="0"/>
        <v>2.22375</v>
      </c>
      <c r="M64" s="40"/>
      <c r="N64" s="40"/>
      <c r="O64" s="40"/>
      <c r="P64" s="39"/>
      <c r="Q64" s="39"/>
      <c r="R64" s="39"/>
      <c r="S64" s="39"/>
      <c r="T64" s="39"/>
      <c r="V64">
        <f>IF(Tabela3[[#This Row],[Pago]]&lt;&gt;"",IF(F65="",Tabela3[[#This Row],[Saldo]],0))</f>
        <v>0</v>
      </c>
    </row>
    <row r="65" spans="1:22" x14ac:dyDescent="0.25">
      <c r="A65" t="s">
        <v>60</v>
      </c>
      <c r="B65" s="37">
        <v>20</v>
      </c>
      <c r="C65" t="str">
        <f>_xlfn.XLOOKUP(B65,'Centro de Custo'!A$2:A$45,'Centro de Custo'!B$2:B$45)</f>
        <v>Desp. ADM</v>
      </c>
      <c r="E65" s="39">
        <v>-373.99</v>
      </c>
      <c r="F65" s="40" t="s">
        <v>10</v>
      </c>
      <c r="G65" s="41">
        <v>45080</v>
      </c>
      <c r="H65" s="42">
        <f>YEAR(Tabela3[[#This Row],[Data]])</f>
        <v>2023</v>
      </c>
      <c r="I65" s="42" t="str">
        <f>_xlfn.XLOOKUP(J65,'Centro de Custo'!J$2:J$13,'Centro de Custo'!K$2:K$13)</f>
        <v>Junho</v>
      </c>
      <c r="J65" s="43">
        <f>MONTH(Tabela3[[#This Row],[Data]])</f>
        <v>6</v>
      </c>
      <c r="K65" s="39">
        <f>SUM(E$3:Tabela3[[#This Row],[Valor]])</f>
        <v>25391.929999999807</v>
      </c>
      <c r="L65" s="40">
        <f t="shared" si="0"/>
        <v>2.22375</v>
      </c>
      <c r="M65" s="40"/>
      <c r="N65" s="40"/>
      <c r="O65" s="40"/>
      <c r="P65" s="39"/>
      <c r="Q65" s="39"/>
      <c r="R65" s="39"/>
      <c r="S65" s="39"/>
      <c r="T65" s="39"/>
      <c r="V65">
        <f>IF(Tabela3[[#This Row],[Pago]]&lt;&gt;"",IF(F66="",Tabela3[[#This Row],[Saldo]],0))</f>
        <v>0</v>
      </c>
    </row>
    <row r="66" spans="1:22" x14ac:dyDescent="0.25">
      <c r="A66" t="s">
        <v>83</v>
      </c>
      <c r="B66" s="37">
        <v>20</v>
      </c>
      <c r="C66" t="str">
        <f>_xlfn.XLOOKUP(B66,'Centro de Custo'!A$2:A$45,'Centro de Custo'!B$2:B$45)</f>
        <v>Desp. ADM</v>
      </c>
      <c r="E66" s="39">
        <v>-93.35</v>
      </c>
      <c r="F66" s="40" t="s">
        <v>10</v>
      </c>
      <c r="G66" s="41">
        <v>45082</v>
      </c>
      <c r="H66" s="42">
        <f>YEAR(Tabela3[[#This Row],[Data]])</f>
        <v>2023</v>
      </c>
      <c r="I66" s="42" t="str">
        <f>_xlfn.XLOOKUP(J66,'Centro de Custo'!J$2:J$13,'Centro de Custo'!K$2:K$13)</f>
        <v>Junho</v>
      </c>
      <c r="J66" s="43">
        <f>MONTH(Tabela3[[#This Row],[Data]])</f>
        <v>6</v>
      </c>
      <c r="K66" s="39">
        <f>SUM(E$3:Tabela3[[#This Row],[Valor]])</f>
        <v>25298.57999999981</v>
      </c>
      <c r="L66" s="40">
        <f t="shared" si="0"/>
        <v>2.22375</v>
      </c>
      <c r="M66" s="40"/>
      <c r="N66" s="40"/>
      <c r="O66" s="40"/>
      <c r="P66" s="39"/>
      <c r="Q66" s="39"/>
      <c r="R66" s="39"/>
      <c r="S66" s="39"/>
      <c r="T66" s="39"/>
      <c r="V66">
        <f>IF(Tabela3[[#This Row],[Pago]]&lt;&gt;"",IF(F67="",Tabela3[[#This Row],[Saldo]],0))</f>
        <v>0</v>
      </c>
    </row>
    <row r="67" spans="1:22" x14ac:dyDescent="0.25">
      <c r="A67" t="s">
        <v>84</v>
      </c>
      <c r="B67" s="37">
        <v>13</v>
      </c>
      <c r="C67" t="str">
        <f>_xlfn.XLOOKUP(B67,'Centro de Custo'!A$2:A$45,'Centro de Custo'!B$2:B$45)</f>
        <v>Terceirizados</v>
      </c>
      <c r="E67" s="39">
        <v>-10000</v>
      </c>
      <c r="F67" s="40" t="s">
        <v>10</v>
      </c>
      <c r="G67" s="41">
        <v>45082</v>
      </c>
      <c r="H67" s="42">
        <f>YEAR(Tabela3[[#This Row],[Data]])</f>
        <v>2023</v>
      </c>
      <c r="I67" s="42" t="str">
        <f>_xlfn.XLOOKUP(J67,'Centro de Custo'!J$2:J$13,'Centro de Custo'!K$2:K$13)</f>
        <v>Junho</v>
      </c>
      <c r="J67" s="43">
        <f>MONTH(Tabela3[[#This Row],[Data]])</f>
        <v>6</v>
      </c>
      <c r="K67" s="39">
        <f>SUM(E$3:Tabela3[[#This Row],[Valor]])</f>
        <v>15298.579999999809</v>
      </c>
      <c r="L67" s="40">
        <f t="shared" ref="L67:L130" si="1">17.79/8</f>
        <v>2.22375</v>
      </c>
      <c r="M67" s="40"/>
      <c r="N67" s="40"/>
      <c r="O67" s="40"/>
      <c r="P67" s="39"/>
      <c r="Q67" s="39"/>
      <c r="R67" s="39"/>
      <c r="S67" s="39"/>
      <c r="T67" s="39"/>
      <c r="V67">
        <f>IF(Tabela3[[#This Row],[Pago]]&lt;&gt;"",IF(F68="",Tabela3[[#This Row],[Saldo]],0))</f>
        <v>0</v>
      </c>
    </row>
    <row r="68" spans="1:22" x14ac:dyDescent="0.25">
      <c r="A68" t="s">
        <v>85</v>
      </c>
      <c r="B68" s="37">
        <v>13</v>
      </c>
      <c r="C68" t="str">
        <f>_xlfn.XLOOKUP(B68,'Centro de Custo'!A$2:A$45,'Centro de Custo'!B$2:B$45)</f>
        <v>Terceirizados</v>
      </c>
      <c r="E68" s="39">
        <v>-10000</v>
      </c>
      <c r="F68" s="40" t="s">
        <v>10</v>
      </c>
      <c r="G68" s="41">
        <v>45082</v>
      </c>
      <c r="H68" s="42">
        <f>YEAR(Tabela3[[#This Row],[Data]])</f>
        <v>2023</v>
      </c>
      <c r="I68" s="42" t="str">
        <f>_xlfn.XLOOKUP(J68,'Centro de Custo'!J$2:J$13,'Centro de Custo'!K$2:K$13)</f>
        <v>Junho</v>
      </c>
      <c r="J68" s="43">
        <f>MONTH(Tabela3[[#This Row],[Data]])</f>
        <v>6</v>
      </c>
      <c r="K68" s="39">
        <f>SUM(E$3:Tabela3[[#This Row],[Valor]])</f>
        <v>5298.579999999809</v>
      </c>
      <c r="L68" s="40">
        <f t="shared" si="1"/>
        <v>2.22375</v>
      </c>
      <c r="M68" s="40"/>
      <c r="N68" s="40"/>
      <c r="O68" s="40"/>
      <c r="P68" s="39"/>
      <c r="Q68" s="39"/>
      <c r="R68" s="39"/>
      <c r="S68" s="39"/>
      <c r="T68" s="39"/>
      <c r="V68">
        <f>IF(Tabela3[[#This Row],[Pago]]&lt;&gt;"",IF(F69="",Tabela3[[#This Row],[Saldo]],0))</f>
        <v>0</v>
      </c>
    </row>
    <row r="69" spans="1:22" x14ac:dyDescent="0.25">
      <c r="A69" t="s">
        <v>51</v>
      </c>
      <c r="B69" s="37">
        <v>41</v>
      </c>
      <c r="C69" t="str">
        <f>_xlfn.XLOOKUP(B69,'Centro de Custo'!A$2:A$45,'Centro de Custo'!B$2:B$45)</f>
        <v>Resgate Financeiro</v>
      </c>
      <c r="E69" s="39">
        <v>40044.34</v>
      </c>
      <c r="F69" s="40" t="s">
        <v>10</v>
      </c>
      <c r="G69" s="41">
        <v>45091</v>
      </c>
      <c r="H69" s="42">
        <f>YEAR(Tabela3[[#This Row],[Data]])</f>
        <v>2023</v>
      </c>
      <c r="I69" s="42" t="str">
        <f>_xlfn.XLOOKUP(J69,'Centro de Custo'!J$2:J$13,'Centro de Custo'!K$2:K$13)</f>
        <v>Junho</v>
      </c>
      <c r="J69" s="43">
        <f>MONTH(Tabela3[[#This Row],[Data]])</f>
        <v>6</v>
      </c>
      <c r="K69" s="39">
        <f>SUM(E$3:Tabela3[[#This Row],[Valor]])</f>
        <v>45342.91999999981</v>
      </c>
      <c r="L69" s="40">
        <f t="shared" si="1"/>
        <v>2.22375</v>
      </c>
      <c r="M69" s="40"/>
      <c r="N69" s="40"/>
      <c r="O69" s="40"/>
      <c r="P69" s="39"/>
      <c r="Q69" s="39"/>
      <c r="R69" s="39"/>
      <c r="S69" s="39"/>
      <c r="T69" s="39"/>
      <c r="V69">
        <f>IF(Tabela3[[#This Row],[Pago]]&lt;&gt;"",IF(F70="",Tabela3[[#This Row],[Saldo]],0))</f>
        <v>0</v>
      </c>
    </row>
    <row r="70" spans="1:22" x14ac:dyDescent="0.25">
      <c r="A70" t="s">
        <v>53</v>
      </c>
      <c r="B70" s="37">
        <v>3</v>
      </c>
      <c r="C70" t="str">
        <f>_xlfn.XLOOKUP(B70,'Centro de Custo'!A$2:A$45,'Centro de Custo'!B$2:B$45)</f>
        <v>Investimentos</v>
      </c>
      <c r="E70" s="39">
        <v>-5336.13</v>
      </c>
      <c r="F70" s="40" t="s">
        <v>10</v>
      </c>
      <c r="G70" s="41">
        <v>45091</v>
      </c>
      <c r="H70" s="42">
        <f>YEAR(Tabela3[[#This Row],[Data]])</f>
        <v>2023</v>
      </c>
      <c r="I70" s="42" t="str">
        <f>_xlfn.XLOOKUP(J70,'Centro de Custo'!J$2:J$13,'Centro de Custo'!K$2:K$13)</f>
        <v>Junho</v>
      </c>
      <c r="J70" s="43">
        <f>MONTH(Tabela3[[#This Row],[Data]])</f>
        <v>6</v>
      </c>
      <c r="K70" s="39">
        <f>SUM(E$3:Tabela3[[#This Row],[Valor]])</f>
        <v>40006.78999999981</v>
      </c>
      <c r="L70" s="40">
        <f t="shared" si="1"/>
        <v>2.22375</v>
      </c>
      <c r="M70" s="40"/>
      <c r="N70" s="40"/>
      <c r="O70" s="40"/>
      <c r="P70" s="39"/>
      <c r="Q70" s="39"/>
      <c r="R70" s="39"/>
      <c r="S70" s="39"/>
      <c r="T70" s="39"/>
      <c r="V70">
        <f>IF(Tabela3[[#This Row],[Pago]]&lt;&gt;"",IF(F71="",Tabela3[[#This Row],[Saldo]],0))</f>
        <v>0</v>
      </c>
    </row>
    <row r="71" spans="1:22" x14ac:dyDescent="0.25">
      <c r="A71" t="s">
        <v>86</v>
      </c>
      <c r="B71" s="37">
        <v>30</v>
      </c>
      <c r="C71" t="str">
        <f>_xlfn.XLOOKUP(B71,'Centro de Custo'!A$2:A$45,'Centro de Custo'!B$2:B$45)</f>
        <v>Impostos</v>
      </c>
      <c r="E71" s="39">
        <v>-415</v>
      </c>
      <c r="F71" s="40" t="s">
        <v>10</v>
      </c>
      <c r="G71" s="41">
        <v>45093</v>
      </c>
      <c r="H71" s="42">
        <f>YEAR(Tabela3[[#This Row],[Data]])</f>
        <v>2023</v>
      </c>
      <c r="I71" s="42" t="str">
        <f>_xlfn.XLOOKUP(J71,'Centro de Custo'!J$2:J$13,'Centro de Custo'!K$2:K$13)</f>
        <v>Junho</v>
      </c>
      <c r="J71" s="43">
        <f>MONTH(Tabela3[[#This Row],[Data]])</f>
        <v>6</v>
      </c>
      <c r="K71" s="39">
        <f>SUM(E$3:Tabela3[[#This Row],[Valor]])</f>
        <v>39591.78999999981</v>
      </c>
      <c r="L71" s="40">
        <f t="shared" si="1"/>
        <v>2.22375</v>
      </c>
      <c r="M71" s="40"/>
      <c r="N71" s="40"/>
      <c r="O71" s="40"/>
      <c r="P71" s="39"/>
      <c r="Q71" s="39"/>
      <c r="R71" s="39"/>
      <c r="S71" s="39"/>
      <c r="T71" s="39"/>
      <c r="V71">
        <f>IF(Tabela3[[#This Row],[Pago]]&lt;&gt;"",IF(F72="",Tabela3[[#This Row],[Saldo]],0))</f>
        <v>0</v>
      </c>
    </row>
    <row r="72" spans="1:22" x14ac:dyDescent="0.25">
      <c r="A72" t="s">
        <v>86</v>
      </c>
      <c r="B72" s="37">
        <v>30</v>
      </c>
      <c r="C72" t="str">
        <f>_xlfn.XLOOKUP(B72,'Centro de Custo'!A$2:A$45,'Centro de Custo'!B$2:B$45)</f>
        <v>Impostos</v>
      </c>
      <c r="E72" s="39">
        <v>-415</v>
      </c>
      <c r="F72" s="40" t="s">
        <v>10</v>
      </c>
      <c r="G72" s="41">
        <v>45093</v>
      </c>
      <c r="H72" s="42">
        <f>YEAR(Tabela3[[#This Row],[Data]])</f>
        <v>2023</v>
      </c>
      <c r="I72" s="42" t="str">
        <f>_xlfn.XLOOKUP(J72,'Centro de Custo'!J$2:J$13,'Centro de Custo'!K$2:K$13)</f>
        <v>Junho</v>
      </c>
      <c r="J72" s="43">
        <f>MONTH(Tabela3[[#This Row],[Data]])</f>
        <v>6</v>
      </c>
      <c r="K72" s="39">
        <f>SUM(E$3:Tabela3[[#This Row],[Valor]])</f>
        <v>39176.78999999981</v>
      </c>
      <c r="L72" s="40">
        <f t="shared" si="1"/>
        <v>2.22375</v>
      </c>
      <c r="M72" s="40"/>
      <c r="N72" s="40"/>
      <c r="O72" s="40"/>
      <c r="P72" s="39"/>
      <c r="Q72" s="39"/>
      <c r="R72" s="39"/>
      <c r="S72" s="39"/>
      <c r="T72" s="39"/>
      <c r="V72">
        <f>IF(Tabela3[[#This Row],[Pago]]&lt;&gt;"",IF(F73="",Tabela3[[#This Row],[Saldo]],0))</f>
        <v>0</v>
      </c>
    </row>
    <row r="73" spans="1:22" x14ac:dyDescent="0.25">
      <c r="A73" t="s">
        <v>86</v>
      </c>
      <c r="B73" s="37">
        <v>30</v>
      </c>
      <c r="C73" t="str">
        <f>_xlfn.XLOOKUP(B73,'Centro de Custo'!A$2:A$45,'Centro de Custo'!B$2:B$45)</f>
        <v>Impostos</v>
      </c>
      <c r="E73" s="39">
        <v>-415</v>
      </c>
      <c r="F73" s="40" t="s">
        <v>10</v>
      </c>
      <c r="G73" s="41">
        <v>45093</v>
      </c>
      <c r="H73" s="42">
        <f>YEAR(Tabela3[[#This Row],[Data]])</f>
        <v>2023</v>
      </c>
      <c r="I73" s="42" t="str">
        <f>_xlfn.XLOOKUP(J73,'Centro de Custo'!J$2:J$13,'Centro de Custo'!K$2:K$13)</f>
        <v>Junho</v>
      </c>
      <c r="J73" s="43">
        <f>MONTH(Tabela3[[#This Row],[Data]])</f>
        <v>6</v>
      </c>
      <c r="K73" s="39">
        <f>SUM(E$3:Tabela3[[#This Row],[Valor]])</f>
        <v>38761.78999999981</v>
      </c>
      <c r="L73" s="40">
        <f t="shared" si="1"/>
        <v>2.22375</v>
      </c>
      <c r="M73" s="40"/>
      <c r="N73" s="40"/>
      <c r="O73" s="40"/>
      <c r="P73" s="39"/>
      <c r="Q73" s="39"/>
      <c r="R73" s="39"/>
      <c r="S73" s="39"/>
      <c r="T73" s="39"/>
      <c r="V73">
        <f>IF(Tabela3[[#This Row],[Pago]]&lt;&gt;"",IF(F74="",Tabela3[[#This Row],[Saldo]],0))</f>
        <v>0</v>
      </c>
    </row>
    <row r="74" spans="1:22" x14ac:dyDescent="0.25">
      <c r="A74" t="s">
        <v>51</v>
      </c>
      <c r="B74" s="37">
        <v>41</v>
      </c>
      <c r="C74" t="str">
        <f>_xlfn.XLOOKUP(B74,'Centro de Custo'!A$2:A$45,'Centro de Custo'!B$2:B$45)</f>
        <v>Resgate Financeiro</v>
      </c>
      <c r="E74" s="39">
        <v>51000</v>
      </c>
      <c r="F74" s="40" t="s">
        <v>10</v>
      </c>
      <c r="G74" s="41">
        <v>45097</v>
      </c>
      <c r="H74" s="42">
        <f>YEAR(Tabela3[[#This Row],[Data]])</f>
        <v>2023</v>
      </c>
      <c r="I74" s="42" t="str">
        <f>_xlfn.XLOOKUP(J74,'Centro de Custo'!J$2:J$13,'Centro de Custo'!K$2:K$13)</f>
        <v>Junho</v>
      </c>
      <c r="J74" s="43">
        <f>MONTH(Tabela3[[#This Row],[Data]])</f>
        <v>6</v>
      </c>
      <c r="K74" s="39">
        <f>SUM(E$3:Tabela3[[#This Row],[Valor]])</f>
        <v>89761.7899999998</v>
      </c>
      <c r="L74" s="40">
        <f t="shared" si="1"/>
        <v>2.22375</v>
      </c>
      <c r="M74" s="40"/>
      <c r="N74" s="40"/>
      <c r="O74" s="40"/>
      <c r="P74" s="39"/>
      <c r="Q74" s="39"/>
      <c r="R74" s="39"/>
      <c r="S74" s="39"/>
      <c r="T74" s="39"/>
      <c r="V74">
        <f>IF(Tabela3[[#This Row],[Pago]]&lt;&gt;"",IF(F75="",Tabela3[[#This Row],[Saldo]],0))</f>
        <v>0</v>
      </c>
    </row>
    <row r="75" spans="1:22" x14ac:dyDescent="0.25">
      <c r="A75" t="s">
        <v>87</v>
      </c>
      <c r="B75" s="37">
        <v>13</v>
      </c>
      <c r="C75" t="str">
        <f>_xlfn.XLOOKUP(B75,'Centro de Custo'!A$2:A$45,'Centro de Custo'!B$2:B$45)</f>
        <v>Terceirizados</v>
      </c>
      <c r="E75" s="39">
        <v>-3213</v>
      </c>
      <c r="F75" s="40" t="s">
        <v>10</v>
      </c>
      <c r="G75" s="41">
        <v>45098</v>
      </c>
      <c r="H75" s="42">
        <f>YEAR(Tabela3[[#This Row],[Data]])</f>
        <v>2023</v>
      </c>
      <c r="I75" s="42" t="str">
        <f>_xlfn.XLOOKUP(J75,'Centro de Custo'!J$2:J$13,'Centro de Custo'!K$2:K$13)</f>
        <v>Junho</v>
      </c>
      <c r="J75" s="43">
        <f>MONTH(Tabela3[[#This Row],[Data]])</f>
        <v>6</v>
      </c>
      <c r="K75" s="39">
        <f>SUM(E$3:Tabela3[[#This Row],[Valor]])</f>
        <v>86548.7899999998</v>
      </c>
      <c r="L75" s="40">
        <f t="shared" si="1"/>
        <v>2.22375</v>
      </c>
      <c r="M75" s="40"/>
      <c r="N75" s="40"/>
      <c r="O75" s="40"/>
      <c r="P75" s="39"/>
      <c r="Q75" s="39"/>
      <c r="R75" s="39"/>
      <c r="S75" s="39"/>
      <c r="T75" s="39"/>
      <c r="V75">
        <f>IF(Tabela3[[#This Row],[Pago]]&lt;&gt;"",IF(F76="",Tabela3[[#This Row],[Saldo]],0))</f>
        <v>0</v>
      </c>
    </row>
    <row r="76" spans="1:22" x14ac:dyDescent="0.25">
      <c r="A76" t="s">
        <v>88</v>
      </c>
      <c r="B76" s="37">
        <v>13</v>
      </c>
      <c r="C76" t="str">
        <f>_xlfn.XLOOKUP(B76,'Centro de Custo'!A$2:A$45,'Centro de Custo'!B$2:B$45)</f>
        <v>Terceirizados</v>
      </c>
      <c r="E76" s="39">
        <v>-63610</v>
      </c>
      <c r="F76" s="40" t="s">
        <v>10</v>
      </c>
      <c r="G76" s="41">
        <v>45098</v>
      </c>
      <c r="H76" s="42">
        <f>YEAR(Tabela3[[#This Row],[Data]])</f>
        <v>2023</v>
      </c>
      <c r="I76" s="42" t="str">
        <f>_xlfn.XLOOKUP(J76,'Centro de Custo'!J$2:J$13,'Centro de Custo'!K$2:K$13)</f>
        <v>Junho</v>
      </c>
      <c r="J76" s="43">
        <f>MONTH(Tabela3[[#This Row],[Data]])</f>
        <v>6</v>
      </c>
      <c r="K76" s="39">
        <f>SUM(E$3:Tabela3[[#This Row],[Valor]])</f>
        <v>22938.789999999804</v>
      </c>
      <c r="L76" s="40">
        <f t="shared" si="1"/>
        <v>2.22375</v>
      </c>
      <c r="M76" s="40"/>
      <c r="N76" s="40"/>
      <c r="O76" s="40"/>
      <c r="P76" s="39"/>
      <c r="Q76" s="39"/>
      <c r="R76" s="39"/>
      <c r="S76" s="39"/>
      <c r="T76" s="39"/>
      <c r="V76">
        <f>IF(Tabela3[[#This Row],[Pago]]&lt;&gt;"",IF(F77="",Tabela3[[#This Row],[Saldo]],0))</f>
        <v>0</v>
      </c>
    </row>
    <row r="77" spans="1:22" x14ac:dyDescent="0.25">
      <c r="A77" t="s">
        <v>45</v>
      </c>
      <c r="B77" s="37">
        <v>20</v>
      </c>
      <c r="C77" t="str">
        <f>_xlfn.XLOOKUP(B77,'Centro de Custo'!A$2:A$45,'Centro de Custo'!B$2:B$45)</f>
        <v>Desp. ADM</v>
      </c>
      <c r="E77" s="39">
        <v>-25.85</v>
      </c>
      <c r="F77" s="40" t="s">
        <v>10</v>
      </c>
      <c r="G77" s="41">
        <v>45103</v>
      </c>
      <c r="H77" s="42">
        <f>YEAR(Tabela3[[#This Row],[Data]])</f>
        <v>2023</v>
      </c>
      <c r="I77" s="42" t="str">
        <f>_xlfn.XLOOKUP(J77,'Centro de Custo'!J$2:J$13,'Centro de Custo'!K$2:K$13)</f>
        <v>Junho</v>
      </c>
      <c r="J77" s="43">
        <f>MONTH(Tabela3[[#This Row],[Data]])</f>
        <v>6</v>
      </c>
      <c r="K77" s="39">
        <f>SUM(E$3:Tabela3[[#This Row],[Valor]])</f>
        <v>22912.939999999806</v>
      </c>
      <c r="L77" s="40">
        <f t="shared" si="1"/>
        <v>2.22375</v>
      </c>
      <c r="M77" s="40"/>
      <c r="N77" s="40"/>
      <c r="O77" s="40"/>
      <c r="P77" s="39"/>
      <c r="Q77" s="39"/>
      <c r="R77" s="39"/>
      <c r="S77" s="39"/>
      <c r="T77" s="39"/>
      <c r="V77">
        <f>IF(Tabela3[[#This Row],[Pago]]&lt;&gt;"",IF(F78="",Tabela3[[#This Row],[Saldo]],0))</f>
        <v>0</v>
      </c>
    </row>
    <row r="78" spans="1:22" x14ac:dyDescent="0.25">
      <c r="A78" t="s">
        <v>89</v>
      </c>
      <c r="B78" s="37">
        <v>30</v>
      </c>
      <c r="C78" t="str">
        <f>_xlfn.XLOOKUP(B78,'Centro de Custo'!A$2:A$45,'Centro de Custo'!B$2:B$45)</f>
        <v>Impostos</v>
      </c>
      <c r="E78" s="39">
        <v>-291.7</v>
      </c>
      <c r="F78" s="40" t="s">
        <v>10</v>
      </c>
      <c r="G78" s="41">
        <v>45105</v>
      </c>
      <c r="H78" s="42">
        <f>YEAR(Tabela3[[#This Row],[Data]])</f>
        <v>2023</v>
      </c>
      <c r="I78" s="42" t="str">
        <f>_xlfn.XLOOKUP(J78,'Centro de Custo'!J$2:J$13,'Centro de Custo'!K$2:K$13)</f>
        <v>Junho</v>
      </c>
      <c r="J78" s="43">
        <f>MONTH(Tabela3[[#This Row],[Data]])</f>
        <v>6</v>
      </c>
      <c r="K78" s="39">
        <f>SUM(E$3:Tabela3[[#This Row],[Valor]])</f>
        <v>22621.239999999805</v>
      </c>
      <c r="L78" s="40">
        <f t="shared" si="1"/>
        <v>2.22375</v>
      </c>
      <c r="M78" s="40"/>
      <c r="N78" s="40"/>
      <c r="O78" s="40"/>
      <c r="P78" s="39"/>
      <c r="Q78" s="39"/>
      <c r="R78" s="39"/>
      <c r="S78" s="39"/>
      <c r="T78" s="39"/>
      <c r="V78">
        <f>IF(Tabela3[[#This Row],[Pago]]&lt;&gt;"",IF(F79="",Tabela3[[#This Row],[Saldo]],0))</f>
        <v>0</v>
      </c>
    </row>
    <row r="79" spans="1:22" x14ac:dyDescent="0.25">
      <c r="A79" t="s">
        <v>51</v>
      </c>
      <c r="B79" s="37">
        <v>41</v>
      </c>
      <c r="C79" t="str">
        <f>_xlfn.XLOOKUP(B79,'Centro de Custo'!A$2:A$45,'Centro de Custo'!B$2:B$45)</f>
        <v>Resgate Financeiro</v>
      </c>
      <c r="E79" s="39">
        <v>200700</v>
      </c>
      <c r="F79" s="40" t="s">
        <v>10</v>
      </c>
      <c r="G79" s="41">
        <v>45110</v>
      </c>
      <c r="H79" s="42">
        <f>YEAR(Tabela3[[#This Row],[Data]])</f>
        <v>2023</v>
      </c>
      <c r="I79" s="42" t="str">
        <f>_xlfn.XLOOKUP(J79,'Centro de Custo'!J$2:J$13,'Centro de Custo'!K$2:K$13)</f>
        <v>Julho</v>
      </c>
      <c r="J79" s="43">
        <f>MONTH(Tabela3[[#This Row],[Data]])</f>
        <v>7</v>
      </c>
      <c r="K79" s="39">
        <f>SUM(E$3:Tabela3[[#This Row],[Valor]])</f>
        <v>223321.23999999982</v>
      </c>
      <c r="L79" s="40">
        <f t="shared" si="1"/>
        <v>2.22375</v>
      </c>
      <c r="M79" s="40"/>
      <c r="N79" s="40"/>
      <c r="O79" s="40"/>
      <c r="P79" s="39"/>
      <c r="Q79" s="39"/>
      <c r="R79" s="39"/>
      <c r="S79" s="39"/>
      <c r="T79" s="39"/>
      <c r="V79">
        <f>IF(Tabela3[[#This Row],[Pago]]&lt;&gt;"",IF(F80="",Tabela3[[#This Row],[Saldo]],0))</f>
        <v>0</v>
      </c>
    </row>
    <row r="80" spans="1:22" x14ac:dyDescent="0.25">
      <c r="A80" t="s">
        <v>90</v>
      </c>
      <c r="B80" s="37">
        <v>10</v>
      </c>
      <c r="C80" t="str">
        <f>_xlfn.XLOOKUP(B80,'Centro de Custo'!A$2:A$45,'Centro de Custo'!B$2:B$45)</f>
        <v>Retirada Mensal</v>
      </c>
      <c r="E80" s="39">
        <v>-10000</v>
      </c>
      <c r="F80" s="40" t="s">
        <v>10</v>
      </c>
      <c r="G80" s="41">
        <v>45110</v>
      </c>
      <c r="H80" s="42">
        <f>YEAR(Tabela3[[#This Row],[Data]])</f>
        <v>2023</v>
      </c>
      <c r="I80" s="42" t="str">
        <f>_xlfn.XLOOKUP(J80,'Centro de Custo'!J$2:J$13,'Centro de Custo'!K$2:K$13)</f>
        <v>Julho</v>
      </c>
      <c r="J80" s="43">
        <f>MONTH(Tabela3[[#This Row],[Data]])</f>
        <v>7</v>
      </c>
      <c r="K80" s="39">
        <f>SUM(E$3:Tabela3[[#This Row],[Valor]])</f>
        <v>213321.23999999982</v>
      </c>
      <c r="L80" s="40">
        <f t="shared" si="1"/>
        <v>2.22375</v>
      </c>
      <c r="M80" s="40"/>
      <c r="N80" s="40"/>
      <c r="O80" s="40"/>
      <c r="P80" s="39"/>
      <c r="Q80" s="39"/>
      <c r="R80" s="39"/>
      <c r="S80" s="39"/>
      <c r="T80" s="39"/>
      <c r="V80">
        <f>IF(Tabela3[[#This Row],[Pago]]&lt;&gt;"",IF(F81="",Tabela3[[#This Row],[Saldo]],0))</f>
        <v>0</v>
      </c>
    </row>
    <row r="81" spans="1:22" x14ac:dyDescent="0.25">
      <c r="A81" t="s">
        <v>55</v>
      </c>
      <c r="B81" s="37">
        <v>10</v>
      </c>
      <c r="C81" t="str">
        <f>_xlfn.XLOOKUP(B81,'Centro de Custo'!A$2:A$45,'Centro de Custo'!B$2:B$45)</f>
        <v>Retirada Mensal</v>
      </c>
      <c r="E81" s="39">
        <v>-10300</v>
      </c>
      <c r="F81" s="40" t="s">
        <v>10</v>
      </c>
      <c r="G81" s="41">
        <v>45110</v>
      </c>
      <c r="H81" s="42">
        <f>YEAR(Tabela3[[#This Row],[Data]])</f>
        <v>2023</v>
      </c>
      <c r="I81" s="42" t="str">
        <f>_xlfn.XLOOKUP(J81,'Centro de Custo'!J$2:J$13,'Centro de Custo'!K$2:K$13)</f>
        <v>Julho</v>
      </c>
      <c r="J81" s="43">
        <f>MONTH(Tabela3[[#This Row],[Data]])</f>
        <v>7</v>
      </c>
      <c r="K81" s="39">
        <f>SUM(E$3:Tabela3[[#This Row],[Valor]])</f>
        <v>203021.23999999982</v>
      </c>
      <c r="L81" s="40">
        <f t="shared" si="1"/>
        <v>2.22375</v>
      </c>
      <c r="M81" s="40"/>
      <c r="N81" s="40"/>
      <c r="O81" s="40"/>
      <c r="P81" s="39"/>
      <c r="Q81" s="39"/>
      <c r="R81" s="39"/>
      <c r="S81" s="39"/>
      <c r="T81" s="39"/>
      <c r="V81">
        <f>IF(Tabela3[[#This Row],[Pago]]&lt;&gt;"",IF(F82="",Tabela3[[#This Row],[Saldo]],0))</f>
        <v>0</v>
      </c>
    </row>
    <row r="82" spans="1:22" x14ac:dyDescent="0.25">
      <c r="A82" t="s">
        <v>58</v>
      </c>
      <c r="B82" s="37">
        <v>10</v>
      </c>
      <c r="C82" t="str">
        <f>_xlfn.XLOOKUP(B82,'Centro de Custo'!A$2:A$45,'Centro de Custo'!B$2:B$45)</f>
        <v>Retirada Mensal</v>
      </c>
      <c r="E82" s="39">
        <v>-10400</v>
      </c>
      <c r="F82" s="40" t="s">
        <v>10</v>
      </c>
      <c r="G82" s="41">
        <v>45110</v>
      </c>
      <c r="H82" s="42">
        <f>YEAR(Tabela3[[#This Row],[Data]])</f>
        <v>2023</v>
      </c>
      <c r="I82" s="42" t="str">
        <f>_xlfn.XLOOKUP(J82,'Centro de Custo'!J$2:J$13,'Centro de Custo'!K$2:K$13)</f>
        <v>Julho</v>
      </c>
      <c r="J82" s="43">
        <f>MONTH(Tabela3[[#This Row],[Data]])</f>
        <v>7</v>
      </c>
      <c r="K82" s="39">
        <f>SUM(E$3:Tabela3[[#This Row],[Valor]])</f>
        <v>192621.23999999982</v>
      </c>
      <c r="L82" s="40">
        <f t="shared" si="1"/>
        <v>2.22375</v>
      </c>
      <c r="M82" s="40"/>
      <c r="N82" s="40"/>
      <c r="O82" s="40"/>
      <c r="P82" s="39"/>
      <c r="Q82" s="39"/>
      <c r="R82" s="39"/>
      <c r="S82" s="39"/>
      <c r="T82" s="39"/>
      <c r="V82">
        <f>IF(Tabela3[[#This Row],[Pago]]&lt;&gt;"",IF(F83="",Tabela3[[#This Row],[Saldo]],0))</f>
        <v>0</v>
      </c>
    </row>
    <row r="83" spans="1:22" x14ac:dyDescent="0.25">
      <c r="A83" t="s">
        <v>91</v>
      </c>
      <c r="B83" s="37">
        <v>10</v>
      </c>
      <c r="C83" t="str">
        <f>_xlfn.XLOOKUP(B83,'Centro de Custo'!A$2:A$45,'Centro de Custo'!B$2:B$45)</f>
        <v>Retirada Mensal</v>
      </c>
      <c r="E83" s="39">
        <v>-12300</v>
      </c>
      <c r="F83" s="40" t="s">
        <v>10</v>
      </c>
      <c r="G83" s="41">
        <v>45110</v>
      </c>
      <c r="H83" s="42">
        <f>YEAR(Tabela3[[#This Row],[Data]])</f>
        <v>2023</v>
      </c>
      <c r="I83" s="42" t="str">
        <f>_xlfn.XLOOKUP(J83,'Centro de Custo'!J$2:J$13,'Centro de Custo'!K$2:K$13)</f>
        <v>Julho</v>
      </c>
      <c r="J83" s="43">
        <f>MONTH(Tabela3[[#This Row],[Data]])</f>
        <v>7</v>
      </c>
      <c r="K83" s="39">
        <f>SUM(E$3:Tabela3[[#This Row],[Valor]])</f>
        <v>180321.23999999982</v>
      </c>
      <c r="L83" s="40">
        <f t="shared" si="1"/>
        <v>2.22375</v>
      </c>
      <c r="M83" s="40"/>
      <c r="N83" s="40"/>
      <c r="O83" s="40"/>
      <c r="P83" s="39"/>
      <c r="Q83" s="39"/>
      <c r="R83" s="39"/>
      <c r="S83" s="39"/>
      <c r="T83" s="39"/>
      <c r="V83">
        <f>IF(Tabela3[[#This Row],[Pago]]&lt;&gt;"",IF(F84="",Tabela3[[#This Row],[Saldo]],0))</f>
        <v>0</v>
      </c>
    </row>
    <row r="84" spans="1:22" x14ac:dyDescent="0.25">
      <c r="A84" t="s">
        <v>92</v>
      </c>
      <c r="B84" s="37">
        <v>10</v>
      </c>
      <c r="C84" t="str">
        <f>_xlfn.XLOOKUP(B84,'Centro de Custo'!A$2:A$45,'Centro de Custo'!B$2:B$45)</f>
        <v>Retirada Mensal</v>
      </c>
      <c r="E84" s="39">
        <v>-13000</v>
      </c>
      <c r="F84" s="40" t="s">
        <v>10</v>
      </c>
      <c r="G84" s="41">
        <v>45110</v>
      </c>
      <c r="H84" s="42">
        <f>YEAR(Tabela3[[#This Row],[Data]])</f>
        <v>2023</v>
      </c>
      <c r="I84" s="42" t="str">
        <f>_xlfn.XLOOKUP(J84,'Centro de Custo'!J$2:J$13,'Centro de Custo'!K$2:K$13)</f>
        <v>Julho</v>
      </c>
      <c r="J84" s="43">
        <f>MONTH(Tabela3[[#This Row],[Data]])</f>
        <v>7</v>
      </c>
      <c r="K84" s="39">
        <f>SUM(E$3:Tabela3[[#This Row],[Valor]])</f>
        <v>167321.23999999982</v>
      </c>
      <c r="L84" s="40">
        <f t="shared" si="1"/>
        <v>2.22375</v>
      </c>
      <c r="M84" s="40"/>
      <c r="N84" s="40"/>
      <c r="O84" s="40"/>
      <c r="P84" s="39"/>
      <c r="Q84" s="39"/>
      <c r="R84" s="39"/>
      <c r="S84" s="39"/>
      <c r="T84" s="39"/>
      <c r="V84">
        <f>IF(Tabela3[[#This Row],[Pago]]&lt;&gt;"",IF(F85="",Tabela3[[#This Row],[Saldo]],0))</f>
        <v>0</v>
      </c>
    </row>
    <row r="85" spans="1:22" x14ac:dyDescent="0.25">
      <c r="A85" t="s">
        <v>93</v>
      </c>
      <c r="B85" s="37">
        <v>13</v>
      </c>
      <c r="C85" t="str">
        <f>_xlfn.XLOOKUP(B85,'Centro de Custo'!A$2:A$45,'Centro de Custo'!B$2:B$45)</f>
        <v>Terceirizados</v>
      </c>
      <c r="E85" s="39">
        <v>-14500</v>
      </c>
      <c r="F85" s="40" t="s">
        <v>10</v>
      </c>
      <c r="G85" s="41">
        <v>45110</v>
      </c>
      <c r="H85" s="42">
        <f>YEAR(Tabela3[[#This Row],[Data]])</f>
        <v>2023</v>
      </c>
      <c r="I85" s="42" t="str">
        <f>_xlfn.XLOOKUP(J85,'Centro de Custo'!J$2:J$13,'Centro de Custo'!K$2:K$13)</f>
        <v>Julho</v>
      </c>
      <c r="J85" s="43">
        <f>MONTH(Tabela3[[#This Row],[Data]])</f>
        <v>7</v>
      </c>
      <c r="K85" s="39">
        <f>SUM(E$3:Tabela3[[#This Row],[Valor]])</f>
        <v>152821.23999999982</v>
      </c>
      <c r="L85" s="40">
        <f t="shared" si="1"/>
        <v>2.22375</v>
      </c>
      <c r="M85" s="40"/>
      <c r="N85" s="40"/>
      <c r="O85" s="40"/>
      <c r="P85" s="39"/>
      <c r="Q85" s="39"/>
      <c r="R85" s="39"/>
      <c r="S85" s="39"/>
      <c r="T85" s="39"/>
      <c r="V85">
        <f>IF(Tabela3[[#This Row],[Pago]]&lt;&gt;"",IF(F86="",Tabela3[[#This Row],[Saldo]],0))</f>
        <v>0</v>
      </c>
    </row>
    <row r="86" spans="1:22" x14ac:dyDescent="0.25">
      <c r="A86" t="s">
        <v>94</v>
      </c>
      <c r="B86" s="37">
        <v>10</v>
      </c>
      <c r="C86" t="str">
        <f>_xlfn.XLOOKUP(B86,'Centro de Custo'!A$2:A$45,'Centro de Custo'!B$2:B$45)</f>
        <v>Retirada Mensal</v>
      </c>
      <c r="E86" s="39">
        <v>-15800</v>
      </c>
      <c r="F86" s="40" t="s">
        <v>10</v>
      </c>
      <c r="G86" s="41">
        <v>45110</v>
      </c>
      <c r="H86" s="42">
        <f>YEAR(Tabela3[[#This Row],[Data]])</f>
        <v>2023</v>
      </c>
      <c r="I86" s="42" t="str">
        <f>_xlfn.XLOOKUP(J86,'Centro de Custo'!J$2:J$13,'Centro de Custo'!K$2:K$13)</f>
        <v>Julho</v>
      </c>
      <c r="J86" s="43">
        <f>MONTH(Tabela3[[#This Row],[Data]])</f>
        <v>7</v>
      </c>
      <c r="K86" s="39">
        <f>SUM(E$3:Tabela3[[#This Row],[Valor]])</f>
        <v>137021.23999999982</v>
      </c>
      <c r="L86" s="40">
        <f t="shared" si="1"/>
        <v>2.22375</v>
      </c>
      <c r="M86" s="40"/>
      <c r="N86" s="40"/>
      <c r="O86" s="40"/>
      <c r="P86" s="39"/>
      <c r="Q86" s="39"/>
      <c r="R86" s="39"/>
      <c r="S86" s="39"/>
      <c r="T86" s="39"/>
      <c r="V86">
        <f>IF(Tabela3[[#This Row],[Pago]]&lt;&gt;"",IF(F87="",Tabela3[[#This Row],[Saldo]],0))</f>
        <v>0</v>
      </c>
    </row>
    <row r="87" spans="1:22" x14ac:dyDescent="0.25">
      <c r="A87" t="s">
        <v>95</v>
      </c>
      <c r="B87" s="37">
        <v>13</v>
      </c>
      <c r="C87" t="str">
        <f>_xlfn.XLOOKUP(B87,'Centro de Custo'!A$2:A$45,'Centro de Custo'!B$2:B$45)</f>
        <v>Terceirizados</v>
      </c>
      <c r="E87" s="39">
        <v>-63863</v>
      </c>
      <c r="F87" s="40" t="s">
        <v>10</v>
      </c>
      <c r="G87" s="41">
        <v>45110</v>
      </c>
      <c r="H87" s="42">
        <f>YEAR(Tabela3[[#This Row],[Data]])</f>
        <v>2023</v>
      </c>
      <c r="I87" s="42" t="str">
        <f>_xlfn.XLOOKUP(J87,'Centro de Custo'!J$2:J$13,'Centro de Custo'!K$2:K$13)</f>
        <v>Julho</v>
      </c>
      <c r="J87" s="43">
        <f>MONTH(Tabela3[[#This Row],[Data]])</f>
        <v>7</v>
      </c>
      <c r="K87" s="39">
        <f>SUM(E$3:Tabela3[[#This Row],[Valor]])</f>
        <v>73158.23999999982</v>
      </c>
      <c r="L87" s="40">
        <f t="shared" si="1"/>
        <v>2.22375</v>
      </c>
      <c r="M87" s="40"/>
      <c r="N87" s="40"/>
      <c r="O87" s="40"/>
      <c r="P87" s="39"/>
      <c r="Q87" s="39"/>
      <c r="R87" s="39"/>
      <c r="S87" s="39"/>
      <c r="T87" s="39"/>
      <c r="V87">
        <f>IF(Tabela3[[#This Row],[Pago]]&lt;&gt;"",IF(F88="",Tabela3[[#This Row],[Saldo]],0))</f>
        <v>0</v>
      </c>
    </row>
    <row r="88" spans="1:22" x14ac:dyDescent="0.25">
      <c r="A88" t="s">
        <v>96</v>
      </c>
      <c r="B88" s="37">
        <v>13</v>
      </c>
      <c r="C88" t="str">
        <f>_xlfn.XLOOKUP(B88,'Centro de Custo'!A$2:A$45,'Centro de Custo'!B$2:B$45)</f>
        <v>Terceirizados</v>
      </c>
      <c r="E88" s="39">
        <v>-6225</v>
      </c>
      <c r="F88" s="40" t="s">
        <v>10</v>
      </c>
      <c r="G88" s="41">
        <v>45111</v>
      </c>
      <c r="H88" s="42">
        <f>YEAR(Tabela3[[#This Row],[Data]])</f>
        <v>2023</v>
      </c>
      <c r="I88" s="42" t="str">
        <f>_xlfn.XLOOKUP(J88,'Centro de Custo'!J$2:J$13,'Centro de Custo'!K$2:K$13)</f>
        <v>Julho</v>
      </c>
      <c r="J88" s="43">
        <f>MONTH(Tabela3[[#This Row],[Data]])</f>
        <v>7</v>
      </c>
      <c r="K88" s="39">
        <f>SUM(E$3:Tabela3[[#This Row],[Valor]])</f>
        <v>66933.23999999982</v>
      </c>
      <c r="L88" s="40">
        <f t="shared" si="1"/>
        <v>2.22375</v>
      </c>
      <c r="M88" s="40"/>
      <c r="N88" s="40"/>
      <c r="O88" s="40"/>
      <c r="P88" s="39"/>
      <c r="Q88" s="39"/>
      <c r="R88" s="39"/>
      <c r="S88" s="39"/>
      <c r="T88" s="39"/>
      <c r="V88">
        <f>IF(Tabela3[[#This Row],[Pago]]&lt;&gt;"",IF(F89="",Tabela3[[#This Row],[Saldo]],0))</f>
        <v>0</v>
      </c>
    </row>
    <row r="89" spans="1:22" x14ac:dyDescent="0.25">
      <c r="A89" t="s">
        <v>97</v>
      </c>
      <c r="B89" s="37">
        <v>13</v>
      </c>
      <c r="C89" t="str">
        <f>_xlfn.XLOOKUP(B89,'Centro de Custo'!A$2:A$45,'Centro de Custo'!B$2:B$45)</f>
        <v>Terceirizados</v>
      </c>
      <c r="E89" s="39">
        <v>-10000</v>
      </c>
      <c r="F89" s="40" t="s">
        <v>10</v>
      </c>
      <c r="G89" s="41">
        <v>45111</v>
      </c>
      <c r="H89" s="42">
        <f>YEAR(Tabela3[[#This Row],[Data]])</f>
        <v>2023</v>
      </c>
      <c r="I89" s="42" t="str">
        <f>_xlfn.XLOOKUP(J89,'Centro de Custo'!J$2:J$13,'Centro de Custo'!K$2:K$13)</f>
        <v>Julho</v>
      </c>
      <c r="J89" s="43">
        <f>MONTH(Tabela3[[#This Row],[Data]])</f>
        <v>7</v>
      </c>
      <c r="K89" s="39">
        <f>SUM(E$3:Tabela3[[#This Row],[Valor]])</f>
        <v>56933.239999999816</v>
      </c>
      <c r="L89" s="40">
        <f t="shared" si="1"/>
        <v>2.22375</v>
      </c>
      <c r="M89" s="40"/>
      <c r="N89" s="40"/>
      <c r="O89" s="40"/>
      <c r="P89" s="39"/>
      <c r="Q89" s="39"/>
      <c r="R89" s="39"/>
      <c r="S89" s="39"/>
      <c r="T89" s="39"/>
      <c r="V89">
        <f>IF(Tabela3[[#This Row],[Pago]]&lt;&gt;"",IF(F90="",Tabela3[[#This Row],[Saldo]],0))</f>
        <v>0</v>
      </c>
    </row>
    <row r="90" spans="1:22" x14ac:dyDescent="0.25">
      <c r="A90" t="s">
        <v>81</v>
      </c>
      <c r="B90" s="37">
        <v>3</v>
      </c>
      <c r="C90" t="str">
        <f>_xlfn.XLOOKUP(B90,'Centro de Custo'!A$2:A$45,'Centro de Custo'!B$2:B$45)</f>
        <v>Investimentos</v>
      </c>
      <c r="E90" s="39">
        <v>-30000</v>
      </c>
      <c r="F90" s="40" t="s">
        <v>10</v>
      </c>
      <c r="G90" s="41">
        <v>45111</v>
      </c>
      <c r="H90" s="42">
        <f>YEAR(Tabela3[[#This Row],[Data]])</f>
        <v>2023</v>
      </c>
      <c r="I90" s="42" t="str">
        <f>_xlfn.XLOOKUP(J90,'Centro de Custo'!J$2:J$13,'Centro de Custo'!K$2:K$13)</f>
        <v>Julho</v>
      </c>
      <c r="J90" s="43">
        <f>MONTH(Tabela3[[#This Row],[Data]])</f>
        <v>7</v>
      </c>
      <c r="K90" s="39">
        <f>SUM(E$3:Tabela3[[#This Row],[Valor]])</f>
        <v>26933.239999999816</v>
      </c>
      <c r="L90" s="40">
        <f t="shared" si="1"/>
        <v>2.22375</v>
      </c>
      <c r="M90" s="40"/>
      <c r="N90" s="40"/>
      <c r="O90" s="40"/>
      <c r="P90" s="39"/>
      <c r="Q90" s="39"/>
      <c r="R90" s="39"/>
      <c r="S90" s="39"/>
      <c r="T90" s="39"/>
      <c r="V90">
        <f>IF(Tabela3[[#This Row],[Pago]]&lt;&gt;"",IF(F91="",Tabela3[[#This Row],[Saldo]],0))</f>
        <v>0</v>
      </c>
    </row>
    <row r="91" spans="1:22" x14ac:dyDescent="0.25">
      <c r="A91" t="s">
        <v>98</v>
      </c>
      <c r="B91" s="37">
        <v>20</v>
      </c>
      <c r="C91" t="str">
        <f>_xlfn.XLOOKUP(B91,'Centro de Custo'!A$2:A$45,'Centro de Custo'!B$2:B$45)</f>
        <v>Desp. ADM</v>
      </c>
      <c r="E91" s="39">
        <v>-93.29</v>
      </c>
      <c r="F91" s="40" t="s">
        <v>10</v>
      </c>
      <c r="G91" s="41">
        <v>45117</v>
      </c>
      <c r="H91" s="42">
        <f>YEAR(Tabela3[[#This Row],[Data]])</f>
        <v>2023</v>
      </c>
      <c r="I91" s="42" t="str">
        <f>_xlfn.XLOOKUP(J91,'Centro de Custo'!J$2:J$13,'Centro de Custo'!K$2:K$13)</f>
        <v>Julho</v>
      </c>
      <c r="J91" s="43">
        <f>MONTH(Tabela3[[#This Row],[Data]])</f>
        <v>7</v>
      </c>
      <c r="K91" s="39">
        <f>SUM(E$3:Tabela3[[#This Row],[Valor]])</f>
        <v>26839.949999999815</v>
      </c>
      <c r="L91" s="40">
        <f t="shared" si="1"/>
        <v>2.22375</v>
      </c>
      <c r="M91" s="40"/>
      <c r="N91" s="40"/>
      <c r="O91" s="40"/>
      <c r="P91" s="39"/>
      <c r="Q91" s="39"/>
      <c r="R91" s="39"/>
      <c r="S91" s="39"/>
      <c r="T91" s="39"/>
      <c r="V91">
        <f>IF(Tabela3[[#This Row],[Pago]]&lt;&gt;"",IF(F92="",Tabela3[[#This Row],[Saldo]],0))</f>
        <v>0</v>
      </c>
    </row>
    <row r="92" spans="1:22" x14ac:dyDescent="0.25">
      <c r="A92" t="s">
        <v>60</v>
      </c>
      <c r="B92" s="37">
        <v>20</v>
      </c>
      <c r="C92" t="str">
        <f>_xlfn.XLOOKUP(B92,'Centro de Custo'!A$2:A$45,'Centro de Custo'!B$2:B$45)</f>
        <v>Desp. ADM</v>
      </c>
      <c r="E92" s="39">
        <v>-380.15</v>
      </c>
      <c r="F92" s="40" t="s">
        <v>10</v>
      </c>
      <c r="G92" s="41">
        <v>45117</v>
      </c>
      <c r="H92" s="42">
        <f>YEAR(Tabela3[[#This Row],[Data]])</f>
        <v>2023</v>
      </c>
      <c r="I92" s="42" t="str">
        <f>_xlfn.XLOOKUP(J92,'Centro de Custo'!J$2:J$13,'Centro de Custo'!K$2:K$13)</f>
        <v>Julho</v>
      </c>
      <c r="J92" s="43">
        <f>MONTH(Tabela3[[#This Row],[Data]])</f>
        <v>7</v>
      </c>
      <c r="K92" s="39">
        <f>SUM(E$3:Tabela3[[#This Row],[Valor]])</f>
        <v>26459.799999999814</v>
      </c>
      <c r="L92" s="40">
        <f t="shared" si="1"/>
        <v>2.22375</v>
      </c>
      <c r="M92" s="40"/>
      <c r="N92" s="40"/>
      <c r="O92" s="40"/>
      <c r="P92" s="39"/>
      <c r="Q92" s="39"/>
      <c r="R92" s="39"/>
      <c r="S92" s="39"/>
      <c r="T92" s="39"/>
      <c r="V92">
        <f>IF(Tabela3[[#This Row],[Pago]]&lt;&gt;"",IF(F93="",Tabela3[[#This Row],[Saldo]],0))</f>
        <v>0</v>
      </c>
    </row>
    <row r="93" spans="1:22" x14ac:dyDescent="0.25">
      <c r="A93" t="s">
        <v>51</v>
      </c>
      <c r="B93" s="37">
        <v>41</v>
      </c>
      <c r="C93" t="str">
        <f>_xlfn.XLOOKUP(B93,'Centro de Custo'!A$2:A$45,'Centro de Custo'!B$2:B$45)</f>
        <v>Resgate Financeiro</v>
      </c>
      <c r="E93" s="39">
        <v>900418.35</v>
      </c>
      <c r="F93" s="40" t="s">
        <v>10</v>
      </c>
      <c r="G93" s="41">
        <v>45125</v>
      </c>
      <c r="H93" s="42">
        <f>YEAR(Tabela3[[#This Row],[Data]])</f>
        <v>2023</v>
      </c>
      <c r="I93" s="42" t="str">
        <f>_xlfn.XLOOKUP(J93,'Centro de Custo'!J$2:J$13,'Centro de Custo'!K$2:K$13)</f>
        <v>Julho</v>
      </c>
      <c r="J93" s="43">
        <f>MONTH(Tabela3[[#This Row],[Data]])</f>
        <v>7</v>
      </c>
      <c r="K93" s="39">
        <f>SUM(E$3:Tabela3[[#This Row],[Valor]])</f>
        <v>926878.1499999998</v>
      </c>
      <c r="L93" s="40">
        <f t="shared" si="1"/>
        <v>2.22375</v>
      </c>
      <c r="M93" s="40"/>
      <c r="N93" s="40"/>
      <c r="O93" s="40"/>
      <c r="P93" s="39"/>
      <c r="Q93" s="39"/>
      <c r="R93" s="39"/>
      <c r="S93" s="39"/>
      <c r="T93" s="39"/>
      <c r="V93">
        <f>IF(Tabela3[[#This Row],[Pago]]&lt;&gt;"",IF(F94="",Tabela3[[#This Row],[Saldo]],0))</f>
        <v>0</v>
      </c>
    </row>
    <row r="94" spans="1:22" x14ac:dyDescent="0.25">
      <c r="A94" t="s">
        <v>99</v>
      </c>
      <c r="B94" s="37">
        <v>11</v>
      </c>
      <c r="C94" t="str">
        <f>_xlfn.XLOOKUP(B94,'Centro de Custo'!A$2:A$45,'Centro de Custo'!B$2:B$45)</f>
        <v>Distribuição de Lucro</v>
      </c>
      <c r="E94" s="39">
        <v>-500000</v>
      </c>
      <c r="F94" s="40" t="s">
        <v>10</v>
      </c>
      <c r="G94" s="41">
        <v>45125</v>
      </c>
      <c r="H94" s="42">
        <f>YEAR(Tabela3[[#This Row],[Data]])</f>
        <v>2023</v>
      </c>
      <c r="I94" s="42" t="str">
        <f>_xlfn.XLOOKUP(J94,'Centro de Custo'!J$2:J$13,'Centro de Custo'!K$2:K$13)</f>
        <v>Julho</v>
      </c>
      <c r="J94" s="43">
        <f>MONTH(Tabela3[[#This Row],[Data]])</f>
        <v>7</v>
      </c>
      <c r="K94" s="39">
        <f>SUM(E$3:Tabela3[[#This Row],[Valor]])</f>
        <v>426878.1499999998</v>
      </c>
      <c r="L94" s="40">
        <f t="shared" si="1"/>
        <v>2.22375</v>
      </c>
      <c r="M94" s="40"/>
      <c r="N94" s="40"/>
      <c r="O94" s="40"/>
      <c r="P94" s="39"/>
      <c r="Q94" s="39"/>
      <c r="R94" s="39"/>
      <c r="S94" s="39"/>
      <c r="T94" s="39"/>
      <c r="V94">
        <f>IF(Tabela3[[#This Row],[Pago]]&lt;&gt;"",IF(F95="",Tabela3[[#This Row],[Saldo]],0))</f>
        <v>0</v>
      </c>
    </row>
    <row r="95" spans="1:22" x14ac:dyDescent="0.25">
      <c r="A95" t="s">
        <v>100</v>
      </c>
      <c r="B95" s="37">
        <v>50</v>
      </c>
      <c r="C95" t="str">
        <f>_xlfn.XLOOKUP(B95,'Centro de Custo'!A$2:A$45,'Centro de Custo'!B$2:B$45)</f>
        <v>Empréstimos</v>
      </c>
      <c r="E95" s="39">
        <v>-380000</v>
      </c>
      <c r="F95" s="40" t="s">
        <v>10</v>
      </c>
      <c r="G95" s="41">
        <v>45127</v>
      </c>
      <c r="H95" s="42">
        <f>YEAR(Tabela3[[#This Row],[Data]])</f>
        <v>2023</v>
      </c>
      <c r="I95" s="42" t="str">
        <f>_xlfn.XLOOKUP(J95,'Centro de Custo'!J$2:J$13,'Centro de Custo'!K$2:K$13)</f>
        <v>Julho</v>
      </c>
      <c r="J95" s="43">
        <f>MONTH(Tabela3[[#This Row],[Data]])</f>
        <v>7</v>
      </c>
      <c r="K95" s="39">
        <f>SUM(E$3:Tabela3[[#This Row],[Valor]])</f>
        <v>46878.14999999979</v>
      </c>
      <c r="L95" s="40">
        <f t="shared" si="1"/>
        <v>2.22375</v>
      </c>
      <c r="M95" s="40"/>
      <c r="N95" s="40"/>
      <c r="O95" s="40"/>
      <c r="P95" s="39"/>
      <c r="Q95" s="39"/>
      <c r="R95" s="39"/>
      <c r="S95" s="39"/>
      <c r="T95" s="39"/>
      <c r="V95">
        <f>IF(Tabela3[[#This Row],[Pago]]&lt;&gt;"",IF(F96="",Tabela3[[#This Row],[Saldo]],0))</f>
        <v>0</v>
      </c>
    </row>
    <row r="96" spans="1:22" x14ac:dyDescent="0.25">
      <c r="A96" t="s">
        <v>51</v>
      </c>
      <c r="B96" s="37">
        <v>41</v>
      </c>
      <c r="C96" t="str">
        <f>_xlfn.XLOOKUP(B96,'Centro de Custo'!A$2:A$45,'Centro de Custo'!B$2:B$45)</f>
        <v>Resgate Financeiro</v>
      </c>
      <c r="E96" s="39">
        <v>15000</v>
      </c>
      <c r="F96" s="40" t="s">
        <v>10</v>
      </c>
      <c r="G96" s="41">
        <v>45132</v>
      </c>
      <c r="H96" s="42">
        <f>YEAR(Tabela3[[#This Row],[Data]])</f>
        <v>2023</v>
      </c>
      <c r="I96" s="42" t="str">
        <f>_xlfn.XLOOKUP(J96,'Centro de Custo'!J$2:J$13,'Centro de Custo'!K$2:K$13)</f>
        <v>Julho</v>
      </c>
      <c r="J96" s="43">
        <f>MONTH(Tabela3[[#This Row],[Data]])</f>
        <v>7</v>
      </c>
      <c r="K96" s="39">
        <f>SUM(E$3:Tabela3[[#This Row],[Valor]])</f>
        <v>61878.14999999979</v>
      </c>
      <c r="L96" s="40">
        <f t="shared" si="1"/>
        <v>2.22375</v>
      </c>
      <c r="M96" s="40"/>
      <c r="N96" s="40"/>
      <c r="O96" s="40"/>
      <c r="P96" s="39"/>
      <c r="Q96" s="39"/>
      <c r="R96" s="39"/>
      <c r="S96" s="39"/>
      <c r="T96" s="39"/>
      <c r="V96">
        <f>IF(Tabela3[[#This Row],[Pago]]&lt;&gt;"",IF(F97="",Tabela3[[#This Row],[Saldo]],0))</f>
        <v>0</v>
      </c>
    </row>
    <row r="97" spans="1:22" x14ac:dyDescent="0.25">
      <c r="A97" t="s">
        <v>70</v>
      </c>
      <c r="B97" s="37">
        <v>20</v>
      </c>
      <c r="C97" t="str">
        <f>_xlfn.XLOOKUP(B97,'Centro de Custo'!A$2:A$45,'Centro de Custo'!B$2:B$45)</f>
        <v>Desp. ADM</v>
      </c>
      <c r="E97" s="39">
        <v>-25.85</v>
      </c>
      <c r="F97" s="40" t="s">
        <v>10</v>
      </c>
      <c r="G97" s="41">
        <v>45132</v>
      </c>
      <c r="H97" s="42">
        <f>YEAR(Tabela3[[#This Row],[Data]])</f>
        <v>2023</v>
      </c>
      <c r="I97" s="42" t="str">
        <f>_xlfn.XLOOKUP(J97,'Centro de Custo'!J$2:J$13,'Centro de Custo'!K$2:K$13)</f>
        <v>Julho</v>
      </c>
      <c r="J97" s="43">
        <f>MONTH(Tabela3[[#This Row],[Data]])</f>
        <v>7</v>
      </c>
      <c r="K97" s="39">
        <f>SUM(E$3:Tabela3[[#This Row],[Valor]])</f>
        <v>61852.29999999979</v>
      </c>
      <c r="L97" s="40">
        <f t="shared" si="1"/>
        <v>2.22375</v>
      </c>
      <c r="M97" s="40"/>
      <c r="N97" s="40"/>
      <c r="O97" s="40"/>
      <c r="P97" s="39"/>
      <c r="Q97" s="39"/>
      <c r="R97" s="39"/>
      <c r="S97" s="39"/>
      <c r="T97" s="39"/>
      <c r="V97">
        <f>IF(Tabela3[[#This Row],[Pago]]&lt;&gt;"",IF(F98="",Tabela3[[#This Row],[Saldo]],0))</f>
        <v>0</v>
      </c>
    </row>
    <row r="98" spans="1:22" x14ac:dyDescent="0.25">
      <c r="A98" t="s">
        <v>101</v>
      </c>
      <c r="B98" s="37">
        <v>50</v>
      </c>
      <c r="C98" t="str">
        <f>_xlfn.XLOOKUP(B98,'Centro de Custo'!A$2:A$45,'Centro de Custo'!B$2:B$45)</f>
        <v>Empréstimos</v>
      </c>
      <c r="E98" s="39">
        <v>-50000</v>
      </c>
      <c r="F98" s="40" t="s">
        <v>10</v>
      </c>
      <c r="G98" s="41">
        <v>45132</v>
      </c>
      <c r="H98" s="42">
        <f>YEAR(Tabela3[[#This Row],[Data]])</f>
        <v>2023</v>
      </c>
      <c r="I98" s="42" t="str">
        <f>_xlfn.XLOOKUP(J98,'Centro de Custo'!J$2:J$13,'Centro de Custo'!K$2:K$13)</f>
        <v>Julho</v>
      </c>
      <c r="J98" s="43">
        <f>MONTH(Tabela3[[#This Row],[Data]])</f>
        <v>7</v>
      </c>
      <c r="K98" s="39">
        <f>SUM(E$3:Tabela3[[#This Row],[Valor]])</f>
        <v>11852.299999999792</v>
      </c>
      <c r="L98" s="40">
        <f t="shared" si="1"/>
        <v>2.22375</v>
      </c>
      <c r="M98" s="40"/>
      <c r="N98" s="40"/>
      <c r="O98" s="40"/>
      <c r="P98" s="39"/>
      <c r="Q98" s="39"/>
      <c r="R98" s="39"/>
      <c r="S98" s="39"/>
      <c r="T98" s="39"/>
      <c r="V98">
        <f>IF(Tabela3[[#This Row],[Pago]]&lt;&gt;"",IF(F99="",Tabela3[[#This Row],[Saldo]],0))</f>
        <v>0</v>
      </c>
    </row>
    <row r="99" spans="1:22" x14ac:dyDescent="0.25">
      <c r="A99" t="s">
        <v>51</v>
      </c>
      <c r="B99" s="37">
        <v>41</v>
      </c>
      <c r="C99" t="str">
        <f>_xlfn.XLOOKUP(B99,'Centro de Custo'!A$2:A$45,'Centro de Custo'!B$2:B$45)</f>
        <v>Resgate Financeiro</v>
      </c>
      <c r="E99" s="39">
        <v>50000</v>
      </c>
      <c r="F99" s="40" t="s">
        <v>10</v>
      </c>
      <c r="G99" s="41">
        <v>45142</v>
      </c>
      <c r="H99" s="42">
        <f>YEAR(Tabela3[[#This Row],[Data]])</f>
        <v>2023</v>
      </c>
      <c r="I99" s="42" t="str">
        <f>_xlfn.XLOOKUP(J99,'Centro de Custo'!J$2:J$13,'Centro de Custo'!K$2:K$13)</f>
        <v>Agosto</v>
      </c>
      <c r="J99" s="43">
        <f>MONTH(Tabela3[[#This Row],[Data]])</f>
        <v>8</v>
      </c>
      <c r="K99" s="39">
        <f>SUM(E$3:Tabela3[[#This Row],[Valor]])</f>
        <v>61852.29999999979</v>
      </c>
      <c r="L99" s="40">
        <f t="shared" si="1"/>
        <v>2.22375</v>
      </c>
      <c r="M99" s="40"/>
      <c r="N99" s="40"/>
      <c r="O99" s="40"/>
      <c r="P99" s="39"/>
      <c r="Q99" s="39"/>
      <c r="R99" s="39"/>
      <c r="S99" s="39"/>
      <c r="T99" s="39"/>
      <c r="V99">
        <f>IF(Tabela3[[#This Row],[Pago]]&lt;&gt;"",IF(F100="",Tabela3[[#This Row],[Saldo]],0))</f>
        <v>0</v>
      </c>
    </row>
    <row r="100" spans="1:22" x14ac:dyDescent="0.25">
      <c r="A100" t="s">
        <v>81</v>
      </c>
      <c r="B100" s="37">
        <v>3</v>
      </c>
      <c r="C100" t="str">
        <f>_xlfn.XLOOKUP(B100,'Centro de Custo'!A$2:A$45,'Centro de Custo'!B$2:B$45)</f>
        <v>Investimentos</v>
      </c>
      <c r="E100" s="39">
        <v>-50000</v>
      </c>
      <c r="F100" s="40" t="s">
        <v>10</v>
      </c>
      <c r="G100" s="41">
        <v>45142</v>
      </c>
      <c r="H100" s="42">
        <f>YEAR(Tabela3[[#This Row],[Data]])</f>
        <v>2023</v>
      </c>
      <c r="I100" s="42" t="str">
        <f>_xlfn.XLOOKUP(J100,'Centro de Custo'!J$2:J$13,'Centro de Custo'!K$2:K$13)</f>
        <v>Agosto</v>
      </c>
      <c r="J100" s="43">
        <f>MONTH(Tabela3[[#This Row],[Data]])</f>
        <v>8</v>
      </c>
      <c r="K100" s="39">
        <f>SUM(E$3:Tabela3[[#This Row],[Valor]])</f>
        <v>11852.299999999792</v>
      </c>
      <c r="L100" s="40">
        <f t="shared" si="1"/>
        <v>2.22375</v>
      </c>
      <c r="M100" s="40"/>
      <c r="N100" s="40"/>
      <c r="O100" s="40"/>
      <c r="P100" s="39"/>
      <c r="Q100" s="39"/>
      <c r="R100" s="39"/>
      <c r="S100" s="39"/>
      <c r="T100" s="39"/>
      <c r="V100">
        <f>IF(Tabela3[[#This Row],[Pago]]&lt;&gt;"",IF(F101="",Tabela3[[#This Row],[Saldo]],0))</f>
        <v>0</v>
      </c>
    </row>
    <row r="101" spans="1:22" x14ac:dyDescent="0.25">
      <c r="A101" t="s">
        <v>102</v>
      </c>
      <c r="B101" s="37">
        <v>20</v>
      </c>
      <c r="C101" t="str">
        <f>_xlfn.XLOOKUP(B101,'Centro de Custo'!A$2:A$45,'Centro de Custo'!B$2:B$45)</f>
        <v>Desp. ADM</v>
      </c>
      <c r="E101" s="39">
        <v>-93.29</v>
      </c>
      <c r="F101" s="40" t="s">
        <v>10</v>
      </c>
      <c r="G101" s="41">
        <v>45145</v>
      </c>
      <c r="H101" s="42">
        <f>YEAR(Tabela3[[#This Row],[Data]])</f>
        <v>2023</v>
      </c>
      <c r="I101" s="42" t="str">
        <f>_xlfn.XLOOKUP(J101,'Centro de Custo'!J$2:J$13,'Centro de Custo'!K$2:K$13)</f>
        <v>Agosto</v>
      </c>
      <c r="J101" s="43">
        <f>MONTH(Tabela3[[#This Row],[Data]])</f>
        <v>8</v>
      </c>
      <c r="K101" s="39">
        <f>SUM(E$3:Tabela3[[#This Row],[Valor]])</f>
        <v>11759.009999999791</v>
      </c>
      <c r="L101" s="40">
        <f t="shared" si="1"/>
        <v>2.22375</v>
      </c>
      <c r="M101" s="40"/>
      <c r="N101" s="40"/>
      <c r="O101" s="40"/>
      <c r="P101" s="39"/>
      <c r="Q101" s="39"/>
      <c r="R101" s="39"/>
      <c r="S101" s="39"/>
      <c r="T101" s="39"/>
      <c r="V101">
        <f>IF(Tabela3[[#This Row],[Pago]]&lt;&gt;"",IF(F102="",Tabela3[[#This Row],[Saldo]],0))</f>
        <v>0</v>
      </c>
    </row>
    <row r="102" spans="1:22" x14ac:dyDescent="0.25">
      <c r="A102" t="s">
        <v>60</v>
      </c>
      <c r="B102" s="37">
        <v>20</v>
      </c>
      <c r="C102" t="str">
        <f>_xlfn.XLOOKUP(B102,'Centro de Custo'!A$2:A$45,'Centro de Custo'!B$2:B$45)</f>
        <v>Desp. ADM</v>
      </c>
      <c r="E102" s="39">
        <v>-419.39</v>
      </c>
      <c r="F102" s="40" t="s">
        <v>10</v>
      </c>
      <c r="G102" s="41">
        <v>45145</v>
      </c>
      <c r="H102" s="42">
        <f>YEAR(Tabela3[[#This Row],[Data]])</f>
        <v>2023</v>
      </c>
      <c r="I102" s="42" t="str">
        <f>_xlfn.XLOOKUP(J102,'Centro de Custo'!J$2:J$13,'Centro de Custo'!K$2:K$13)</f>
        <v>Agosto</v>
      </c>
      <c r="J102" s="43">
        <f>MONTH(Tabela3[[#This Row],[Data]])</f>
        <v>8</v>
      </c>
      <c r="K102" s="39">
        <f>SUM(E$3:Tabela3[[#This Row],[Valor]])</f>
        <v>11339.619999999792</v>
      </c>
      <c r="L102" s="40">
        <f t="shared" si="1"/>
        <v>2.22375</v>
      </c>
      <c r="M102" s="40"/>
      <c r="N102" s="40"/>
      <c r="O102" s="40"/>
      <c r="P102" s="39"/>
      <c r="Q102" s="39"/>
      <c r="R102" s="39"/>
      <c r="S102" s="39"/>
      <c r="T102" s="39"/>
      <c r="V102">
        <f>IF(Tabela3[[#This Row],[Pago]]&lt;&gt;"",IF(F103="",Tabela3[[#This Row],[Saldo]],0))</f>
        <v>0</v>
      </c>
    </row>
    <row r="103" spans="1:22" x14ac:dyDescent="0.25">
      <c r="A103" t="s">
        <v>103</v>
      </c>
      <c r="B103" s="37">
        <v>20</v>
      </c>
      <c r="C103" t="str">
        <f>_xlfn.XLOOKUP(B103,'Centro de Custo'!A$2:A$45,'Centro de Custo'!B$2:B$45)</f>
        <v>Desp. ADM</v>
      </c>
      <c r="E103" s="39">
        <v>-1800</v>
      </c>
      <c r="F103" s="40" t="s">
        <v>10</v>
      </c>
      <c r="G103" s="41">
        <v>45146</v>
      </c>
      <c r="H103" s="42">
        <f>YEAR(Tabela3[[#This Row],[Data]])</f>
        <v>2023</v>
      </c>
      <c r="I103" s="42" t="str">
        <f>_xlfn.XLOOKUP(J103,'Centro de Custo'!J$2:J$13,'Centro de Custo'!K$2:K$13)</f>
        <v>Agosto</v>
      </c>
      <c r="J103" s="43">
        <f>MONTH(Tabela3[[#This Row],[Data]])</f>
        <v>8</v>
      </c>
      <c r="K103" s="39">
        <f>SUM(E$3:Tabela3[[#This Row],[Valor]])</f>
        <v>9539.619999999792</v>
      </c>
      <c r="L103" s="40">
        <f t="shared" si="1"/>
        <v>2.22375</v>
      </c>
      <c r="M103" s="40"/>
      <c r="N103" s="40"/>
      <c r="O103" s="40"/>
      <c r="P103" s="39"/>
      <c r="Q103" s="39"/>
      <c r="R103" s="39"/>
      <c r="S103" s="39"/>
      <c r="T103" s="39"/>
      <c r="V103">
        <f>IF(Tabela3[[#This Row],[Pago]]&lt;&gt;"",IF(F104="",Tabela3[[#This Row],[Saldo]],0))</f>
        <v>0</v>
      </c>
    </row>
    <row r="104" spans="1:22" x14ac:dyDescent="0.25">
      <c r="A104" t="s">
        <v>51</v>
      </c>
      <c r="B104" s="37">
        <v>41</v>
      </c>
      <c r="C104" t="str">
        <f>_xlfn.XLOOKUP(B104,'Centro de Custo'!A$2:A$45,'Centro de Custo'!B$2:B$45)</f>
        <v>Resgate Financeiro</v>
      </c>
      <c r="E104" s="39">
        <v>150000</v>
      </c>
      <c r="F104" s="40" t="s">
        <v>10</v>
      </c>
      <c r="G104" s="41">
        <v>45148</v>
      </c>
      <c r="H104" s="42">
        <f>YEAR(Tabela3[[#This Row],[Data]])</f>
        <v>2023</v>
      </c>
      <c r="I104" s="42" t="str">
        <f>_xlfn.XLOOKUP(J104,'Centro de Custo'!J$2:J$13,'Centro de Custo'!K$2:K$13)</f>
        <v>Agosto</v>
      </c>
      <c r="J104" s="43">
        <f>MONTH(Tabela3[[#This Row],[Data]])</f>
        <v>8</v>
      </c>
      <c r="K104" s="39">
        <f>SUM(E$3:Tabela3[[#This Row],[Valor]])</f>
        <v>159539.6199999998</v>
      </c>
      <c r="L104" s="40">
        <f t="shared" si="1"/>
        <v>2.22375</v>
      </c>
      <c r="M104" s="40"/>
      <c r="N104" s="40"/>
      <c r="O104" s="40"/>
      <c r="P104" s="39"/>
      <c r="Q104" s="39"/>
      <c r="R104" s="39"/>
      <c r="S104" s="39"/>
      <c r="T104" s="39"/>
      <c r="V104">
        <f>IF(Tabela3[[#This Row],[Pago]]&lt;&gt;"",IF(F105="",Tabela3[[#This Row],[Saldo]],0))</f>
        <v>0</v>
      </c>
    </row>
    <row r="105" spans="1:22" x14ac:dyDescent="0.25">
      <c r="A105" t="s">
        <v>104</v>
      </c>
      <c r="B105" s="37">
        <v>10</v>
      </c>
      <c r="C105" t="str">
        <f>_xlfn.XLOOKUP(B105,'Centro de Custo'!A$2:A$45,'Centro de Custo'!B$2:B$45)</f>
        <v>Retirada Mensal</v>
      </c>
      <c r="E105" s="39">
        <v>-10000</v>
      </c>
      <c r="F105" s="40" t="s">
        <v>10</v>
      </c>
      <c r="G105" s="41">
        <v>45148</v>
      </c>
      <c r="H105" s="42">
        <f>YEAR(Tabela3[[#This Row],[Data]])</f>
        <v>2023</v>
      </c>
      <c r="I105" s="42" t="str">
        <f>_xlfn.XLOOKUP(J105,'Centro de Custo'!J$2:J$13,'Centro de Custo'!K$2:K$13)</f>
        <v>Agosto</v>
      </c>
      <c r="J105" s="43">
        <f>MONTH(Tabela3[[#This Row],[Data]])</f>
        <v>8</v>
      </c>
      <c r="K105" s="39">
        <f>SUM(E$3:Tabela3[[#This Row],[Valor]])</f>
        <v>149539.6199999998</v>
      </c>
      <c r="L105" s="40">
        <f t="shared" si="1"/>
        <v>2.22375</v>
      </c>
      <c r="M105" s="40"/>
      <c r="N105" s="40"/>
      <c r="O105" s="40"/>
      <c r="P105" s="39"/>
      <c r="Q105" s="39"/>
      <c r="R105" s="39"/>
      <c r="S105" s="39"/>
      <c r="T105" s="39"/>
      <c r="V105">
        <f>IF(Tabela3[[#This Row],[Pago]]&lt;&gt;"",IF(F106="",Tabela3[[#This Row],[Saldo]],0))</f>
        <v>0</v>
      </c>
    </row>
    <row r="106" spans="1:22" x14ac:dyDescent="0.25">
      <c r="A106" t="s">
        <v>55</v>
      </c>
      <c r="B106" s="37">
        <v>10</v>
      </c>
      <c r="C106" t="str">
        <f>_xlfn.XLOOKUP(B106,'Centro de Custo'!A$2:A$45,'Centro de Custo'!B$2:B$45)</f>
        <v>Retirada Mensal</v>
      </c>
      <c r="E106" s="39">
        <v>-10950</v>
      </c>
      <c r="F106" s="40" t="s">
        <v>10</v>
      </c>
      <c r="G106" s="41">
        <v>45148</v>
      </c>
      <c r="H106" s="42">
        <f>YEAR(Tabela3[[#This Row],[Data]])</f>
        <v>2023</v>
      </c>
      <c r="I106" s="42" t="str">
        <f>_xlfn.XLOOKUP(J106,'Centro de Custo'!J$2:J$13,'Centro de Custo'!K$2:K$13)</f>
        <v>Agosto</v>
      </c>
      <c r="J106" s="43">
        <f>MONTH(Tabela3[[#This Row],[Data]])</f>
        <v>8</v>
      </c>
      <c r="K106" s="39">
        <f>SUM(E$3:Tabela3[[#This Row],[Valor]])</f>
        <v>138589.6199999998</v>
      </c>
      <c r="L106" s="40">
        <f t="shared" si="1"/>
        <v>2.22375</v>
      </c>
      <c r="M106" s="40"/>
      <c r="N106" s="40"/>
      <c r="O106" s="40"/>
      <c r="P106" s="39"/>
      <c r="Q106" s="39"/>
      <c r="R106" s="39"/>
      <c r="S106" s="39"/>
      <c r="T106" s="39"/>
      <c r="V106">
        <f>IF(Tabela3[[#This Row],[Pago]]&lt;&gt;"",IF(F107="",Tabela3[[#This Row],[Saldo]],0))</f>
        <v>0</v>
      </c>
    </row>
    <row r="107" spans="1:22" x14ac:dyDescent="0.25">
      <c r="A107" t="s">
        <v>58</v>
      </c>
      <c r="B107" s="37">
        <v>10</v>
      </c>
      <c r="C107" t="str">
        <f>_xlfn.XLOOKUP(B107,'Centro de Custo'!A$2:A$45,'Centro de Custo'!B$2:B$45)</f>
        <v>Retirada Mensal</v>
      </c>
      <c r="E107" s="39">
        <v>-11200</v>
      </c>
      <c r="F107" s="40" t="s">
        <v>10</v>
      </c>
      <c r="G107" s="41">
        <v>45148</v>
      </c>
      <c r="H107" s="42">
        <f>YEAR(Tabela3[[#This Row],[Data]])</f>
        <v>2023</v>
      </c>
      <c r="I107" s="42" t="str">
        <f>_xlfn.XLOOKUP(J107,'Centro de Custo'!J$2:J$13,'Centro de Custo'!K$2:K$13)</f>
        <v>Agosto</v>
      </c>
      <c r="J107" s="43">
        <f>MONTH(Tabela3[[#This Row],[Data]])</f>
        <v>8</v>
      </c>
      <c r="K107" s="39">
        <f>SUM(E$3:Tabela3[[#This Row],[Valor]])</f>
        <v>127389.61999999979</v>
      </c>
      <c r="L107" s="40">
        <f t="shared" si="1"/>
        <v>2.22375</v>
      </c>
      <c r="M107" s="40"/>
      <c r="N107" s="40"/>
      <c r="O107" s="40"/>
      <c r="P107" s="39"/>
      <c r="Q107" s="39"/>
      <c r="R107" s="39"/>
      <c r="S107" s="39"/>
      <c r="T107" s="39"/>
      <c r="V107">
        <f>IF(Tabela3[[#This Row],[Pago]]&lt;&gt;"",IF(F108="",Tabela3[[#This Row],[Saldo]],0))</f>
        <v>0</v>
      </c>
    </row>
    <row r="108" spans="1:22" x14ac:dyDescent="0.25">
      <c r="A108" t="s">
        <v>91</v>
      </c>
      <c r="B108" s="37">
        <v>10</v>
      </c>
      <c r="C108" t="str">
        <f>_xlfn.XLOOKUP(B108,'Centro de Custo'!A$2:A$45,'Centro de Custo'!B$2:B$45)</f>
        <v>Retirada Mensal</v>
      </c>
      <c r="E108" s="39">
        <v>-13500</v>
      </c>
      <c r="F108" s="40" t="s">
        <v>10</v>
      </c>
      <c r="G108" s="41">
        <v>45148</v>
      </c>
      <c r="H108" s="42">
        <f>YEAR(Tabela3[[#This Row],[Data]])</f>
        <v>2023</v>
      </c>
      <c r="I108" s="42" t="str">
        <f>_xlfn.XLOOKUP(J108,'Centro de Custo'!J$2:J$13,'Centro de Custo'!K$2:K$13)</f>
        <v>Agosto</v>
      </c>
      <c r="J108" s="43">
        <f>MONTH(Tabela3[[#This Row],[Data]])</f>
        <v>8</v>
      </c>
      <c r="K108" s="39">
        <f>SUM(E$3:Tabela3[[#This Row],[Valor]])</f>
        <v>113889.61999999979</v>
      </c>
      <c r="L108" s="40">
        <f t="shared" si="1"/>
        <v>2.22375</v>
      </c>
      <c r="M108" s="40"/>
      <c r="N108" s="40"/>
      <c r="O108" s="40"/>
      <c r="P108" s="39"/>
      <c r="Q108" s="39"/>
      <c r="R108" s="39"/>
      <c r="S108" s="39"/>
      <c r="T108" s="39"/>
      <c r="V108">
        <f>IF(Tabela3[[#This Row],[Pago]]&lt;&gt;"",IF(F109="",Tabela3[[#This Row],[Saldo]],0))</f>
        <v>0</v>
      </c>
    </row>
    <row r="109" spans="1:22" x14ac:dyDescent="0.25">
      <c r="A109" t="s">
        <v>92</v>
      </c>
      <c r="B109" s="37">
        <v>10</v>
      </c>
      <c r="C109" t="str">
        <f>_xlfn.XLOOKUP(B109,'Centro de Custo'!A$2:A$45,'Centro de Custo'!B$2:B$45)</f>
        <v>Retirada Mensal</v>
      </c>
      <c r="E109" s="39">
        <v>-18000</v>
      </c>
      <c r="F109" s="40" t="s">
        <v>10</v>
      </c>
      <c r="G109" s="41">
        <v>45148</v>
      </c>
      <c r="H109" s="42">
        <f>YEAR(Tabela3[[#This Row],[Data]])</f>
        <v>2023</v>
      </c>
      <c r="I109" s="42" t="str">
        <f>_xlfn.XLOOKUP(J109,'Centro de Custo'!J$2:J$13,'Centro de Custo'!K$2:K$13)</f>
        <v>Agosto</v>
      </c>
      <c r="J109" s="43">
        <f>MONTH(Tabela3[[#This Row],[Data]])</f>
        <v>8</v>
      </c>
      <c r="K109" s="39">
        <f>SUM(E$3:Tabela3[[#This Row],[Valor]])</f>
        <v>95889.61999999979</v>
      </c>
      <c r="L109" s="40">
        <f t="shared" si="1"/>
        <v>2.22375</v>
      </c>
      <c r="M109" s="40"/>
      <c r="N109" s="40"/>
      <c r="O109" s="40"/>
      <c r="P109" s="39"/>
      <c r="Q109" s="39"/>
      <c r="R109" s="39"/>
      <c r="S109" s="39"/>
      <c r="T109" s="39"/>
      <c r="V109">
        <f>IF(Tabela3[[#This Row],[Pago]]&lt;&gt;"",IF(F110="",Tabela3[[#This Row],[Saldo]],0))</f>
        <v>0</v>
      </c>
    </row>
    <row r="110" spans="1:22" x14ac:dyDescent="0.25">
      <c r="A110" t="s">
        <v>105</v>
      </c>
      <c r="B110" s="37">
        <v>13</v>
      </c>
      <c r="C110" t="str">
        <f>_xlfn.XLOOKUP(B110,'Centro de Custo'!A$2:A$45,'Centro de Custo'!B$2:B$45)</f>
        <v>Terceirizados</v>
      </c>
      <c r="E110" s="39">
        <v>-20000</v>
      </c>
      <c r="F110" s="40" t="s">
        <v>10</v>
      </c>
      <c r="G110" s="41">
        <v>45148</v>
      </c>
      <c r="H110" s="42">
        <f>YEAR(Tabela3[[#This Row],[Data]])</f>
        <v>2023</v>
      </c>
      <c r="I110" s="42" t="str">
        <f>_xlfn.XLOOKUP(J110,'Centro de Custo'!J$2:J$13,'Centro de Custo'!K$2:K$13)</f>
        <v>Agosto</v>
      </c>
      <c r="J110" s="43">
        <f>MONTH(Tabela3[[#This Row],[Data]])</f>
        <v>8</v>
      </c>
      <c r="K110" s="39">
        <f>SUM(E$3:Tabela3[[#This Row],[Valor]])</f>
        <v>75889.61999999979</v>
      </c>
      <c r="L110" s="40">
        <f t="shared" si="1"/>
        <v>2.22375</v>
      </c>
      <c r="M110" s="40"/>
      <c r="N110" s="40"/>
      <c r="O110" s="40"/>
      <c r="P110" s="39"/>
      <c r="Q110" s="39"/>
      <c r="R110" s="39"/>
      <c r="S110" s="39"/>
      <c r="T110" s="39"/>
      <c r="V110">
        <f>IF(Tabela3[[#This Row],[Pago]]&lt;&gt;"",IF(F111="",Tabela3[[#This Row],[Saldo]],0))</f>
        <v>0</v>
      </c>
    </row>
    <row r="111" spans="1:22" x14ac:dyDescent="0.25">
      <c r="A111" t="s">
        <v>106</v>
      </c>
      <c r="B111" s="37">
        <v>13</v>
      </c>
      <c r="C111" t="str">
        <f>_xlfn.XLOOKUP(B111,'Centro de Custo'!A$2:A$45,'Centro de Custo'!B$2:B$45)</f>
        <v>Terceirizados</v>
      </c>
      <c r="E111" s="39">
        <v>-28175</v>
      </c>
      <c r="F111" s="40" t="s">
        <v>10</v>
      </c>
      <c r="G111" s="41">
        <v>45148</v>
      </c>
      <c r="H111" s="42">
        <f>YEAR(Tabela3[[#This Row],[Data]])</f>
        <v>2023</v>
      </c>
      <c r="I111" s="42" t="str">
        <f>_xlfn.XLOOKUP(J111,'Centro de Custo'!J$2:J$13,'Centro de Custo'!K$2:K$13)</f>
        <v>Agosto</v>
      </c>
      <c r="J111" s="43">
        <f>MONTH(Tabela3[[#This Row],[Data]])</f>
        <v>8</v>
      </c>
      <c r="K111" s="39">
        <f>SUM(E$3:Tabela3[[#This Row],[Valor]])</f>
        <v>47714.61999999979</v>
      </c>
      <c r="L111" s="40">
        <f t="shared" si="1"/>
        <v>2.22375</v>
      </c>
      <c r="M111" s="40"/>
      <c r="N111" s="40"/>
      <c r="O111" s="40"/>
      <c r="P111" s="39"/>
      <c r="Q111" s="39"/>
      <c r="R111" s="39"/>
      <c r="S111" s="39"/>
      <c r="T111" s="39"/>
      <c r="V111">
        <f>IF(Tabela3[[#This Row],[Pago]]&lt;&gt;"",IF(F112="",Tabela3[[#This Row],[Saldo]],0))</f>
        <v>0</v>
      </c>
    </row>
    <row r="112" spans="1:22" x14ac:dyDescent="0.25">
      <c r="A112" t="s">
        <v>107</v>
      </c>
      <c r="B112" s="37">
        <v>13</v>
      </c>
      <c r="C112" t="str">
        <f>_xlfn.XLOOKUP(B112,'Centro de Custo'!A$2:A$45,'Centro de Custo'!B$2:B$45)</f>
        <v>Terceirizados</v>
      </c>
      <c r="E112" s="39">
        <v>-38070</v>
      </c>
      <c r="F112" s="40" t="s">
        <v>10</v>
      </c>
      <c r="G112" s="41">
        <v>45148</v>
      </c>
      <c r="H112" s="42">
        <f>YEAR(Tabela3[[#This Row],[Data]])</f>
        <v>2023</v>
      </c>
      <c r="I112" s="42" t="str">
        <f>_xlfn.XLOOKUP(J112,'Centro de Custo'!J$2:J$13,'Centro de Custo'!K$2:K$13)</f>
        <v>Agosto</v>
      </c>
      <c r="J112" s="43">
        <f>MONTH(Tabela3[[#This Row],[Data]])</f>
        <v>8</v>
      </c>
      <c r="K112" s="39">
        <f>SUM(E$3:Tabela3[[#This Row],[Valor]])</f>
        <v>9644.619999999792</v>
      </c>
      <c r="L112" s="40">
        <f t="shared" si="1"/>
        <v>2.22375</v>
      </c>
      <c r="M112" s="40"/>
      <c r="N112" s="40"/>
      <c r="O112" s="40"/>
      <c r="P112" s="39"/>
      <c r="Q112" s="39"/>
      <c r="R112" s="39"/>
      <c r="S112" s="39"/>
      <c r="T112" s="39"/>
      <c r="V112">
        <f>IF(Tabela3[[#This Row],[Pago]]&lt;&gt;"",IF(F113="",Tabela3[[#This Row],[Saldo]],0))</f>
        <v>0</v>
      </c>
    </row>
    <row r="113" spans="1:22" x14ac:dyDescent="0.25">
      <c r="A113" t="s">
        <v>98</v>
      </c>
      <c r="B113" s="37">
        <v>20</v>
      </c>
      <c r="C113" t="str">
        <f>_xlfn.XLOOKUP(B113,'Centro de Custo'!A$2:A$45,'Centro de Custo'!B$2:B$45)</f>
        <v>Desp. ADM</v>
      </c>
      <c r="E113" s="39">
        <v>-102.86</v>
      </c>
      <c r="F113" s="40" t="s">
        <v>10</v>
      </c>
      <c r="G113" s="41">
        <v>45156</v>
      </c>
      <c r="H113" s="42">
        <f>YEAR(Tabela3[[#This Row],[Data]])</f>
        <v>2023</v>
      </c>
      <c r="I113" s="42" t="str">
        <f>_xlfn.XLOOKUP(J113,'Centro de Custo'!J$2:J$13,'Centro de Custo'!K$2:K$13)</f>
        <v>Agosto</v>
      </c>
      <c r="J113" s="43">
        <f>MONTH(Tabela3[[#This Row],[Data]])</f>
        <v>8</v>
      </c>
      <c r="K113" s="39">
        <f>SUM(E$3:Tabela3[[#This Row],[Valor]])</f>
        <v>9541.759999999791</v>
      </c>
      <c r="L113" s="40">
        <f t="shared" si="1"/>
        <v>2.22375</v>
      </c>
      <c r="M113" s="40"/>
      <c r="N113" s="40"/>
      <c r="O113" s="40"/>
      <c r="P113" s="39"/>
      <c r="Q113" s="39"/>
      <c r="R113" s="39"/>
      <c r="S113" s="39"/>
      <c r="T113" s="39"/>
      <c r="V113">
        <f>IF(Tabela3[[#This Row],[Pago]]&lt;&gt;"",IF(F114="",Tabela3[[#This Row],[Saldo]],0))</f>
        <v>0</v>
      </c>
    </row>
    <row r="114" spans="1:22" x14ac:dyDescent="0.25">
      <c r="A114" t="s">
        <v>70</v>
      </c>
      <c r="B114" s="37">
        <v>20</v>
      </c>
      <c r="C114" t="str">
        <f>_xlfn.XLOOKUP(B114,'Centro de Custo'!A$2:A$45,'Centro de Custo'!B$2:B$45)</f>
        <v>Desp. ADM</v>
      </c>
      <c r="E114" s="39">
        <v>-25.85</v>
      </c>
      <c r="F114" s="40" t="s">
        <v>10</v>
      </c>
      <c r="G114" s="41">
        <v>45163</v>
      </c>
      <c r="H114" s="42">
        <f>YEAR(Tabela3[[#This Row],[Data]])</f>
        <v>2023</v>
      </c>
      <c r="I114" s="42" t="str">
        <f>_xlfn.XLOOKUP(J114,'Centro de Custo'!J$2:J$13,'Centro de Custo'!K$2:K$13)</f>
        <v>Agosto</v>
      </c>
      <c r="J114" s="43">
        <f>MONTH(Tabela3[[#This Row],[Data]])</f>
        <v>8</v>
      </c>
      <c r="K114" s="39">
        <f>SUM(E$3:Tabela3[[#This Row],[Valor]])</f>
        <v>9515.90999999979</v>
      </c>
      <c r="L114" s="40">
        <f t="shared" si="1"/>
        <v>2.22375</v>
      </c>
      <c r="M114" s="40"/>
      <c r="N114" s="40"/>
      <c r="O114" s="40"/>
      <c r="P114" s="39"/>
      <c r="Q114" s="39"/>
      <c r="R114" s="39"/>
      <c r="S114" s="39"/>
      <c r="T114" s="39"/>
      <c r="V114">
        <f>IF(Tabela3[[#This Row],[Pago]]&lt;&gt;"",IF(F115="",Tabela3[[#This Row],[Saldo]],0))</f>
        <v>0</v>
      </c>
    </row>
    <row r="115" spans="1:22" x14ac:dyDescent="0.25">
      <c r="A115" t="s">
        <v>98</v>
      </c>
      <c r="B115" s="37">
        <v>20</v>
      </c>
      <c r="C115" t="str">
        <f>_xlfn.XLOOKUP(B115,'Centro de Custo'!A$2:A$45,'Centro de Custo'!B$2:B$45)</f>
        <v>Desp. ADM</v>
      </c>
      <c r="E115" s="39">
        <v>-115.95</v>
      </c>
      <c r="F115" s="40" t="s">
        <v>10</v>
      </c>
      <c r="G115" s="41">
        <v>45173</v>
      </c>
      <c r="H115" s="42">
        <f>YEAR(Tabela3[[#This Row],[Data]])</f>
        <v>2023</v>
      </c>
      <c r="I115" s="42" t="str">
        <f>_xlfn.XLOOKUP(J115,'Centro de Custo'!J$2:J$13,'Centro de Custo'!K$2:K$13)</f>
        <v>Setembro</v>
      </c>
      <c r="J115" s="43">
        <f>MONTH(Tabela3[[#This Row],[Data]])</f>
        <v>9</v>
      </c>
      <c r="K115" s="39">
        <f>SUM(E$3:Tabela3[[#This Row],[Valor]])</f>
        <v>9399.95999999979</v>
      </c>
      <c r="L115" s="40">
        <f t="shared" si="1"/>
        <v>2.22375</v>
      </c>
      <c r="M115" s="40"/>
      <c r="N115" s="40"/>
      <c r="O115" s="40"/>
      <c r="P115" s="39"/>
      <c r="Q115" s="39"/>
      <c r="R115" s="39"/>
      <c r="S115" s="39"/>
      <c r="T115" s="39"/>
      <c r="V115">
        <f>IF(Tabela3[[#This Row],[Pago]]&lt;&gt;"",IF(F116="",Tabela3[[#This Row],[Saldo]],0))</f>
        <v>0</v>
      </c>
    </row>
    <row r="116" spans="1:22" x14ac:dyDescent="0.25">
      <c r="A116" t="s">
        <v>60</v>
      </c>
      <c r="B116" s="37">
        <v>20</v>
      </c>
      <c r="C116" t="str">
        <f>_xlfn.XLOOKUP(B116,'Centro de Custo'!A$2:A$45,'Centro de Custo'!B$2:B$45)</f>
        <v>Desp. ADM</v>
      </c>
      <c r="E116" s="39">
        <v>-437.96</v>
      </c>
      <c r="F116" s="40" t="s">
        <v>10</v>
      </c>
      <c r="G116" s="41">
        <v>45173</v>
      </c>
      <c r="H116" s="42">
        <f>YEAR(Tabela3[[#This Row],[Data]])</f>
        <v>2023</v>
      </c>
      <c r="I116" s="42" t="str">
        <f>_xlfn.XLOOKUP(J116,'Centro de Custo'!J$2:J$13,'Centro de Custo'!K$2:K$13)</f>
        <v>Setembro</v>
      </c>
      <c r="J116" s="43">
        <f>MONTH(Tabela3[[#This Row],[Data]])</f>
        <v>9</v>
      </c>
      <c r="K116" s="39">
        <f>SUM(E$3:Tabela3[[#This Row],[Valor]])</f>
        <v>8961.99999999979</v>
      </c>
      <c r="L116" s="40">
        <f t="shared" si="1"/>
        <v>2.22375</v>
      </c>
      <c r="M116" s="40"/>
      <c r="N116" s="40"/>
      <c r="O116" s="40"/>
      <c r="P116" s="39"/>
      <c r="Q116" s="39"/>
      <c r="R116" s="39"/>
      <c r="S116" s="39"/>
      <c r="T116" s="39"/>
      <c r="V116">
        <f>IF(Tabela3[[#This Row],[Pago]]&lt;&gt;"",IF(F117="",Tabela3[[#This Row],[Saldo]],0))</f>
        <v>0</v>
      </c>
    </row>
    <row r="117" spans="1:22" x14ac:dyDescent="0.25">
      <c r="A117" t="s">
        <v>51</v>
      </c>
      <c r="B117" s="37">
        <v>41</v>
      </c>
      <c r="C117" t="str">
        <f>_xlfn.XLOOKUP(B117,'Centro de Custo'!A$2:A$45,'Centro de Custo'!B$2:B$45)</f>
        <v>Resgate Financeiro</v>
      </c>
      <c r="E117" s="39">
        <v>150000</v>
      </c>
      <c r="F117" s="40" t="s">
        <v>10</v>
      </c>
      <c r="G117" s="41">
        <v>45174</v>
      </c>
      <c r="H117" s="42">
        <f>YEAR(Tabela3[[#This Row],[Data]])</f>
        <v>2023</v>
      </c>
      <c r="I117" s="42" t="str">
        <f>_xlfn.XLOOKUP(J117,'Centro de Custo'!J$2:J$13,'Centro de Custo'!K$2:K$13)</f>
        <v>Setembro</v>
      </c>
      <c r="J117" s="43">
        <f>MONTH(Tabela3[[#This Row],[Data]])</f>
        <v>9</v>
      </c>
      <c r="K117" s="39">
        <f>SUM(E$3:Tabela3[[#This Row],[Valor]])</f>
        <v>158961.9999999998</v>
      </c>
      <c r="L117" s="40">
        <f t="shared" si="1"/>
        <v>2.22375</v>
      </c>
      <c r="M117" s="40"/>
      <c r="N117" s="40"/>
      <c r="O117" s="40"/>
      <c r="P117" s="39"/>
      <c r="Q117" s="39"/>
      <c r="R117" s="39"/>
      <c r="S117" s="39"/>
      <c r="T117" s="39"/>
      <c r="V117">
        <f>IF(Tabela3[[#This Row],[Pago]]&lt;&gt;"",IF(F118="",Tabela3[[#This Row],[Saldo]],0))</f>
        <v>0</v>
      </c>
    </row>
    <row r="118" spans="1:22" x14ac:dyDescent="0.25">
      <c r="A118" t="s">
        <v>90</v>
      </c>
      <c r="B118" s="37">
        <v>10</v>
      </c>
      <c r="C118" t="str">
        <f>_xlfn.XLOOKUP(B118,'Centro de Custo'!A$2:A$45,'Centro de Custo'!B$2:B$45)</f>
        <v>Retirada Mensal</v>
      </c>
      <c r="E118" s="39">
        <v>-10000</v>
      </c>
      <c r="F118" s="40" t="s">
        <v>10</v>
      </c>
      <c r="G118" s="41">
        <v>45174</v>
      </c>
      <c r="H118" s="42">
        <f>YEAR(Tabela3[[#This Row],[Data]])</f>
        <v>2023</v>
      </c>
      <c r="I118" s="42" t="str">
        <f>_xlfn.XLOOKUP(J118,'Centro de Custo'!J$2:J$13,'Centro de Custo'!K$2:K$13)</f>
        <v>Setembro</v>
      </c>
      <c r="J118" s="43">
        <f>MONTH(Tabela3[[#This Row],[Data]])</f>
        <v>9</v>
      </c>
      <c r="K118" s="39">
        <f>SUM(E$3:Tabela3[[#This Row],[Valor]])</f>
        <v>148961.9999999998</v>
      </c>
      <c r="L118" s="40">
        <f t="shared" si="1"/>
        <v>2.22375</v>
      </c>
      <c r="M118" s="40"/>
      <c r="N118" s="40"/>
      <c r="O118" s="40"/>
      <c r="P118" s="39"/>
      <c r="Q118" s="39"/>
      <c r="R118" s="39"/>
      <c r="S118" s="39"/>
      <c r="T118" s="39"/>
      <c r="V118">
        <f>IF(Tabela3[[#This Row],[Pago]]&lt;&gt;"",IF(F119="",Tabela3[[#This Row],[Saldo]],0))</f>
        <v>0</v>
      </c>
    </row>
    <row r="119" spans="1:22" x14ac:dyDescent="0.25">
      <c r="A119" t="s">
        <v>108</v>
      </c>
      <c r="B119" s="37">
        <v>10</v>
      </c>
      <c r="C119" t="str">
        <f>_xlfn.XLOOKUP(B119,'Centro de Custo'!A$2:A$45,'Centro de Custo'!B$2:B$45)</f>
        <v>Retirada Mensal</v>
      </c>
      <c r="E119" s="39">
        <v>-10500</v>
      </c>
      <c r="F119" s="40" t="s">
        <v>10</v>
      </c>
      <c r="G119" s="41">
        <v>45174</v>
      </c>
      <c r="H119" s="42">
        <f>YEAR(Tabela3[[#This Row],[Data]])</f>
        <v>2023</v>
      </c>
      <c r="I119" s="42" t="str">
        <f>_xlfn.XLOOKUP(J119,'Centro de Custo'!J$2:J$13,'Centro de Custo'!K$2:K$13)</f>
        <v>Setembro</v>
      </c>
      <c r="J119" s="43">
        <f>MONTH(Tabela3[[#This Row],[Data]])</f>
        <v>9</v>
      </c>
      <c r="K119" s="39">
        <f>SUM(E$3:Tabela3[[#This Row],[Valor]])</f>
        <v>138461.9999999998</v>
      </c>
      <c r="L119" s="40">
        <f t="shared" si="1"/>
        <v>2.22375</v>
      </c>
      <c r="M119" s="40"/>
      <c r="N119" s="40"/>
      <c r="O119" s="40"/>
      <c r="P119" s="39"/>
      <c r="Q119" s="39"/>
      <c r="R119" s="39"/>
      <c r="S119" s="39"/>
      <c r="T119" s="39"/>
      <c r="V119">
        <f>IF(Tabela3[[#This Row],[Pago]]&lt;&gt;"",IF(F120="",Tabela3[[#This Row],[Saldo]],0))</f>
        <v>0</v>
      </c>
    </row>
    <row r="120" spans="1:22" x14ac:dyDescent="0.25">
      <c r="A120" t="s">
        <v>55</v>
      </c>
      <c r="B120" s="37">
        <v>10</v>
      </c>
      <c r="C120" t="str">
        <f>_xlfn.XLOOKUP(B120,'Centro de Custo'!A$2:A$45,'Centro de Custo'!B$2:B$45)</f>
        <v>Retirada Mensal</v>
      </c>
      <c r="E120" s="39">
        <v>-11420</v>
      </c>
      <c r="F120" s="40" t="s">
        <v>10</v>
      </c>
      <c r="G120" s="41">
        <v>45174</v>
      </c>
      <c r="H120" s="42">
        <f>YEAR(Tabela3[[#This Row],[Data]])</f>
        <v>2023</v>
      </c>
      <c r="I120" s="42" t="str">
        <f>_xlfn.XLOOKUP(J120,'Centro de Custo'!J$2:J$13,'Centro de Custo'!K$2:K$13)</f>
        <v>Setembro</v>
      </c>
      <c r="J120" s="43">
        <f>MONTH(Tabela3[[#This Row],[Data]])</f>
        <v>9</v>
      </c>
      <c r="K120" s="39">
        <f>SUM(E$3:Tabela3[[#This Row],[Valor]])</f>
        <v>127041.9999999998</v>
      </c>
      <c r="L120" s="40">
        <f t="shared" si="1"/>
        <v>2.22375</v>
      </c>
      <c r="M120" s="40"/>
      <c r="N120" s="40"/>
      <c r="O120" s="40"/>
      <c r="P120" s="39"/>
      <c r="Q120" s="39"/>
      <c r="R120" s="39"/>
      <c r="S120" s="39"/>
      <c r="T120" s="39"/>
      <c r="V120">
        <f>IF(Tabela3[[#This Row],[Pago]]&lt;&gt;"",IF(F121="",Tabela3[[#This Row],[Saldo]],0))</f>
        <v>0</v>
      </c>
    </row>
    <row r="121" spans="1:22" x14ac:dyDescent="0.25">
      <c r="A121" t="s">
        <v>91</v>
      </c>
      <c r="B121" s="37">
        <v>10</v>
      </c>
      <c r="C121" t="str">
        <f>_xlfn.XLOOKUP(B121,'Centro de Custo'!A$2:A$45,'Centro de Custo'!B$2:B$45)</f>
        <v>Retirada Mensal</v>
      </c>
      <c r="E121" s="39">
        <v>-14000</v>
      </c>
      <c r="F121" s="40" t="s">
        <v>10</v>
      </c>
      <c r="G121" s="41">
        <v>45174</v>
      </c>
      <c r="H121" s="42">
        <f>YEAR(Tabela3[[#This Row],[Data]])</f>
        <v>2023</v>
      </c>
      <c r="I121" s="42" t="str">
        <f>_xlfn.XLOOKUP(J121,'Centro de Custo'!J$2:J$13,'Centro de Custo'!K$2:K$13)</f>
        <v>Setembro</v>
      </c>
      <c r="J121" s="43">
        <f>MONTH(Tabela3[[#This Row],[Data]])</f>
        <v>9</v>
      </c>
      <c r="K121" s="39">
        <f>SUM(E$3:Tabela3[[#This Row],[Valor]])</f>
        <v>113041.9999999998</v>
      </c>
      <c r="L121" s="40">
        <f t="shared" si="1"/>
        <v>2.22375</v>
      </c>
      <c r="M121" s="40"/>
      <c r="N121" s="40"/>
      <c r="O121" s="40"/>
      <c r="P121" s="39"/>
      <c r="Q121" s="39"/>
      <c r="R121" s="39"/>
      <c r="S121" s="39"/>
      <c r="T121" s="39"/>
      <c r="V121">
        <f>IF(Tabela3[[#This Row],[Pago]]&lt;&gt;"",IF(F122="",Tabela3[[#This Row],[Saldo]],0))</f>
        <v>0</v>
      </c>
    </row>
    <row r="122" spans="1:22" x14ac:dyDescent="0.25">
      <c r="A122" t="s">
        <v>109</v>
      </c>
      <c r="B122" s="37">
        <v>13</v>
      </c>
      <c r="C122" t="str">
        <f>_xlfn.XLOOKUP(B122,'Centro de Custo'!A$2:A$45,'Centro de Custo'!B$2:B$45)</f>
        <v>Terceirizados</v>
      </c>
      <c r="E122" s="39">
        <v>-14000</v>
      </c>
      <c r="F122" s="40" t="s">
        <v>10</v>
      </c>
      <c r="G122" s="41">
        <v>45174</v>
      </c>
      <c r="H122" s="42">
        <f>YEAR(Tabela3[[#This Row],[Data]])</f>
        <v>2023</v>
      </c>
      <c r="I122" s="42" t="str">
        <f>_xlfn.XLOOKUP(J122,'Centro de Custo'!J$2:J$13,'Centro de Custo'!K$2:K$13)</f>
        <v>Setembro</v>
      </c>
      <c r="J122" s="43">
        <f>MONTH(Tabela3[[#This Row],[Data]])</f>
        <v>9</v>
      </c>
      <c r="K122" s="39">
        <f>SUM(E$3:Tabela3[[#This Row],[Valor]])</f>
        <v>99041.9999999998</v>
      </c>
      <c r="L122" s="40">
        <f t="shared" si="1"/>
        <v>2.22375</v>
      </c>
      <c r="M122" s="40"/>
      <c r="N122" s="40"/>
      <c r="O122" s="40"/>
      <c r="P122" s="39"/>
      <c r="Q122" s="39"/>
      <c r="R122" s="39"/>
      <c r="S122" s="39"/>
      <c r="T122" s="39"/>
      <c r="V122">
        <f>IF(Tabela3[[#This Row],[Pago]]&lt;&gt;"",IF(F123="",Tabela3[[#This Row],[Saldo]],0))</f>
        <v>0</v>
      </c>
    </row>
    <row r="123" spans="1:22" x14ac:dyDescent="0.25">
      <c r="A123" t="s">
        <v>110</v>
      </c>
      <c r="B123" s="37">
        <v>10</v>
      </c>
      <c r="C123" t="str">
        <f>_xlfn.XLOOKUP(B123,'Centro de Custo'!A$2:A$45,'Centro de Custo'!B$2:B$45)</f>
        <v>Retirada Mensal</v>
      </c>
      <c r="E123" s="39">
        <v>-16000</v>
      </c>
      <c r="F123" s="40" t="s">
        <v>10</v>
      </c>
      <c r="G123" s="41">
        <v>45174</v>
      </c>
      <c r="H123" s="42">
        <f>YEAR(Tabela3[[#This Row],[Data]])</f>
        <v>2023</v>
      </c>
      <c r="I123" s="42" t="str">
        <f>_xlfn.XLOOKUP(J123,'Centro de Custo'!J$2:J$13,'Centro de Custo'!K$2:K$13)</f>
        <v>Setembro</v>
      </c>
      <c r="J123" s="43">
        <f>MONTH(Tabela3[[#This Row],[Data]])</f>
        <v>9</v>
      </c>
      <c r="K123" s="39">
        <f>SUM(E$3:Tabela3[[#This Row],[Valor]])</f>
        <v>83041.9999999998</v>
      </c>
      <c r="L123" s="40">
        <f t="shared" si="1"/>
        <v>2.22375</v>
      </c>
      <c r="M123" s="40"/>
      <c r="N123" s="40"/>
      <c r="O123" s="40"/>
      <c r="P123" s="39"/>
      <c r="Q123" s="39"/>
      <c r="R123" s="39"/>
      <c r="S123" s="39"/>
      <c r="T123" s="39"/>
      <c r="V123">
        <f>IF(Tabela3[[#This Row],[Pago]]&lt;&gt;"",IF(F124="",Tabela3[[#This Row],[Saldo]],0))</f>
        <v>0</v>
      </c>
    </row>
    <row r="124" spans="1:22" x14ac:dyDescent="0.25">
      <c r="A124" t="s">
        <v>96</v>
      </c>
      <c r="B124" s="37">
        <v>13</v>
      </c>
      <c r="C124" t="str">
        <f>_xlfn.XLOOKUP(B124,'Centro de Custo'!A$2:A$45,'Centro de Custo'!B$2:B$45)</f>
        <v>Terceirizados</v>
      </c>
      <c r="E124" s="39">
        <v>-7475</v>
      </c>
      <c r="F124" s="40" t="s">
        <v>10</v>
      </c>
      <c r="G124" s="41">
        <v>45175</v>
      </c>
      <c r="H124" s="42">
        <f>YEAR(Tabela3[[#This Row],[Data]])</f>
        <v>2023</v>
      </c>
      <c r="I124" s="42" t="str">
        <f>_xlfn.XLOOKUP(J124,'Centro de Custo'!J$2:J$13,'Centro de Custo'!K$2:K$13)</f>
        <v>Setembro</v>
      </c>
      <c r="J124" s="43">
        <f>MONTH(Tabela3[[#This Row],[Data]])</f>
        <v>9</v>
      </c>
      <c r="K124" s="39">
        <f>SUM(E$3:Tabela3[[#This Row],[Valor]])</f>
        <v>75566.9999999998</v>
      </c>
      <c r="L124" s="40">
        <f t="shared" si="1"/>
        <v>2.22375</v>
      </c>
      <c r="M124" s="40"/>
      <c r="N124" s="40"/>
      <c r="O124" s="40"/>
      <c r="P124" s="39"/>
      <c r="Q124" s="39"/>
      <c r="R124" s="39"/>
      <c r="S124" s="39"/>
      <c r="T124" s="39"/>
      <c r="V124">
        <f>IF(Tabela3[[#This Row],[Pago]]&lt;&gt;"",IF(F125="",Tabela3[[#This Row],[Saldo]],0))</f>
        <v>0</v>
      </c>
    </row>
    <row r="125" spans="1:22" x14ac:dyDescent="0.25">
      <c r="A125" t="s">
        <v>111</v>
      </c>
      <c r="B125" s="37">
        <v>10</v>
      </c>
      <c r="C125" t="str">
        <f>_xlfn.XLOOKUP(B125,'Centro de Custo'!A$2:A$45,'Centro de Custo'!B$2:B$45)</f>
        <v>Retirada Mensal</v>
      </c>
      <c r="E125" s="39">
        <v>-10000</v>
      </c>
      <c r="F125" s="40" t="s">
        <v>10</v>
      </c>
      <c r="G125" s="41">
        <v>45175</v>
      </c>
      <c r="H125" s="42">
        <f>YEAR(Tabela3[[#This Row],[Data]])</f>
        <v>2023</v>
      </c>
      <c r="I125" s="42" t="str">
        <f>_xlfn.XLOOKUP(J125,'Centro de Custo'!J$2:J$13,'Centro de Custo'!K$2:K$13)</f>
        <v>Setembro</v>
      </c>
      <c r="J125" s="43">
        <f>MONTH(Tabela3[[#This Row],[Data]])</f>
        <v>9</v>
      </c>
      <c r="K125" s="39">
        <f>SUM(E$3:Tabela3[[#This Row],[Valor]])</f>
        <v>65566.9999999998</v>
      </c>
      <c r="L125" s="40">
        <f t="shared" si="1"/>
        <v>2.22375</v>
      </c>
      <c r="M125" s="40"/>
      <c r="N125" s="40"/>
      <c r="O125" s="40"/>
      <c r="P125" s="39"/>
      <c r="Q125" s="39"/>
      <c r="R125" s="39"/>
      <c r="S125" s="39"/>
      <c r="T125" s="39"/>
      <c r="V125">
        <f>IF(Tabela3[[#This Row],[Pago]]&lt;&gt;"",IF(F126="",Tabela3[[#This Row],[Saldo]],0))</f>
        <v>0</v>
      </c>
    </row>
    <row r="126" spans="1:22" x14ac:dyDescent="0.25">
      <c r="A126" t="s">
        <v>94</v>
      </c>
      <c r="B126" s="37">
        <v>10</v>
      </c>
      <c r="C126" t="str">
        <f>_xlfn.XLOOKUP(B126,'Centro de Custo'!A$2:A$45,'Centro de Custo'!B$2:B$45)</f>
        <v>Retirada Mensal</v>
      </c>
      <c r="E126" s="39">
        <v>-15293</v>
      </c>
      <c r="F126" s="40" t="s">
        <v>10</v>
      </c>
      <c r="G126" s="41">
        <v>45175</v>
      </c>
      <c r="H126" s="42">
        <f>YEAR(Tabela3[[#This Row],[Data]])</f>
        <v>2023</v>
      </c>
      <c r="I126" s="42" t="str">
        <f>_xlfn.XLOOKUP(J126,'Centro de Custo'!J$2:J$13,'Centro de Custo'!K$2:K$13)</f>
        <v>Setembro</v>
      </c>
      <c r="J126" s="43">
        <f>MONTH(Tabela3[[#This Row],[Data]])</f>
        <v>9</v>
      </c>
      <c r="K126" s="39">
        <f>SUM(E$3:Tabela3[[#This Row],[Valor]])</f>
        <v>50273.999999999796</v>
      </c>
      <c r="L126" s="40">
        <f t="shared" si="1"/>
        <v>2.22375</v>
      </c>
      <c r="M126" s="40"/>
      <c r="N126" s="40"/>
      <c r="O126" s="40"/>
      <c r="P126" s="39"/>
      <c r="Q126" s="39"/>
      <c r="R126" s="39"/>
      <c r="S126" s="39"/>
      <c r="T126" s="39"/>
      <c r="V126">
        <f>IF(Tabela3[[#This Row],[Pago]]&lt;&gt;"",IF(F127="",Tabela3[[#This Row],[Saldo]],0))</f>
        <v>0</v>
      </c>
    </row>
    <row r="127" spans="1:22" x14ac:dyDescent="0.25">
      <c r="A127" t="s">
        <v>112</v>
      </c>
      <c r="B127" s="37">
        <v>13</v>
      </c>
      <c r="C127" t="str">
        <f>_xlfn.XLOOKUP(B127,'Centro de Custo'!A$2:A$45,'Centro de Custo'!B$2:B$45)</f>
        <v>Terceirizados</v>
      </c>
      <c r="E127" s="39">
        <v>-29707</v>
      </c>
      <c r="F127" s="40" t="s">
        <v>10</v>
      </c>
      <c r="G127" s="41">
        <v>45175</v>
      </c>
      <c r="H127" s="42">
        <f>YEAR(Tabela3[[#This Row],[Data]])</f>
        <v>2023</v>
      </c>
      <c r="I127" s="42" t="str">
        <f>_xlfn.XLOOKUP(J127,'Centro de Custo'!J$2:J$13,'Centro de Custo'!K$2:K$13)</f>
        <v>Setembro</v>
      </c>
      <c r="J127" s="43">
        <f>MONTH(Tabela3[[#This Row],[Data]])</f>
        <v>9</v>
      </c>
      <c r="K127" s="39">
        <f>SUM(E$3:Tabela3[[#This Row],[Valor]])</f>
        <v>20566.999999999796</v>
      </c>
      <c r="L127" s="40">
        <f t="shared" si="1"/>
        <v>2.22375</v>
      </c>
      <c r="M127" s="40"/>
      <c r="N127" s="40"/>
      <c r="O127" s="40"/>
      <c r="P127" s="39"/>
      <c r="Q127" s="39"/>
      <c r="R127" s="39"/>
      <c r="S127" s="39"/>
      <c r="T127" s="39"/>
      <c r="V127">
        <f>IF(Tabela3[[#This Row],[Pago]]&lt;&gt;"",IF(F128="",Tabela3[[#This Row],[Saldo]],0))</f>
        <v>0</v>
      </c>
    </row>
    <row r="128" spans="1:22" x14ac:dyDescent="0.25">
      <c r="A128" t="s">
        <v>51</v>
      </c>
      <c r="B128" s="37">
        <v>41</v>
      </c>
      <c r="C128" t="str">
        <f>_xlfn.XLOOKUP(B128,'Centro de Custo'!A$2:A$45,'Centro de Custo'!B$2:B$45)</f>
        <v>Resgate Financeiro</v>
      </c>
      <c r="E128" s="39">
        <v>250000</v>
      </c>
      <c r="F128" s="40" t="s">
        <v>10</v>
      </c>
      <c r="G128" s="41">
        <v>45184</v>
      </c>
      <c r="H128" s="42">
        <f>YEAR(Tabela3[[#This Row],[Data]])</f>
        <v>2023</v>
      </c>
      <c r="I128" s="42" t="str">
        <f>_xlfn.XLOOKUP(J128,'Centro de Custo'!J$2:J$13,'Centro de Custo'!K$2:K$13)</f>
        <v>Setembro</v>
      </c>
      <c r="J128" s="43">
        <f>MONTH(Tabela3[[#This Row],[Data]])</f>
        <v>9</v>
      </c>
      <c r="K128" s="39">
        <f>SUM(E$3:Tabela3[[#This Row],[Valor]])</f>
        <v>270566.99999999977</v>
      </c>
      <c r="L128" s="40">
        <f t="shared" si="1"/>
        <v>2.22375</v>
      </c>
      <c r="M128" s="40"/>
      <c r="N128" s="40"/>
      <c r="O128" s="40"/>
      <c r="P128" s="39"/>
      <c r="Q128" s="39"/>
      <c r="R128" s="39"/>
      <c r="S128" s="39"/>
      <c r="T128" s="39"/>
      <c r="V128">
        <f>IF(Tabela3[[#This Row],[Pago]]&lt;&gt;"",IF(F129="",Tabela3[[#This Row],[Saldo]],0))</f>
        <v>0</v>
      </c>
    </row>
    <row r="129" spans="1:22" x14ac:dyDescent="0.25">
      <c r="A129" t="s">
        <v>113</v>
      </c>
      <c r="B129" s="37">
        <v>3</v>
      </c>
      <c r="C129" t="str">
        <f>_xlfn.XLOOKUP(B129,'Centro de Custo'!A$2:A$45,'Centro de Custo'!B$2:B$45)</f>
        <v>Investimentos</v>
      </c>
      <c r="E129" s="39">
        <v>-250000</v>
      </c>
      <c r="F129" s="40" t="s">
        <v>10</v>
      </c>
      <c r="G129" s="41">
        <v>45184</v>
      </c>
      <c r="H129" s="42">
        <f>YEAR(Tabela3[[#This Row],[Data]])</f>
        <v>2023</v>
      </c>
      <c r="I129" s="42" t="str">
        <f>_xlfn.XLOOKUP(J129,'Centro de Custo'!J$2:J$13,'Centro de Custo'!K$2:K$13)</f>
        <v>Setembro</v>
      </c>
      <c r="J129" s="43">
        <f>MONTH(Tabela3[[#This Row],[Data]])</f>
        <v>9</v>
      </c>
      <c r="K129" s="39">
        <f>SUM(E$3:Tabela3[[#This Row],[Valor]])</f>
        <v>20566.999999999767</v>
      </c>
      <c r="L129" s="40">
        <f t="shared" si="1"/>
        <v>2.22375</v>
      </c>
      <c r="M129" s="40"/>
      <c r="N129" s="40"/>
      <c r="O129" s="40"/>
      <c r="P129" s="39"/>
      <c r="Q129" s="39"/>
      <c r="R129" s="39"/>
      <c r="S129" s="39"/>
      <c r="T129" s="39"/>
      <c r="V129">
        <f>IF(Tabela3[[#This Row],[Pago]]&lt;&gt;"",IF(F130="",Tabela3[[#This Row],[Saldo]],0))</f>
        <v>0</v>
      </c>
    </row>
    <row r="130" spans="1:22" x14ac:dyDescent="0.25">
      <c r="A130" t="s">
        <v>51</v>
      </c>
      <c r="B130" s="37">
        <v>41</v>
      </c>
      <c r="C130" t="str">
        <f>_xlfn.XLOOKUP(B130,'Centro de Custo'!A$2:A$45,'Centro de Custo'!B$2:B$45)</f>
        <v>Resgate Financeiro</v>
      </c>
      <c r="E130" s="39">
        <v>50000</v>
      </c>
      <c r="F130" s="40" t="s">
        <v>10</v>
      </c>
      <c r="G130" s="41">
        <v>45187</v>
      </c>
      <c r="H130" s="42">
        <f>YEAR(Tabela3[[#This Row],[Data]])</f>
        <v>2023</v>
      </c>
      <c r="I130" s="42" t="str">
        <f>_xlfn.XLOOKUP(J130,'Centro de Custo'!J$2:J$13,'Centro de Custo'!K$2:K$13)</f>
        <v>Setembro</v>
      </c>
      <c r="J130" s="43">
        <f>MONTH(Tabela3[[#This Row],[Data]])</f>
        <v>9</v>
      </c>
      <c r="K130" s="39">
        <f>SUM(E$3:Tabela3[[#This Row],[Valor]])</f>
        <v>70566.99999999977</v>
      </c>
      <c r="L130" s="40">
        <f t="shared" si="1"/>
        <v>2.22375</v>
      </c>
      <c r="M130" s="40"/>
      <c r="N130" s="40"/>
      <c r="O130" s="40"/>
      <c r="P130" s="39"/>
      <c r="Q130" s="39"/>
      <c r="R130" s="39"/>
      <c r="S130" s="39"/>
      <c r="T130" s="39"/>
      <c r="V130">
        <f>IF(Tabela3[[#This Row],[Pago]]&lt;&gt;"",IF(F131="",Tabela3[[#This Row],[Saldo]],0))</f>
        <v>0</v>
      </c>
    </row>
    <row r="131" spans="1:22" x14ac:dyDescent="0.25">
      <c r="A131" t="s">
        <v>81</v>
      </c>
      <c r="B131" s="37">
        <v>3</v>
      </c>
      <c r="C131" t="str">
        <f>_xlfn.XLOOKUP(B131,'Centro de Custo'!A$2:A$45,'Centro de Custo'!B$2:B$45)</f>
        <v>Investimentos</v>
      </c>
      <c r="E131" s="39">
        <v>-50000</v>
      </c>
      <c r="F131" s="40" t="s">
        <v>10</v>
      </c>
      <c r="G131" s="41">
        <v>45188</v>
      </c>
      <c r="H131" s="42">
        <f>YEAR(Tabela3[[#This Row],[Data]])</f>
        <v>2023</v>
      </c>
      <c r="I131" s="42" t="str">
        <f>_xlfn.XLOOKUP(J131,'Centro de Custo'!J$2:J$13,'Centro de Custo'!K$2:K$13)</f>
        <v>Setembro</v>
      </c>
      <c r="J131" s="43">
        <f>MONTH(Tabela3[[#This Row],[Data]])</f>
        <v>9</v>
      </c>
      <c r="K131" s="39">
        <f>SUM(E$3:Tabela3[[#This Row],[Valor]])</f>
        <v>20566.999999999767</v>
      </c>
      <c r="L131" s="40">
        <f t="shared" ref="L131:L194" si="2">17.79/8</f>
        <v>2.22375</v>
      </c>
      <c r="M131" s="40"/>
      <c r="N131" s="40"/>
      <c r="O131" s="40"/>
      <c r="P131" s="39"/>
      <c r="Q131" s="39"/>
      <c r="R131" s="39"/>
      <c r="S131" s="39"/>
      <c r="T131" s="39"/>
      <c r="V131">
        <f>IF(Tabela3[[#This Row],[Pago]]&lt;&gt;"",IF(F132="",Tabela3[[#This Row],[Saldo]],0))</f>
        <v>0</v>
      </c>
    </row>
    <row r="132" spans="1:22" x14ac:dyDescent="0.25">
      <c r="A132" t="s">
        <v>51</v>
      </c>
      <c r="B132" s="37">
        <v>41</v>
      </c>
      <c r="C132" t="str">
        <f>_xlfn.XLOOKUP(B132,'Centro de Custo'!A$2:A$45,'Centro de Custo'!B$2:B$45)</f>
        <v>Resgate Financeiro</v>
      </c>
      <c r="E132" s="39">
        <v>131000</v>
      </c>
      <c r="F132" s="40" t="s">
        <v>10</v>
      </c>
      <c r="G132" s="41">
        <v>45191</v>
      </c>
      <c r="H132" s="42">
        <f>YEAR(Tabela3[[#This Row],[Data]])</f>
        <v>2023</v>
      </c>
      <c r="I132" s="42" t="str">
        <f>_xlfn.XLOOKUP(J132,'Centro de Custo'!J$2:J$13,'Centro de Custo'!K$2:K$13)</f>
        <v>Setembro</v>
      </c>
      <c r="J132" s="43">
        <f>MONTH(Tabela3[[#This Row],[Data]])</f>
        <v>9</v>
      </c>
      <c r="K132" s="39">
        <f>SUM(E$3:Tabela3[[#This Row],[Valor]])</f>
        <v>151566.99999999977</v>
      </c>
      <c r="L132" s="40">
        <f t="shared" si="2"/>
        <v>2.22375</v>
      </c>
      <c r="M132" s="40"/>
      <c r="N132" s="40"/>
      <c r="O132" s="40"/>
      <c r="P132" s="39"/>
      <c r="Q132" s="39"/>
      <c r="R132" s="39"/>
      <c r="S132" s="39"/>
      <c r="T132" s="39"/>
      <c r="V132">
        <f>IF(Tabela3[[#This Row],[Pago]]&lt;&gt;"",IF(F133="",Tabela3[[#This Row],[Saldo]],0))</f>
        <v>0</v>
      </c>
    </row>
    <row r="133" spans="1:22" x14ac:dyDescent="0.25">
      <c r="A133" t="s">
        <v>114</v>
      </c>
      <c r="B133" s="37">
        <v>22</v>
      </c>
      <c r="C133" t="str">
        <f>_xlfn.XLOOKUP(B133,'Centro de Custo'!A$2:A$45,'Centro de Custo'!B$2:B$45)</f>
        <v>Doação</v>
      </c>
      <c r="E133" s="39">
        <v>-131000</v>
      </c>
      <c r="F133" s="40" t="s">
        <v>10</v>
      </c>
      <c r="G133" s="41">
        <v>45191</v>
      </c>
      <c r="H133" s="42">
        <f>YEAR(Tabela3[[#This Row],[Data]])</f>
        <v>2023</v>
      </c>
      <c r="I133" s="42" t="str">
        <f>_xlfn.XLOOKUP(J133,'Centro de Custo'!J$2:J$13,'Centro de Custo'!K$2:K$13)</f>
        <v>Setembro</v>
      </c>
      <c r="J133" s="43">
        <f>MONTH(Tabela3[[#This Row],[Data]])</f>
        <v>9</v>
      </c>
      <c r="K133" s="39">
        <f>SUM(E$3:Tabela3[[#This Row],[Valor]])</f>
        <v>20566.999999999767</v>
      </c>
      <c r="L133" s="40">
        <f t="shared" si="2"/>
        <v>2.22375</v>
      </c>
      <c r="M133" s="40"/>
      <c r="N133" s="40"/>
      <c r="O133" s="40"/>
      <c r="P133" s="39"/>
      <c r="Q133" s="39"/>
      <c r="R133" s="39"/>
      <c r="S133" s="39"/>
      <c r="T133" s="39"/>
      <c r="V133">
        <f>IF(Tabela3[[#This Row],[Pago]]&lt;&gt;"",IF(F134="",Tabela3[[#This Row],[Saldo]],0))</f>
        <v>0</v>
      </c>
    </row>
    <row r="134" spans="1:22" x14ac:dyDescent="0.25">
      <c r="A134" t="s">
        <v>45</v>
      </c>
      <c r="B134" s="37">
        <v>20</v>
      </c>
      <c r="C134" t="str">
        <f>_xlfn.XLOOKUP(B134,'Centro de Custo'!A$2:A$45,'Centro de Custo'!B$2:B$45)</f>
        <v>Desp. ADM</v>
      </c>
      <c r="E134" s="39">
        <v>-25.85</v>
      </c>
      <c r="F134" s="40" t="s">
        <v>10</v>
      </c>
      <c r="G134" s="41">
        <v>45194</v>
      </c>
      <c r="H134" s="42">
        <f>YEAR(Tabela3[[#This Row],[Data]])</f>
        <v>2023</v>
      </c>
      <c r="I134" s="42" t="str">
        <f>_xlfn.XLOOKUP(J134,'Centro de Custo'!J$2:J$13,'Centro de Custo'!K$2:K$13)</f>
        <v>Setembro</v>
      </c>
      <c r="J134" s="43">
        <f>MONTH(Tabela3[[#This Row],[Data]])</f>
        <v>9</v>
      </c>
      <c r="K134" s="39">
        <f>SUM(E$3:Tabela3[[#This Row],[Valor]])</f>
        <v>20541.14999999977</v>
      </c>
      <c r="L134" s="40">
        <f t="shared" si="2"/>
        <v>2.22375</v>
      </c>
      <c r="M134" s="40"/>
      <c r="N134" s="40"/>
      <c r="O134" s="40"/>
      <c r="P134" s="39"/>
      <c r="Q134" s="39"/>
      <c r="R134" s="39"/>
      <c r="S134" s="39"/>
      <c r="T134" s="39"/>
      <c r="V134">
        <f>IF(Tabela3[[#This Row],[Pago]]&lt;&gt;"",IF(F135="",Tabela3[[#This Row],[Saldo]],0))</f>
        <v>0</v>
      </c>
    </row>
    <row r="135" spans="1:22" x14ac:dyDescent="0.25">
      <c r="A135" t="s">
        <v>115</v>
      </c>
      <c r="B135" s="37">
        <v>10</v>
      </c>
      <c r="C135" t="str">
        <f>_xlfn.XLOOKUP(B135,'Centro de Custo'!A$2:A$45,'Centro de Custo'!B$2:B$45)</f>
        <v>Retirada Mensal</v>
      </c>
      <c r="E135" s="39">
        <v>-20000</v>
      </c>
      <c r="F135" s="40" t="s">
        <v>10</v>
      </c>
      <c r="G135" s="41">
        <v>45198</v>
      </c>
      <c r="H135" s="42">
        <f>YEAR(Tabela3[[#This Row],[Data]])</f>
        <v>2023</v>
      </c>
      <c r="I135" s="42" t="str">
        <f>_xlfn.XLOOKUP(J135,'Centro de Custo'!J$2:J$13,'Centro de Custo'!K$2:K$13)</f>
        <v>Setembro</v>
      </c>
      <c r="J135" s="43">
        <f>MONTH(Tabela3[[#This Row],[Data]])</f>
        <v>9</v>
      </c>
      <c r="K135" s="39">
        <f>SUM(E$3:Tabela3[[#This Row],[Valor]])</f>
        <v>541.1499999997686</v>
      </c>
      <c r="L135" s="40">
        <f t="shared" si="2"/>
        <v>2.22375</v>
      </c>
      <c r="M135" s="40"/>
      <c r="N135" s="40"/>
      <c r="O135" s="40"/>
      <c r="P135" s="39"/>
      <c r="Q135" s="39"/>
      <c r="R135" s="39"/>
      <c r="S135" s="39"/>
      <c r="T135" s="39"/>
      <c r="V135">
        <f>IF(Tabela3[[#This Row],[Pago]]&lt;&gt;"",IF(F136="",Tabela3[[#This Row],[Saldo]],0))</f>
        <v>0</v>
      </c>
    </row>
    <row r="136" spans="1:22" x14ac:dyDescent="0.25">
      <c r="A136" t="s">
        <v>116</v>
      </c>
      <c r="B136" s="37">
        <v>50</v>
      </c>
      <c r="C136" t="str">
        <f>_xlfn.XLOOKUP(B136,'Centro de Custo'!A$2:A$45,'Centro de Custo'!B$2:B$45)</f>
        <v>Empréstimos</v>
      </c>
      <c r="E136" s="39">
        <v>120000</v>
      </c>
      <c r="F136" s="40" t="s">
        <v>10</v>
      </c>
      <c r="G136" s="41">
        <v>45201</v>
      </c>
      <c r="H136" s="42">
        <f>YEAR(Tabela3[[#This Row],[Data]])</f>
        <v>2023</v>
      </c>
      <c r="I136" s="42" t="str">
        <f>_xlfn.XLOOKUP(J136,'Centro de Custo'!J$2:J$13,'Centro de Custo'!K$2:K$13)</f>
        <v>Outubro</v>
      </c>
      <c r="J136" s="43">
        <f>MONTH(Tabela3[[#This Row],[Data]])</f>
        <v>10</v>
      </c>
      <c r="K136" s="39">
        <f>SUM(E$3:Tabela3[[#This Row],[Valor]])</f>
        <v>120541.14999999976</v>
      </c>
      <c r="L136" s="40">
        <f t="shared" si="2"/>
        <v>2.22375</v>
      </c>
      <c r="M136" s="40"/>
      <c r="N136" s="40"/>
      <c r="O136" s="40"/>
      <c r="P136" s="39"/>
      <c r="Q136" s="39"/>
      <c r="R136" s="39"/>
      <c r="S136" s="39"/>
      <c r="T136" s="39"/>
      <c r="V136">
        <f>IF(Tabela3[[#This Row],[Pago]]&lt;&gt;"",IF(F137="",Tabela3[[#This Row],[Saldo]],0))</f>
        <v>0</v>
      </c>
    </row>
    <row r="137" spans="1:22" x14ac:dyDescent="0.25">
      <c r="A137" s="44" t="s">
        <v>117</v>
      </c>
      <c r="B137" s="37">
        <v>22</v>
      </c>
      <c r="C137" t="str">
        <f>_xlfn.XLOOKUP(B137,'Centro de Custo'!A$2:A$45,'Centro de Custo'!B$2:B$45)</f>
        <v>Doação</v>
      </c>
      <c r="E137" s="39">
        <v>-120000</v>
      </c>
      <c r="F137" s="40" t="s">
        <v>10</v>
      </c>
      <c r="G137" s="41">
        <v>45201</v>
      </c>
      <c r="H137" s="42">
        <f>YEAR(Tabela3[[#This Row],[Data]])</f>
        <v>2023</v>
      </c>
      <c r="I137" s="42" t="str">
        <f>_xlfn.XLOOKUP(J137,'Centro de Custo'!J$2:J$13,'Centro de Custo'!K$2:K$13)</f>
        <v>Outubro</v>
      </c>
      <c r="J137" s="43">
        <f>MONTH(Tabela3[[#This Row],[Data]])</f>
        <v>10</v>
      </c>
      <c r="K137" s="39">
        <f>SUM(E$3:Tabela3[[#This Row],[Valor]])</f>
        <v>541.1499999997613</v>
      </c>
      <c r="L137" s="40">
        <f t="shared" si="2"/>
        <v>2.22375</v>
      </c>
      <c r="M137" s="40"/>
      <c r="N137" s="40"/>
      <c r="O137" s="40"/>
      <c r="P137" s="39"/>
      <c r="Q137" s="39"/>
      <c r="R137" s="39"/>
      <c r="S137" s="39"/>
      <c r="T137" s="39"/>
      <c r="V137">
        <f>IF(Tabela3[[#This Row],[Pago]]&lt;&gt;"",IF(F138="",Tabela3[[#This Row],[Saldo]],0))</f>
        <v>0</v>
      </c>
    </row>
    <row r="138" spans="1:22" x14ac:dyDescent="0.25">
      <c r="A138" t="s">
        <v>51</v>
      </c>
      <c r="B138" s="37">
        <v>41</v>
      </c>
      <c r="C138" t="str">
        <f>_xlfn.XLOOKUP(B138,'Centro de Custo'!A$2:A$45,'Centro de Custo'!B$2:B$45)</f>
        <v>Resgate Financeiro</v>
      </c>
      <c r="E138" s="39">
        <v>201000</v>
      </c>
      <c r="F138" s="40" t="s">
        <v>10</v>
      </c>
      <c r="G138" s="41">
        <v>45202</v>
      </c>
      <c r="H138" s="42">
        <f>YEAR(Tabela3[[#This Row],[Data]])</f>
        <v>2023</v>
      </c>
      <c r="I138" s="42" t="str">
        <f>_xlfn.XLOOKUP(J138,'Centro de Custo'!J$2:J$13,'Centro de Custo'!K$2:K$13)</f>
        <v>Outubro</v>
      </c>
      <c r="J138" s="43">
        <f>MONTH(Tabela3[[#This Row],[Data]])</f>
        <v>10</v>
      </c>
      <c r="K138" s="39">
        <f>SUM(E$3:Tabela3[[#This Row],[Valor]])</f>
        <v>201541.14999999976</v>
      </c>
      <c r="L138" s="40">
        <f t="shared" si="2"/>
        <v>2.22375</v>
      </c>
      <c r="M138" s="40"/>
      <c r="N138" s="40"/>
      <c r="O138" s="40"/>
      <c r="P138" s="39"/>
      <c r="Q138" s="39"/>
      <c r="R138" s="39"/>
      <c r="S138" s="39"/>
      <c r="T138" s="39"/>
      <c r="V138">
        <f>IF(Tabela3[[#This Row],[Pago]]&lt;&gt;"",IF(F139="",Tabela3[[#This Row],[Saldo]],0))</f>
        <v>0</v>
      </c>
    </row>
    <row r="139" spans="1:22" x14ac:dyDescent="0.25">
      <c r="A139" t="s">
        <v>90</v>
      </c>
      <c r="B139" s="37">
        <v>10</v>
      </c>
      <c r="C139" t="str">
        <f>_xlfn.XLOOKUP(B139,'Centro de Custo'!A$2:A$45,'Centro de Custo'!B$2:B$45)</f>
        <v>Retirada Mensal</v>
      </c>
      <c r="E139" s="39">
        <v>-10000</v>
      </c>
      <c r="F139" s="40" t="s">
        <v>10</v>
      </c>
      <c r="G139" s="41">
        <v>45202</v>
      </c>
      <c r="H139" s="42">
        <f>YEAR(Tabela3[[#This Row],[Data]])</f>
        <v>2023</v>
      </c>
      <c r="I139" s="42" t="str">
        <f>_xlfn.XLOOKUP(J139,'Centro de Custo'!J$2:J$13,'Centro de Custo'!K$2:K$13)</f>
        <v>Outubro</v>
      </c>
      <c r="J139" s="43">
        <f>MONTH(Tabela3[[#This Row],[Data]])</f>
        <v>10</v>
      </c>
      <c r="K139" s="39">
        <f>SUM(E$3:Tabela3[[#This Row],[Valor]])</f>
        <v>191541.14999999976</v>
      </c>
      <c r="L139" s="40">
        <f t="shared" si="2"/>
        <v>2.22375</v>
      </c>
      <c r="M139" s="40"/>
      <c r="N139" s="40"/>
      <c r="O139" s="40"/>
      <c r="P139" s="39"/>
      <c r="Q139" s="39"/>
      <c r="R139" s="39"/>
      <c r="S139" s="39"/>
      <c r="T139" s="39"/>
      <c r="V139">
        <f>IF(Tabela3[[#This Row],[Pago]]&lt;&gt;"",IF(F140="",Tabela3[[#This Row],[Saldo]],0))</f>
        <v>0</v>
      </c>
    </row>
    <row r="140" spans="1:22" x14ac:dyDescent="0.25">
      <c r="A140" t="s">
        <v>55</v>
      </c>
      <c r="B140" s="37">
        <v>10</v>
      </c>
      <c r="C140" t="str">
        <f>_xlfn.XLOOKUP(B140,'Centro de Custo'!A$2:A$45,'Centro de Custo'!B$2:B$45)</f>
        <v>Retirada Mensal</v>
      </c>
      <c r="E140" s="39">
        <v>-11270</v>
      </c>
      <c r="F140" s="40" t="s">
        <v>10</v>
      </c>
      <c r="G140" s="41">
        <v>45202</v>
      </c>
      <c r="H140" s="42">
        <f>YEAR(Tabela3[[#This Row],[Data]])</f>
        <v>2023</v>
      </c>
      <c r="I140" s="42" t="str">
        <f>_xlfn.XLOOKUP(J140,'Centro de Custo'!J$2:J$13,'Centro de Custo'!K$2:K$13)</f>
        <v>Outubro</v>
      </c>
      <c r="J140" s="43">
        <f>MONTH(Tabela3[[#This Row],[Data]])</f>
        <v>10</v>
      </c>
      <c r="K140" s="39">
        <f>SUM(E$3:Tabela3[[#This Row],[Valor]])</f>
        <v>180271.14999999976</v>
      </c>
      <c r="L140" s="40">
        <f t="shared" si="2"/>
        <v>2.22375</v>
      </c>
      <c r="M140" s="40"/>
      <c r="N140" s="40"/>
      <c r="O140" s="40"/>
      <c r="P140" s="39"/>
      <c r="Q140" s="39"/>
      <c r="R140" s="39"/>
      <c r="S140" s="39"/>
      <c r="T140" s="39"/>
      <c r="V140">
        <f>IF(Tabela3[[#This Row],[Pago]]&lt;&gt;"",IF(F141="",Tabela3[[#This Row],[Saldo]],0))</f>
        <v>0</v>
      </c>
    </row>
    <row r="141" spans="1:22" x14ac:dyDescent="0.25">
      <c r="A141" t="s">
        <v>108</v>
      </c>
      <c r="B141" s="37">
        <v>10</v>
      </c>
      <c r="C141" t="str">
        <f>_xlfn.XLOOKUP(B141,'Centro de Custo'!A$2:A$45,'Centro de Custo'!B$2:B$45)</f>
        <v>Retirada Mensal</v>
      </c>
      <c r="E141" s="39">
        <v>-11500</v>
      </c>
      <c r="F141" s="40" t="s">
        <v>10</v>
      </c>
      <c r="G141" s="41">
        <v>45202</v>
      </c>
      <c r="H141" s="42">
        <f>YEAR(Tabela3[[#This Row],[Data]])</f>
        <v>2023</v>
      </c>
      <c r="I141" s="42" t="str">
        <f>_xlfn.XLOOKUP(J141,'Centro de Custo'!J$2:J$13,'Centro de Custo'!K$2:K$13)</f>
        <v>Outubro</v>
      </c>
      <c r="J141" s="43">
        <f>MONTH(Tabela3[[#This Row],[Data]])</f>
        <v>10</v>
      </c>
      <c r="K141" s="39">
        <f>SUM(E$3:Tabela3[[#This Row],[Valor]])</f>
        <v>168771.14999999976</v>
      </c>
      <c r="L141" s="40">
        <f t="shared" si="2"/>
        <v>2.22375</v>
      </c>
      <c r="M141" s="40"/>
      <c r="N141" s="40"/>
      <c r="O141" s="40"/>
      <c r="P141" s="39"/>
      <c r="Q141" s="39"/>
      <c r="R141" s="39"/>
      <c r="S141" s="39"/>
      <c r="T141" s="39"/>
      <c r="V141">
        <f>IF(Tabela3[[#This Row],[Pago]]&lt;&gt;"",IF(F142="",Tabela3[[#This Row],[Saldo]],0))</f>
        <v>0</v>
      </c>
    </row>
    <row r="142" spans="1:22" x14ac:dyDescent="0.25">
      <c r="A142" t="s">
        <v>118</v>
      </c>
      <c r="B142" s="37">
        <v>13</v>
      </c>
      <c r="C142" t="str">
        <f>_xlfn.XLOOKUP(B142,'Centro de Custo'!A$2:A$45,'Centro de Custo'!B$2:B$45)</f>
        <v>Terceirizados</v>
      </c>
      <c r="E142" s="39">
        <v>-33000</v>
      </c>
      <c r="F142" s="40" t="s">
        <v>10</v>
      </c>
      <c r="G142" s="41">
        <v>45202</v>
      </c>
      <c r="H142" s="42">
        <f>YEAR(Tabela3[[#This Row],[Data]])</f>
        <v>2023</v>
      </c>
      <c r="I142" s="42" t="str">
        <f>_xlfn.XLOOKUP(J142,'Centro de Custo'!J$2:J$13,'Centro de Custo'!K$2:K$13)</f>
        <v>Outubro</v>
      </c>
      <c r="J142" s="43">
        <f>MONTH(Tabela3[[#This Row],[Data]])</f>
        <v>10</v>
      </c>
      <c r="K142" s="39">
        <f>SUM(E$3:Tabela3[[#This Row],[Valor]])</f>
        <v>135771.14999999976</v>
      </c>
      <c r="L142" s="40">
        <f t="shared" si="2"/>
        <v>2.22375</v>
      </c>
      <c r="M142" s="40"/>
      <c r="N142" s="40"/>
      <c r="O142" s="40"/>
      <c r="P142" s="39"/>
      <c r="Q142" s="39"/>
      <c r="R142" s="39"/>
      <c r="S142" s="39"/>
      <c r="T142" s="39"/>
      <c r="V142">
        <f>IF(Tabela3[[#This Row],[Pago]]&lt;&gt;"",IF(F143="",Tabela3[[#This Row],[Saldo]],0))</f>
        <v>0</v>
      </c>
    </row>
    <row r="143" spans="1:22" x14ac:dyDescent="0.25">
      <c r="A143" t="s">
        <v>60</v>
      </c>
      <c r="B143" s="37">
        <v>20</v>
      </c>
      <c r="C143" t="str">
        <f>_xlfn.XLOOKUP(B143,'Centro de Custo'!A$2:A$45,'Centro de Custo'!B$2:B$45)</f>
        <v>Desp. ADM</v>
      </c>
      <c r="E143" s="39">
        <v>-430.73</v>
      </c>
      <c r="F143" s="40" t="s">
        <v>10</v>
      </c>
      <c r="G143" s="41">
        <v>45203</v>
      </c>
      <c r="H143" s="42">
        <f>YEAR(Tabela3[[#This Row],[Data]])</f>
        <v>2023</v>
      </c>
      <c r="I143" s="42" t="str">
        <f>_xlfn.XLOOKUP(J143,'Centro de Custo'!J$2:J$13,'Centro de Custo'!K$2:K$13)</f>
        <v>Outubro</v>
      </c>
      <c r="J143" s="43">
        <f>MONTH(Tabela3[[#This Row],[Data]])</f>
        <v>10</v>
      </c>
      <c r="K143" s="39">
        <f>SUM(E$3:Tabela3[[#This Row],[Valor]])</f>
        <v>135340.41999999975</v>
      </c>
      <c r="L143" s="40">
        <f t="shared" si="2"/>
        <v>2.22375</v>
      </c>
      <c r="M143" s="40"/>
      <c r="N143" s="40"/>
      <c r="O143" s="40"/>
      <c r="P143" s="39"/>
      <c r="Q143" s="39"/>
      <c r="R143" s="39"/>
      <c r="S143" s="39"/>
      <c r="T143" s="39"/>
      <c r="V143">
        <f>IF(Tabela3[[#This Row],[Pago]]&lt;&gt;"",IF(F144="",Tabela3[[#This Row],[Saldo]],0))</f>
        <v>0</v>
      </c>
    </row>
    <row r="144" spans="1:22" x14ac:dyDescent="0.25">
      <c r="A144" t="s">
        <v>98</v>
      </c>
      <c r="B144" s="37">
        <v>20</v>
      </c>
      <c r="C144" t="str">
        <f>_xlfn.XLOOKUP(B144,'Centro de Custo'!A$2:A$45,'Centro de Custo'!B$2:B$45)</f>
        <v>Desp. ADM</v>
      </c>
      <c r="E144" s="39">
        <v>-38.82</v>
      </c>
      <c r="F144" s="40" t="s">
        <v>10</v>
      </c>
      <c r="G144" s="41">
        <v>45205</v>
      </c>
      <c r="H144" s="42">
        <f>YEAR(Tabela3[[#This Row],[Data]])</f>
        <v>2023</v>
      </c>
      <c r="I144" s="42" t="str">
        <f>_xlfn.XLOOKUP(J144,'Centro de Custo'!J$2:J$13,'Centro de Custo'!K$2:K$13)</f>
        <v>Outubro</v>
      </c>
      <c r="J144" s="43">
        <f>MONTH(Tabela3[[#This Row],[Data]])</f>
        <v>10</v>
      </c>
      <c r="K144" s="39">
        <f>SUM(E$3:Tabela3[[#This Row],[Valor]])</f>
        <v>135301.59999999974</v>
      </c>
      <c r="L144" s="40">
        <f t="shared" si="2"/>
        <v>2.22375</v>
      </c>
      <c r="M144" s="40"/>
      <c r="N144" s="40"/>
      <c r="O144" s="40"/>
      <c r="P144" s="39"/>
      <c r="Q144" s="39"/>
      <c r="R144" s="39"/>
      <c r="S144" s="39"/>
      <c r="T144" s="39"/>
      <c r="V144">
        <f>IF(Tabela3[[#This Row],[Pago]]&lt;&gt;"",IF(F145="",Tabela3[[#This Row],[Saldo]],0))</f>
        <v>0</v>
      </c>
    </row>
    <row r="145" spans="1:22" x14ac:dyDescent="0.25">
      <c r="A145" t="s">
        <v>119</v>
      </c>
      <c r="B145" s="37">
        <v>13</v>
      </c>
      <c r="C145" t="str">
        <f>_xlfn.XLOOKUP(B145,'Centro de Custo'!A$2:A$45,'Centro de Custo'!B$2:B$45)</f>
        <v>Terceirizados</v>
      </c>
      <c r="E145" s="39">
        <v>-1800</v>
      </c>
      <c r="F145" s="40" t="s">
        <v>10</v>
      </c>
      <c r="G145" s="41">
        <v>45205</v>
      </c>
      <c r="H145" s="42">
        <f>YEAR(Tabela3[[#This Row],[Data]])</f>
        <v>2023</v>
      </c>
      <c r="I145" s="42" t="str">
        <f>_xlfn.XLOOKUP(J145,'Centro de Custo'!J$2:J$13,'Centro de Custo'!K$2:K$13)</f>
        <v>Outubro</v>
      </c>
      <c r="J145" s="43">
        <f>MONTH(Tabela3[[#This Row],[Data]])</f>
        <v>10</v>
      </c>
      <c r="K145" s="39">
        <f>SUM(E$3:Tabela3[[#This Row],[Valor]])</f>
        <v>133501.59999999974</v>
      </c>
      <c r="L145" s="40">
        <f t="shared" si="2"/>
        <v>2.22375</v>
      </c>
      <c r="M145" s="40"/>
      <c r="N145" s="40"/>
      <c r="O145" s="40"/>
      <c r="P145" s="39"/>
      <c r="Q145" s="39"/>
      <c r="R145" s="39"/>
      <c r="S145" s="39"/>
      <c r="T145" s="39"/>
      <c r="V145">
        <f>IF(Tabela3[[#This Row],[Pago]]&lt;&gt;"",IF(F146="",Tabela3[[#This Row],[Saldo]],0))</f>
        <v>0</v>
      </c>
    </row>
    <row r="146" spans="1:22" x14ac:dyDescent="0.25">
      <c r="A146" t="s">
        <v>91</v>
      </c>
      <c r="B146" s="37">
        <v>10</v>
      </c>
      <c r="C146" t="str">
        <f>_xlfn.XLOOKUP(B146,'Centro de Custo'!A$2:A$45,'Centro de Custo'!B$2:B$45)</f>
        <v>Retirada Mensal</v>
      </c>
      <c r="E146" s="39">
        <v>-13500</v>
      </c>
      <c r="F146" s="40" t="s">
        <v>10</v>
      </c>
      <c r="G146" s="41">
        <v>45212</v>
      </c>
      <c r="H146" s="42">
        <f>YEAR(Tabela3[[#This Row],[Data]])</f>
        <v>2023</v>
      </c>
      <c r="I146" s="42" t="str">
        <f>_xlfn.XLOOKUP(J146,'Centro de Custo'!J$2:J$13,'Centro de Custo'!K$2:K$13)</f>
        <v>Outubro</v>
      </c>
      <c r="J146" s="43">
        <f>MONTH(Tabela3[[#This Row],[Data]])</f>
        <v>10</v>
      </c>
      <c r="K146" s="39">
        <f>SUM(E$3:Tabela3[[#This Row],[Valor]])</f>
        <v>120001.59999999974</v>
      </c>
      <c r="L146" s="40">
        <f t="shared" si="2"/>
        <v>2.22375</v>
      </c>
      <c r="M146" s="40"/>
      <c r="N146" s="40"/>
      <c r="O146" s="40"/>
      <c r="P146" s="39"/>
      <c r="Q146" s="39"/>
      <c r="R146" s="39"/>
      <c r="S146" s="39"/>
      <c r="T146" s="39"/>
      <c r="V146">
        <f>IF(Tabela3[[#This Row],[Pago]]&lt;&gt;"",IF(F147="",Tabela3[[#This Row],[Saldo]],0))</f>
        <v>0</v>
      </c>
    </row>
    <row r="147" spans="1:22" x14ac:dyDescent="0.25">
      <c r="A147" t="s">
        <v>110</v>
      </c>
      <c r="B147" s="37">
        <v>10</v>
      </c>
      <c r="C147" t="str">
        <f>_xlfn.XLOOKUP(B147,'Centro de Custo'!A$2:A$45,'Centro de Custo'!B$2:B$45)</f>
        <v>Retirada Mensal</v>
      </c>
      <c r="E147" s="39">
        <v>-18000</v>
      </c>
      <c r="F147" s="40" t="s">
        <v>10</v>
      </c>
      <c r="G147" s="41">
        <v>45212</v>
      </c>
      <c r="H147" s="42">
        <f>YEAR(Tabela3[[#This Row],[Data]])</f>
        <v>2023</v>
      </c>
      <c r="I147" s="42" t="str">
        <f>_xlfn.XLOOKUP(J147,'Centro de Custo'!J$2:J$13,'Centro de Custo'!K$2:K$13)</f>
        <v>Outubro</v>
      </c>
      <c r="J147" s="43">
        <f>MONTH(Tabela3[[#This Row],[Data]])</f>
        <v>10</v>
      </c>
      <c r="K147" s="39">
        <f>SUM(E$3:Tabela3[[#This Row],[Valor]])</f>
        <v>102001.59999999974</v>
      </c>
      <c r="L147" s="40">
        <f t="shared" si="2"/>
        <v>2.22375</v>
      </c>
      <c r="M147" s="40"/>
      <c r="N147" s="40"/>
      <c r="O147" s="40"/>
      <c r="P147" s="39"/>
      <c r="Q147" s="39"/>
      <c r="R147" s="39"/>
      <c r="S147" s="39"/>
      <c r="T147" s="39"/>
      <c r="V147">
        <f>IF(Tabela3[[#This Row],[Pago]]&lt;&gt;"",IF(F148="",Tabela3[[#This Row],[Saldo]],0))</f>
        <v>0</v>
      </c>
    </row>
    <row r="148" spans="1:22" x14ac:dyDescent="0.25">
      <c r="A148" t="s">
        <v>120</v>
      </c>
      <c r="B148" s="37">
        <v>13</v>
      </c>
      <c r="C148" t="str">
        <f>_xlfn.XLOOKUP(B148,'Centro de Custo'!A$2:A$45,'Centro de Custo'!B$2:B$45)</f>
        <v>Terceirizados</v>
      </c>
      <c r="E148" s="39">
        <v>-10000</v>
      </c>
      <c r="F148" s="40" t="s">
        <v>10</v>
      </c>
      <c r="G148" s="41">
        <v>45216</v>
      </c>
      <c r="H148" s="42">
        <f>YEAR(Tabela3[[#This Row],[Data]])</f>
        <v>2023</v>
      </c>
      <c r="I148" s="42" t="str">
        <f>_xlfn.XLOOKUP(J148,'Centro de Custo'!J$2:J$13,'Centro de Custo'!K$2:K$13)</f>
        <v>Outubro</v>
      </c>
      <c r="J148" s="43">
        <f>MONTH(Tabela3[[#This Row],[Data]])</f>
        <v>10</v>
      </c>
      <c r="K148" s="39">
        <f>SUM(E$3:Tabela3[[#This Row],[Valor]])</f>
        <v>92001.59999999974</v>
      </c>
      <c r="L148" s="40">
        <f t="shared" si="2"/>
        <v>2.22375</v>
      </c>
      <c r="M148" s="40"/>
      <c r="N148" s="40"/>
      <c r="O148" s="40"/>
      <c r="P148" s="39"/>
      <c r="Q148" s="39"/>
      <c r="R148" s="39"/>
      <c r="S148" s="39"/>
      <c r="T148" s="39"/>
      <c r="V148">
        <f>IF(Tabela3[[#This Row],[Pago]]&lt;&gt;"",IF(F149="",Tabela3[[#This Row],[Saldo]],0))</f>
        <v>0</v>
      </c>
    </row>
    <row r="149" spans="1:22" x14ac:dyDescent="0.25">
      <c r="A149" t="s">
        <v>115</v>
      </c>
      <c r="B149" s="37">
        <v>10</v>
      </c>
      <c r="C149" t="str">
        <f>_xlfn.XLOOKUP(B149,'Centro de Custo'!A$2:A$45,'Centro de Custo'!B$2:B$45)</f>
        <v>Retirada Mensal</v>
      </c>
      <c r="E149" s="39">
        <v>-50000</v>
      </c>
      <c r="F149" s="40" t="s">
        <v>10</v>
      </c>
      <c r="G149" s="41">
        <v>45218</v>
      </c>
      <c r="H149" s="42">
        <f>YEAR(Tabela3[[#This Row],[Data]])</f>
        <v>2023</v>
      </c>
      <c r="I149" s="42" t="str">
        <f>_xlfn.XLOOKUP(J149,'Centro de Custo'!J$2:J$13,'Centro de Custo'!K$2:K$13)</f>
        <v>Outubro</v>
      </c>
      <c r="J149" s="43">
        <f>MONTH(Tabela3[[#This Row],[Data]])</f>
        <v>10</v>
      </c>
      <c r="K149" s="39">
        <f>SUM(E$3:Tabela3[[#This Row],[Valor]])</f>
        <v>42001.599999999744</v>
      </c>
      <c r="L149" s="40">
        <f t="shared" si="2"/>
        <v>2.22375</v>
      </c>
      <c r="M149" s="40"/>
      <c r="N149" s="40"/>
      <c r="O149" s="40"/>
      <c r="P149" s="39"/>
      <c r="Q149" s="39"/>
      <c r="R149" s="39"/>
      <c r="S149" s="39"/>
      <c r="T149" s="39"/>
      <c r="V149">
        <f>IF(Tabela3[[#This Row],[Pago]]&lt;&gt;"",IF(F150="",Tabela3[[#This Row],[Saldo]],0))</f>
        <v>0</v>
      </c>
    </row>
    <row r="150" spans="1:22" x14ac:dyDescent="0.25">
      <c r="A150" t="s">
        <v>51</v>
      </c>
      <c r="B150" s="37">
        <v>41</v>
      </c>
      <c r="C150" t="str">
        <f>_xlfn.XLOOKUP(B150,'Centro de Custo'!A$2:A$45,'Centro de Custo'!B$2:B$45)</f>
        <v>Resgate Financeiro</v>
      </c>
      <c r="E150" s="39">
        <v>201000</v>
      </c>
      <c r="F150" s="40" t="s">
        <v>10</v>
      </c>
      <c r="G150" s="41">
        <v>45223</v>
      </c>
      <c r="H150" s="42">
        <f>YEAR(Tabela3[[#This Row],[Data]])</f>
        <v>2023</v>
      </c>
      <c r="I150" s="42" t="str">
        <f>_xlfn.XLOOKUP(J150,'Centro de Custo'!J$2:J$13,'Centro de Custo'!K$2:K$13)</f>
        <v>Outubro</v>
      </c>
      <c r="J150" s="43">
        <f>MONTH(Tabela3[[#This Row],[Data]])</f>
        <v>10</v>
      </c>
      <c r="K150" s="39">
        <f>SUM(E$3:Tabela3[[#This Row],[Valor]])</f>
        <v>243001.59999999974</v>
      </c>
      <c r="L150" s="40">
        <f t="shared" si="2"/>
        <v>2.22375</v>
      </c>
      <c r="M150" s="40"/>
      <c r="N150" s="40"/>
      <c r="O150" s="40"/>
      <c r="P150" s="39"/>
      <c r="Q150" s="39"/>
      <c r="R150" s="39"/>
      <c r="S150" s="39"/>
      <c r="T150" s="39"/>
      <c r="V150">
        <f>IF(Tabela3[[#This Row],[Pago]]&lt;&gt;"",IF(F151="",Tabela3[[#This Row],[Saldo]],0))</f>
        <v>0</v>
      </c>
    </row>
    <row r="151" spans="1:22" x14ac:dyDescent="0.25">
      <c r="A151" t="s">
        <v>121</v>
      </c>
      <c r="B151" s="37">
        <v>50</v>
      </c>
      <c r="C151" t="str">
        <f>_xlfn.XLOOKUP(B151,'Centro de Custo'!A$2:A$45,'Centro de Custo'!B$2:B$45)</f>
        <v>Empréstimos</v>
      </c>
      <c r="E151" s="39">
        <v>-200000</v>
      </c>
      <c r="F151" s="40" t="s">
        <v>10</v>
      </c>
      <c r="G151" s="41">
        <v>45223</v>
      </c>
      <c r="H151" s="42">
        <f>YEAR(Tabela3[[#This Row],[Data]])</f>
        <v>2023</v>
      </c>
      <c r="I151" s="42" t="str">
        <f>_xlfn.XLOOKUP(J151,'Centro de Custo'!J$2:J$13,'Centro de Custo'!K$2:K$13)</f>
        <v>Outubro</v>
      </c>
      <c r="J151" s="43">
        <f>MONTH(Tabela3[[#This Row],[Data]])</f>
        <v>10</v>
      </c>
      <c r="K151" s="39">
        <f>SUM(E$3:Tabela3[[#This Row],[Valor]])</f>
        <v>43001.599999999744</v>
      </c>
      <c r="L151" s="40">
        <f t="shared" si="2"/>
        <v>2.22375</v>
      </c>
      <c r="M151" s="40"/>
      <c r="N151" s="40"/>
      <c r="O151" s="40"/>
      <c r="P151" s="39"/>
      <c r="Q151" s="39"/>
      <c r="R151" s="39"/>
      <c r="S151" s="39"/>
      <c r="T151" s="39"/>
      <c r="V151">
        <f>IF(Tabela3[[#This Row],[Pago]]&lt;&gt;"",IF(F152="",Tabela3[[#This Row],[Saldo]],0))</f>
        <v>0</v>
      </c>
    </row>
    <row r="152" spans="1:22" x14ac:dyDescent="0.25">
      <c r="A152" t="s">
        <v>45</v>
      </c>
      <c r="B152" s="37">
        <v>20</v>
      </c>
      <c r="C152" t="str">
        <f>_xlfn.XLOOKUP(B152,'Centro de Custo'!A$2:A$45,'Centro de Custo'!B$2:B$45)</f>
        <v>Desp. ADM</v>
      </c>
      <c r="E152" s="39">
        <v>-25.85</v>
      </c>
      <c r="F152" s="40" t="s">
        <v>10</v>
      </c>
      <c r="G152" s="41">
        <v>45224</v>
      </c>
      <c r="H152" s="42">
        <f>YEAR(Tabela3[[#This Row],[Data]])</f>
        <v>2023</v>
      </c>
      <c r="I152" s="42" t="str">
        <f>_xlfn.XLOOKUP(J152,'Centro de Custo'!J$2:J$13,'Centro de Custo'!K$2:K$13)</f>
        <v>Outubro</v>
      </c>
      <c r="J152" s="43">
        <f>MONTH(Tabela3[[#This Row],[Data]])</f>
        <v>10</v>
      </c>
      <c r="K152" s="39">
        <f>SUM(E$3:Tabela3[[#This Row],[Valor]])</f>
        <v>42975.749999999745</v>
      </c>
      <c r="L152" s="40">
        <f t="shared" si="2"/>
        <v>2.22375</v>
      </c>
      <c r="M152" s="40"/>
      <c r="N152" s="40"/>
      <c r="O152" s="40"/>
      <c r="P152" s="39"/>
      <c r="Q152" s="39"/>
      <c r="R152" s="39"/>
      <c r="S152" s="39"/>
      <c r="T152" s="39"/>
      <c r="V152">
        <f>IF(Tabela3[[#This Row],[Pago]]&lt;&gt;"",IF(F153="",Tabela3[[#This Row],[Saldo]],0))</f>
        <v>0</v>
      </c>
    </row>
    <row r="153" spans="1:22" x14ac:dyDescent="0.25">
      <c r="A153" t="s">
        <v>51</v>
      </c>
      <c r="B153" s="37">
        <v>41</v>
      </c>
      <c r="C153" t="str">
        <f>_xlfn.XLOOKUP(B153,'Centro de Custo'!A$2:A$45,'Centro de Custo'!B$2:B$45)</f>
        <v>Resgate Financeiro</v>
      </c>
      <c r="E153" s="39">
        <v>220000</v>
      </c>
      <c r="F153" s="40" t="s">
        <v>10</v>
      </c>
      <c r="G153" s="41">
        <v>45231</v>
      </c>
      <c r="H153" s="42">
        <f>YEAR(Tabela3[[#This Row],[Data]])</f>
        <v>2023</v>
      </c>
      <c r="I153" s="42" t="str">
        <f>_xlfn.XLOOKUP(J153,'Centro de Custo'!J$2:J$13,'Centro de Custo'!K$2:K$13)</f>
        <v>Novembro</v>
      </c>
      <c r="J153" s="43">
        <f>MONTH(Tabela3[[#This Row],[Data]])</f>
        <v>11</v>
      </c>
      <c r="K153" s="39">
        <f>SUM(E$3:Tabela3[[#This Row],[Valor]])</f>
        <v>262975.74999999977</v>
      </c>
      <c r="L153" s="40">
        <f t="shared" si="2"/>
        <v>2.22375</v>
      </c>
      <c r="M153" s="40"/>
      <c r="N153" s="40"/>
      <c r="O153" s="40"/>
      <c r="P153" s="39"/>
      <c r="Q153" s="39"/>
      <c r="R153" s="39"/>
      <c r="S153" s="39"/>
      <c r="T153" s="39"/>
      <c r="V153">
        <f>IF(Tabela3[[#This Row],[Pago]]&lt;&gt;"",IF(F154="",Tabela3[[#This Row],[Saldo]],0))</f>
        <v>0</v>
      </c>
    </row>
    <row r="154" spans="1:22" x14ac:dyDescent="0.25">
      <c r="A154" t="s">
        <v>104</v>
      </c>
      <c r="B154" s="37">
        <v>10</v>
      </c>
      <c r="C154" t="str">
        <f>_xlfn.XLOOKUP(B154,'Centro de Custo'!A$2:A$45,'Centro de Custo'!B$2:B$45)</f>
        <v>Retirada Mensal</v>
      </c>
      <c r="E154" s="39">
        <v>-10000</v>
      </c>
      <c r="F154" s="40" t="s">
        <v>10</v>
      </c>
      <c r="G154" s="41">
        <v>45231</v>
      </c>
      <c r="H154" s="42">
        <f>YEAR(Tabela3[[#This Row],[Data]])</f>
        <v>2023</v>
      </c>
      <c r="I154" s="42" t="str">
        <f>_xlfn.XLOOKUP(J154,'Centro de Custo'!J$2:J$13,'Centro de Custo'!K$2:K$13)</f>
        <v>Novembro</v>
      </c>
      <c r="J154" s="43">
        <f>MONTH(Tabela3[[#This Row],[Data]])</f>
        <v>11</v>
      </c>
      <c r="K154" s="39">
        <f>SUM(E$3:Tabela3[[#This Row],[Valor]])</f>
        <v>252975.74999999977</v>
      </c>
      <c r="L154" s="40">
        <f t="shared" si="2"/>
        <v>2.22375</v>
      </c>
      <c r="M154" s="40"/>
      <c r="N154" s="40"/>
      <c r="O154" s="40"/>
      <c r="P154" s="39"/>
      <c r="Q154" s="39"/>
      <c r="R154" s="39"/>
      <c r="S154" s="39"/>
      <c r="T154" s="39"/>
      <c r="V154">
        <f>IF(Tabela3[[#This Row],[Pago]]&lt;&gt;"",IF(F155="",Tabela3[[#This Row],[Saldo]],0))</f>
        <v>0</v>
      </c>
    </row>
    <row r="155" spans="1:22" x14ac:dyDescent="0.25">
      <c r="A155" t="s">
        <v>122</v>
      </c>
      <c r="B155" s="37">
        <v>13</v>
      </c>
      <c r="C155" t="str">
        <f>_xlfn.XLOOKUP(B155,'Centro de Custo'!A$2:A$45,'Centro de Custo'!B$2:B$45)</f>
        <v>Terceirizados</v>
      </c>
      <c r="E155" s="39">
        <v>-10000</v>
      </c>
      <c r="F155" s="40" t="s">
        <v>10</v>
      </c>
      <c r="G155" s="41">
        <v>45231</v>
      </c>
      <c r="H155" s="42">
        <f>YEAR(Tabela3[[#This Row],[Data]])</f>
        <v>2023</v>
      </c>
      <c r="I155" s="42" t="str">
        <f>_xlfn.XLOOKUP(J155,'Centro de Custo'!J$2:J$13,'Centro de Custo'!K$2:K$13)</f>
        <v>Novembro</v>
      </c>
      <c r="J155" s="43">
        <f>MONTH(Tabela3[[#This Row],[Data]])</f>
        <v>11</v>
      </c>
      <c r="K155" s="39">
        <f>SUM(E$3:Tabela3[[#This Row],[Valor]])</f>
        <v>242975.74999999977</v>
      </c>
      <c r="L155" s="40">
        <f t="shared" si="2"/>
        <v>2.22375</v>
      </c>
      <c r="M155" s="40"/>
      <c r="N155" s="40"/>
      <c r="O155" s="40"/>
      <c r="P155" s="39"/>
      <c r="Q155" s="39"/>
      <c r="R155" s="39"/>
      <c r="S155" s="39"/>
      <c r="T155" s="39"/>
      <c r="V155">
        <f>IF(Tabela3[[#This Row],[Pago]]&lt;&gt;"",IF(F156="",Tabela3[[#This Row],[Saldo]],0))</f>
        <v>0</v>
      </c>
    </row>
    <row r="156" spans="1:22" x14ac:dyDescent="0.25">
      <c r="A156" t="s">
        <v>123</v>
      </c>
      <c r="B156" s="37">
        <v>13</v>
      </c>
      <c r="C156" t="str">
        <f>_xlfn.XLOOKUP(B156,'Centro de Custo'!A$2:A$45,'Centro de Custo'!B$2:B$45)</f>
        <v>Terceirizados</v>
      </c>
      <c r="E156" s="39">
        <v>-10505</v>
      </c>
      <c r="F156" s="40" t="s">
        <v>10</v>
      </c>
      <c r="G156" s="41">
        <v>45231</v>
      </c>
      <c r="H156" s="42">
        <f>YEAR(Tabela3[[#This Row],[Data]])</f>
        <v>2023</v>
      </c>
      <c r="I156" s="42" t="str">
        <f>_xlfn.XLOOKUP(J156,'Centro de Custo'!J$2:J$13,'Centro de Custo'!K$2:K$13)</f>
        <v>Novembro</v>
      </c>
      <c r="J156" s="43">
        <f>MONTH(Tabela3[[#This Row],[Data]])</f>
        <v>11</v>
      </c>
      <c r="K156" s="39">
        <f>SUM(E$3:Tabela3[[#This Row],[Valor]])</f>
        <v>232470.74999999977</v>
      </c>
      <c r="L156" s="40">
        <f t="shared" si="2"/>
        <v>2.22375</v>
      </c>
      <c r="M156" s="40"/>
      <c r="N156" s="40"/>
      <c r="O156" s="40"/>
      <c r="P156" s="39"/>
      <c r="Q156" s="39"/>
      <c r="R156" s="39"/>
      <c r="S156" s="39"/>
      <c r="T156" s="39"/>
      <c r="V156">
        <f>IF(Tabela3[[#This Row],[Pago]]&lt;&gt;"",IF(F157="",Tabela3[[#This Row],[Saldo]],0))</f>
        <v>0</v>
      </c>
    </row>
    <row r="157" spans="1:22" x14ac:dyDescent="0.25">
      <c r="A157" t="s">
        <v>124</v>
      </c>
      <c r="B157" s="37">
        <v>10</v>
      </c>
      <c r="C157" t="str">
        <f>_xlfn.XLOOKUP(B157,'Centro de Custo'!A$2:A$45,'Centro de Custo'!B$2:B$45)</f>
        <v>Retirada Mensal</v>
      </c>
      <c r="E157" s="39">
        <v>-12000</v>
      </c>
      <c r="F157" s="40" t="s">
        <v>10</v>
      </c>
      <c r="G157" s="41">
        <v>45231</v>
      </c>
      <c r="H157" s="42">
        <f>YEAR(Tabela3[[#This Row],[Data]])</f>
        <v>2023</v>
      </c>
      <c r="I157" s="42" t="str">
        <f>_xlfn.XLOOKUP(J157,'Centro de Custo'!J$2:J$13,'Centro de Custo'!K$2:K$13)</f>
        <v>Novembro</v>
      </c>
      <c r="J157" s="43">
        <f>MONTH(Tabela3[[#This Row],[Data]])</f>
        <v>11</v>
      </c>
      <c r="K157" s="39">
        <f>SUM(E$3:Tabela3[[#This Row],[Valor]])</f>
        <v>220470.74999999977</v>
      </c>
      <c r="L157" s="40">
        <f t="shared" si="2"/>
        <v>2.22375</v>
      </c>
      <c r="M157" s="40"/>
      <c r="N157" s="40"/>
      <c r="O157" s="40"/>
      <c r="P157" s="39"/>
      <c r="Q157" s="39"/>
      <c r="R157" s="39"/>
      <c r="S157" s="39"/>
      <c r="T157" s="39"/>
      <c r="V157">
        <f>IF(Tabela3[[#This Row],[Pago]]&lt;&gt;"",IF(F158="",Tabela3[[#This Row],[Saldo]],0))</f>
        <v>0</v>
      </c>
    </row>
    <row r="158" spans="1:22" x14ac:dyDescent="0.25">
      <c r="A158" t="s">
        <v>91</v>
      </c>
      <c r="B158" s="37">
        <v>10</v>
      </c>
      <c r="C158" t="str">
        <f>_xlfn.XLOOKUP(B158,'Centro de Custo'!A$2:A$45,'Centro de Custo'!B$2:B$45)</f>
        <v>Retirada Mensal</v>
      </c>
      <c r="E158" s="39">
        <v>-13350</v>
      </c>
      <c r="F158" s="40" t="s">
        <v>10</v>
      </c>
      <c r="G158" s="41">
        <v>45231</v>
      </c>
      <c r="H158" s="42">
        <f>YEAR(Tabela3[[#This Row],[Data]])</f>
        <v>2023</v>
      </c>
      <c r="I158" s="42" t="str">
        <f>_xlfn.XLOOKUP(J158,'Centro de Custo'!J$2:J$13,'Centro de Custo'!K$2:K$13)</f>
        <v>Novembro</v>
      </c>
      <c r="J158" s="43">
        <f>MONTH(Tabela3[[#This Row],[Data]])</f>
        <v>11</v>
      </c>
      <c r="K158" s="39">
        <f>SUM(E$3:Tabela3[[#This Row],[Valor]])</f>
        <v>207120.74999999977</v>
      </c>
      <c r="L158" s="40">
        <f t="shared" si="2"/>
        <v>2.22375</v>
      </c>
      <c r="M158" s="40"/>
      <c r="N158" s="40"/>
      <c r="O158" s="40"/>
      <c r="P158" s="39"/>
      <c r="Q158" s="39"/>
      <c r="R158" s="39"/>
      <c r="S158" s="39"/>
      <c r="T158" s="39"/>
      <c r="V158">
        <f>IF(Tabela3[[#This Row],[Pago]]&lt;&gt;"",IF(F159="",Tabela3[[#This Row],[Saldo]],0))</f>
        <v>0</v>
      </c>
    </row>
    <row r="159" spans="1:22" x14ac:dyDescent="0.25">
      <c r="A159" t="s">
        <v>92</v>
      </c>
      <c r="B159" s="37">
        <v>10</v>
      </c>
      <c r="C159" t="str">
        <f>_xlfn.XLOOKUP(B159,'Centro de Custo'!A$2:A$45,'Centro de Custo'!B$2:B$45)</f>
        <v>Retirada Mensal</v>
      </c>
      <c r="E159" s="39">
        <v>-16800</v>
      </c>
      <c r="F159" s="40" t="s">
        <v>10</v>
      </c>
      <c r="G159" s="41">
        <v>45231</v>
      </c>
      <c r="H159" s="42">
        <f>YEAR(Tabela3[[#This Row],[Data]])</f>
        <v>2023</v>
      </c>
      <c r="I159" s="42" t="str">
        <f>_xlfn.XLOOKUP(J159,'Centro de Custo'!J$2:J$13,'Centro de Custo'!K$2:K$13)</f>
        <v>Novembro</v>
      </c>
      <c r="J159" s="43">
        <f>MONTH(Tabela3[[#This Row],[Data]])</f>
        <v>11</v>
      </c>
      <c r="K159" s="39">
        <f>SUM(E$3:Tabela3[[#This Row],[Valor]])</f>
        <v>190320.74999999977</v>
      </c>
      <c r="L159" s="40">
        <f t="shared" si="2"/>
        <v>2.22375</v>
      </c>
      <c r="M159" s="40"/>
      <c r="N159" s="40"/>
      <c r="O159" s="40"/>
      <c r="P159" s="39"/>
      <c r="Q159" s="39"/>
      <c r="R159" s="39"/>
      <c r="S159" s="39"/>
      <c r="T159" s="39"/>
      <c r="V159">
        <f>IF(Tabela3[[#This Row],[Pago]]&lt;&gt;"",IF(F160="",Tabela3[[#This Row],[Saldo]],0))</f>
        <v>0</v>
      </c>
    </row>
    <row r="160" spans="1:22" x14ac:dyDescent="0.25">
      <c r="A160" t="s">
        <v>125</v>
      </c>
      <c r="B160" s="37">
        <v>13</v>
      </c>
      <c r="C160" t="str">
        <f>_xlfn.XLOOKUP(B160,'Centro de Custo'!A$2:A$45,'Centro de Custo'!B$2:B$45)</f>
        <v>Terceirizados</v>
      </c>
      <c r="E160" s="39">
        <v>-100000</v>
      </c>
      <c r="F160" s="40" t="s">
        <v>10</v>
      </c>
      <c r="G160" s="41">
        <v>45231</v>
      </c>
      <c r="H160" s="42">
        <f>YEAR(Tabela3[[#This Row],[Data]])</f>
        <v>2023</v>
      </c>
      <c r="I160" s="42" t="str">
        <f>_xlfn.XLOOKUP(J160,'Centro de Custo'!J$2:J$13,'Centro de Custo'!K$2:K$13)</f>
        <v>Novembro</v>
      </c>
      <c r="J160" s="43">
        <f>MONTH(Tabela3[[#This Row],[Data]])</f>
        <v>11</v>
      </c>
      <c r="K160" s="39">
        <f>SUM(E$3:Tabela3[[#This Row],[Valor]])</f>
        <v>90320.74999999977</v>
      </c>
      <c r="L160" s="40">
        <f t="shared" si="2"/>
        <v>2.22375</v>
      </c>
      <c r="M160" s="40"/>
      <c r="N160" s="40"/>
      <c r="O160" s="40"/>
      <c r="P160" s="39"/>
      <c r="Q160" s="39"/>
      <c r="R160" s="39"/>
      <c r="S160" s="39"/>
      <c r="T160" s="39"/>
      <c r="V160">
        <f>IF(Tabela3[[#This Row],[Pago]]&lt;&gt;"",IF(F161="",Tabela3[[#This Row],[Saldo]],0))</f>
        <v>0</v>
      </c>
    </row>
    <row r="161" spans="1:22" x14ac:dyDescent="0.25">
      <c r="A161" t="s">
        <v>126</v>
      </c>
      <c r="B161" s="37">
        <v>10</v>
      </c>
      <c r="C161" t="str">
        <f>_xlfn.XLOOKUP(B161,'Centro de Custo'!A$2:A$45,'Centro de Custo'!B$2:B$45)</f>
        <v>Retirada Mensal</v>
      </c>
      <c r="E161" s="39">
        <v>-15200</v>
      </c>
      <c r="F161" s="40" t="s">
        <v>10</v>
      </c>
      <c r="G161" s="41">
        <v>45236</v>
      </c>
      <c r="H161" s="42">
        <f>YEAR(Tabela3[[#This Row],[Data]])</f>
        <v>2023</v>
      </c>
      <c r="I161" s="42" t="str">
        <f>_xlfn.XLOOKUP(J161,'Centro de Custo'!J$2:J$13,'Centro de Custo'!K$2:K$13)</f>
        <v>Novembro</v>
      </c>
      <c r="J161" s="43">
        <f>MONTH(Tabela3[[#This Row],[Data]])</f>
        <v>11</v>
      </c>
      <c r="K161" s="39">
        <f>SUM(E$3:Tabela3[[#This Row],[Valor]])</f>
        <v>75120.74999999977</v>
      </c>
      <c r="L161" s="40">
        <f t="shared" si="2"/>
        <v>2.22375</v>
      </c>
      <c r="M161" s="40"/>
      <c r="N161" s="40"/>
      <c r="O161" s="40"/>
      <c r="P161" s="39"/>
      <c r="Q161" s="39"/>
      <c r="R161" s="39"/>
      <c r="S161" s="39"/>
      <c r="T161" s="39"/>
      <c r="V161">
        <f>IF(Tabela3[[#This Row],[Pago]]&lt;&gt;"",IF(F162="",Tabela3[[#This Row],[Saldo]],0))</f>
        <v>0</v>
      </c>
    </row>
    <row r="162" spans="1:22" x14ac:dyDescent="0.25">
      <c r="A162" t="s">
        <v>127</v>
      </c>
      <c r="B162" s="37">
        <v>13</v>
      </c>
      <c r="C162" t="str">
        <f>_xlfn.XLOOKUP(B162,'Centro de Custo'!A$2:A$45,'Centro de Custo'!B$2:B$45)</f>
        <v>Terceirizados</v>
      </c>
      <c r="E162" s="39">
        <v>-48150</v>
      </c>
      <c r="F162" s="40" t="s">
        <v>10</v>
      </c>
      <c r="G162" s="41">
        <v>45236</v>
      </c>
      <c r="H162" s="42">
        <f>YEAR(Tabela3[[#This Row],[Data]])</f>
        <v>2023</v>
      </c>
      <c r="I162" s="42" t="str">
        <f>_xlfn.XLOOKUP(J162,'Centro de Custo'!J$2:J$13,'Centro de Custo'!K$2:K$13)</f>
        <v>Novembro</v>
      </c>
      <c r="J162" s="43">
        <f>MONTH(Tabela3[[#This Row],[Data]])</f>
        <v>11</v>
      </c>
      <c r="K162" s="39">
        <f>SUM(E$3:Tabela3[[#This Row],[Valor]])</f>
        <v>26970.749999999767</v>
      </c>
      <c r="L162" s="40">
        <f t="shared" si="2"/>
        <v>2.22375</v>
      </c>
      <c r="M162" s="40"/>
      <c r="N162" s="40"/>
      <c r="O162" s="40"/>
      <c r="P162" s="39"/>
      <c r="Q162" s="39"/>
      <c r="R162" s="39"/>
      <c r="S162" s="39"/>
      <c r="T162" s="39"/>
      <c r="V162">
        <f>IF(Tabela3[[#This Row],[Pago]]&lt;&gt;"",IF(F163="",Tabela3[[#This Row],[Saldo]],0))</f>
        <v>0</v>
      </c>
    </row>
    <row r="163" spans="1:22" x14ac:dyDescent="0.25">
      <c r="A163" t="s">
        <v>113</v>
      </c>
      <c r="B163" s="37">
        <v>3</v>
      </c>
      <c r="C163" t="str">
        <f>_xlfn.XLOOKUP(B163,'Centro de Custo'!A$2:A$45,'Centro de Custo'!B$2:B$45)</f>
        <v>Investimentos</v>
      </c>
      <c r="E163" s="39">
        <v>-10000</v>
      </c>
      <c r="F163" s="40" t="s">
        <v>10</v>
      </c>
      <c r="G163" s="41">
        <v>45237</v>
      </c>
      <c r="H163" s="42">
        <f>YEAR(Tabela3[[#This Row],[Data]])</f>
        <v>2023</v>
      </c>
      <c r="I163" s="42" t="str">
        <f>_xlfn.XLOOKUP(J163,'Centro de Custo'!J$2:J$13,'Centro de Custo'!K$2:K$13)</f>
        <v>Novembro</v>
      </c>
      <c r="J163" s="43">
        <f>MONTH(Tabela3[[#This Row],[Data]])</f>
        <v>11</v>
      </c>
      <c r="K163" s="39">
        <f>SUM(E$3:Tabela3[[#This Row],[Valor]])</f>
        <v>16970.749999999767</v>
      </c>
      <c r="L163" s="40">
        <f t="shared" si="2"/>
        <v>2.22375</v>
      </c>
      <c r="M163" s="40"/>
      <c r="N163" s="40"/>
      <c r="O163" s="40"/>
      <c r="P163" s="39"/>
      <c r="Q163" s="39"/>
      <c r="R163" s="39"/>
      <c r="S163" s="39"/>
      <c r="T163" s="39"/>
      <c r="V163">
        <f>IF(Tabela3[[#This Row],[Pago]]&lt;&gt;"",IF(F164="",Tabela3[[#This Row],[Saldo]],0))</f>
        <v>0</v>
      </c>
    </row>
    <row r="164" spans="1:22" x14ac:dyDescent="0.25">
      <c r="A164" t="s">
        <v>128</v>
      </c>
      <c r="B164" s="37">
        <v>20</v>
      </c>
      <c r="C164" t="str">
        <f>_xlfn.XLOOKUP(B164,'Centro de Custo'!A$2:A$45,'Centro de Custo'!B$2:B$45)</f>
        <v>Desp. ADM</v>
      </c>
      <c r="E164" s="39">
        <v>-170</v>
      </c>
      <c r="F164" s="40" t="s">
        <v>10</v>
      </c>
      <c r="G164" s="41">
        <v>45240</v>
      </c>
      <c r="H164" s="42">
        <f>YEAR(Tabela3[[#This Row],[Data]])</f>
        <v>2023</v>
      </c>
      <c r="I164" s="42" t="str">
        <f>_xlfn.XLOOKUP(J164,'Centro de Custo'!J$2:J$13,'Centro de Custo'!K$2:K$13)</f>
        <v>Novembro</v>
      </c>
      <c r="J164" s="43">
        <f>MONTH(Tabela3[[#This Row],[Data]])</f>
        <v>11</v>
      </c>
      <c r="K164" s="39">
        <f>SUM(E$3:Tabela3[[#This Row],[Valor]])</f>
        <v>16800.749999999767</v>
      </c>
      <c r="L164" s="40">
        <f t="shared" si="2"/>
        <v>2.22375</v>
      </c>
      <c r="M164" s="40"/>
      <c r="N164" s="40"/>
      <c r="O164" s="40"/>
      <c r="P164" s="39"/>
      <c r="Q164" s="39"/>
      <c r="R164" s="39"/>
      <c r="S164" s="39"/>
      <c r="T164" s="39"/>
      <c r="V164">
        <f>IF(Tabela3[[#This Row],[Pago]]&lt;&gt;"",IF(F165="",Tabela3[[#This Row],[Saldo]],0))</f>
        <v>0</v>
      </c>
    </row>
    <row r="165" spans="1:22" x14ac:dyDescent="0.25">
      <c r="A165" t="s">
        <v>55</v>
      </c>
      <c r="B165" s="37">
        <v>10</v>
      </c>
      <c r="C165" t="str">
        <f>_xlfn.XLOOKUP(B165,'Centro de Custo'!A$2:A$45,'Centro de Custo'!B$2:B$45)</f>
        <v>Retirada Mensal</v>
      </c>
      <c r="E165" s="39">
        <v>-11530</v>
      </c>
      <c r="F165" s="40" t="s">
        <v>10</v>
      </c>
      <c r="G165" s="41">
        <v>45240</v>
      </c>
      <c r="H165" s="42">
        <f>YEAR(Tabela3[[#This Row],[Data]])</f>
        <v>2023</v>
      </c>
      <c r="I165" s="42" t="str">
        <f>_xlfn.XLOOKUP(J165,'Centro de Custo'!J$2:J$13,'Centro de Custo'!K$2:K$13)</f>
        <v>Novembro</v>
      </c>
      <c r="J165" s="43">
        <f>MONTH(Tabela3[[#This Row],[Data]])</f>
        <v>11</v>
      </c>
      <c r="K165" s="39">
        <f>SUM(E$3:Tabela3[[#This Row],[Valor]])</f>
        <v>5270.749999999767</v>
      </c>
      <c r="L165" s="40">
        <f t="shared" si="2"/>
        <v>2.22375</v>
      </c>
      <c r="M165" s="40"/>
      <c r="N165" s="40"/>
      <c r="O165" s="40"/>
      <c r="P165" s="39"/>
      <c r="Q165" s="39"/>
      <c r="R165" s="39"/>
      <c r="S165" s="39"/>
      <c r="T165" s="39"/>
      <c r="V165">
        <f>IF(Tabela3[[#This Row],[Pago]]&lt;&gt;"",IF(F166="",Tabela3[[#This Row],[Saldo]],0))</f>
        <v>0</v>
      </c>
    </row>
    <row r="166" spans="1:22" x14ac:dyDescent="0.25">
      <c r="A166" t="s">
        <v>51</v>
      </c>
      <c r="B166" s="37">
        <v>41</v>
      </c>
      <c r="C166" t="str">
        <f>_xlfn.XLOOKUP(B166,'Centro de Custo'!A$2:A$45,'Centro de Custo'!B$2:B$45)</f>
        <v>Resgate Financeiro</v>
      </c>
      <c r="E166" s="39">
        <v>70800</v>
      </c>
      <c r="F166" s="40" t="s">
        <v>10</v>
      </c>
      <c r="G166" s="41">
        <v>45243</v>
      </c>
      <c r="H166" s="42">
        <f>YEAR(Tabela3[[#This Row],[Data]])</f>
        <v>2023</v>
      </c>
      <c r="I166" s="42" t="str">
        <f>_xlfn.XLOOKUP(J166,'Centro de Custo'!J$2:J$13,'Centro de Custo'!K$2:K$13)</f>
        <v>Novembro</v>
      </c>
      <c r="J166" s="43">
        <f>MONTH(Tabela3[[#This Row],[Data]])</f>
        <v>11</v>
      </c>
      <c r="K166" s="39">
        <f>SUM(E$3:Tabela3[[#This Row],[Valor]])</f>
        <v>76070.74999999977</v>
      </c>
      <c r="L166" s="40">
        <f t="shared" si="2"/>
        <v>2.22375</v>
      </c>
      <c r="M166" s="40"/>
      <c r="N166" s="40"/>
      <c r="O166" s="40"/>
      <c r="P166" s="39"/>
      <c r="Q166" s="39"/>
      <c r="R166" s="39"/>
      <c r="S166" s="39"/>
      <c r="T166" s="39"/>
      <c r="V166">
        <f>IF(Tabela3[[#This Row],[Pago]]&lt;&gt;"",IF(F167="",Tabela3[[#This Row],[Saldo]],0))</f>
        <v>0</v>
      </c>
    </row>
    <row r="167" spans="1:22" x14ac:dyDescent="0.25">
      <c r="A167" t="s">
        <v>113</v>
      </c>
      <c r="B167" s="37">
        <v>3</v>
      </c>
      <c r="C167" t="str">
        <f>_xlfn.XLOOKUP(B167,'Centro de Custo'!A$2:A$45,'Centro de Custo'!B$2:B$45)</f>
        <v>Investimentos</v>
      </c>
      <c r="E167" s="39">
        <v>-70000</v>
      </c>
      <c r="F167" s="40" t="s">
        <v>10</v>
      </c>
      <c r="G167" s="41">
        <v>45244</v>
      </c>
      <c r="H167" s="42">
        <f>YEAR(Tabela3[[#This Row],[Data]])</f>
        <v>2023</v>
      </c>
      <c r="I167" s="42" t="str">
        <f>_xlfn.XLOOKUP(J167,'Centro de Custo'!J$2:J$13,'Centro de Custo'!K$2:K$13)</f>
        <v>Novembro</v>
      </c>
      <c r="J167" s="43">
        <f>MONTH(Tabela3[[#This Row],[Data]])</f>
        <v>11</v>
      </c>
      <c r="K167" s="39">
        <f>SUM(E$3:Tabela3[[#This Row],[Valor]])</f>
        <v>6070.749999999767</v>
      </c>
      <c r="L167" s="40">
        <f t="shared" si="2"/>
        <v>2.22375</v>
      </c>
      <c r="M167" s="40"/>
      <c r="N167" s="40"/>
      <c r="O167" s="40"/>
      <c r="P167" s="39"/>
      <c r="Q167" s="39"/>
      <c r="R167" s="39"/>
      <c r="S167" s="39"/>
      <c r="T167" s="39"/>
      <c r="V167">
        <f>IF(Tabela3[[#This Row],[Pago]]&lt;&gt;"",IF(F168="",Tabela3[[#This Row],[Saldo]],0))</f>
        <v>0</v>
      </c>
    </row>
    <row r="168" spans="1:22" x14ac:dyDescent="0.25">
      <c r="A168" t="s">
        <v>51</v>
      </c>
      <c r="B168" s="37">
        <v>41</v>
      </c>
      <c r="C168" t="str">
        <f>_xlfn.XLOOKUP(B168,'Centro de Custo'!A$2:A$45,'Centro de Custo'!B$2:B$45)</f>
        <v>Resgate Financeiro</v>
      </c>
      <c r="E168" s="39">
        <v>50000</v>
      </c>
      <c r="F168" s="40" t="s">
        <v>10</v>
      </c>
      <c r="G168" s="41">
        <v>45254</v>
      </c>
      <c r="H168" s="42">
        <f>YEAR(Tabela3[[#This Row],[Data]])</f>
        <v>2023</v>
      </c>
      <c r="I168" s="42" t="str">
        <f>_xlfn.XLOOKUP(J168,'Centro de Custo'!J$2:J$13,'Centro de Custo'!K$2:K$13)</f>
        <v>Novembro</v>
      </c>
      <c r="J168" s="43">
        <f>MONTH(Tabela3[[#This Row],[Data]])</f>
        <v>11</v>
      </c>
      <c r="K168" s="39">
        <f>SUM(E$3:Tabela3[[#This Row],[Valor]])</f>
        <v>56070.74999999977</v>
      </c>
      <c r="L168" s="40">
        <f t="shared" si="2"/>
        <v>2.22375</v>
      </c>
      <c r="M168" s="40"/>
      <c r="N168" s="40"/>
      <c r="O168" s="40"/>
      <c r="P168" s="39"/>
      <c r="Q168" s="39"/>
      <c r="R168" s="39"/>
      <c r="S168" s="39"/>
      <c r="T168" s="39"/>
      <c r="V168">
        <f>IF(Tabela3[[#This Row],[Pago]]&lt;&gt;"",IF(F169="",Tabela3[[#This Row],[Saldo]],0))</f>
        <v>0</v>
      </c>
    </row>
    <row r="169" spans="1:22" x14ac:dyDescent="0.25">
      <c r="A169" t="s">
        <v>70</v>
      </c>
      <c r="B169" s="37">
        <v>20</v>
      </c>
      <c r="C169" t="str">
        <f>_xlfn.XLOOKUP(B169,'Centro de Custo'!A$2:A$45,'Centro de Custo'!B$2:B$45)</f>
        <v>Desp. ADM</v>
      </c>
      <c r="E169" s="39">
        <v>-25.85</v>
      </c>
      <c r="F169" s="40" t="s">
        <v>10</v>
      </c>
      <c r="G169" s="41">
        <v>45257</v>
      </c>
      <c r="H169" s="42">
        <f>YEAR(Tabela3[[#This Row],[Data]])</f>
        <v>2023</v>
      </c>
      <c r="I169" s="42" t="str">
        <f>_xlfn.XLOOKUP(J169,'Centro de Custo'!J$2:J$13,'Centro de Custo'!K$2:K$13)</f>
        <v>Novembro</v>
      </c>
      <c r="J169" s="43">
        <f>MONTH(Tabela3[[#This Row],[Data]])</f>
        <v>11</v>
      </c>
      <c r="K169" s="39">
        <f>SUM(E$3:Tabela3[[#This Row],[Valor]])</f>
        <v>56044.89999999977</v>
      </c>
      <c r="L169" s="40">
        <f t="shared" si="2"/>
        <v>2.22375</v>
      </c>
      <c r="M169" s="40"/>
      <c r="N169" s="40"/>
      <c r="O169" s="40"/>
      <c r="P169" s="39"/>
      <c r="Q169" s="39"/>
      <c r="R169" s="39"/>
      <c r="S169" s="39"/>
      <c r="T169" s="39"/>
      <c r="V169">
        <f>IF(Tabela3[[#This Row],[Pago]]&lt;&gt;"",IF(F170="",Tabela3[[#This Row],[Saldo]],0))</f>
        <v>0</v>
      </c>
    </row>
    <row r="170" spans="1:22" x14ac:dyDescent="0.25">
      <c r="A170" t="s">
        <v>129</v>
      </c>
      <c r="B170" s="37">
        <v>3</v>
      </c>
      <c r="C170" t="str">
        <f>_xlfn.XLOOKUP(B170,'Centro de Custo'!A$2:A$45,'Centro de Custo'!B$2:B$45)</f>
        <v>Investimentos</v>
      </c>
      <c r="E170" s="39">
        <v>-28200</v>
      </c>
      <c r="F170" s="40" t="s">
        <v>10</v>
      </c>
      <c r="G170" s="41">
        <v>45257</v>
      </c>
      <c r="H170" s="42">
        <f>YEAR(Tabela3[[#This Row],[Data]])</f>
        <v>2023</v>
      </c>
      <c r="I170" s="42" t="str">
        <f>_xlfn.XLOOKUP(J170,'Centro de Custo'!J$2:J$13,'Centro de Custo'!K$2:K$13)</f>
        <v>Novembro</v>
      </c>
      <c r="J170" s="43">
        <f>MONTH(Tabela3[[#This Row],[Data]])</f>
        <v>11</v>
      </c>
      <c r="K170" s="39">
        <f>SUM(E$3:Tabela3[[#This Row],[Valor]])</f>
        <v>27844.89999999977</v>
      </c>
      <c r="L170" s="40">
        <f t="shared" si="2"/>
        <v>2.22375</v>
      </c>
      <c r="M170" s="40"/>
      <c r="N170" s="40"/>
      <c r="O170" s="40"/>
      <c r="P170" s="39"/>
      <c r="Q170" s="39"/>
      <c r="R170" s="39"/>
      <c r="S170" s="39"/>
      <c r="T170" s="39"/>
      <c r="V170">
        <f>IF(Tabela3[[#This Row],[Pago]]&lt;&gt;"",IF(F171="",Tabela3[[#This Row],[Saldo]],0))</f>
        <v>0</v>
      </c>
    </row>
    <row r="171" spans="1:22" x14ac:dyDescent="0.25">
      <c r="A171" t="s">
        <v>113</v>
      </c>
      <c r="B171" s="37">
        <v>3</v>
      </c>
      <c r="C171" t="str">
        <f>_xlfn.XLOOKUP(B171,'Centro de Custo'!A$2:A$45,'Centro de Custo'!B$2:B$45)</f>
        <v>Investimentos</v>
      </c>
      <c r="E171" s="39">
        <v>-27000</v>
      </c>
      <c r="F171" s="40" t="s">
        <v>10</v>
      </c>
      <c r="G171" s="41">
        <v>45259</v>
      </c>
      <c r="H171" s="42">
        <f>YEAR(Tabela3[[#This Row],[Data]])</f>
        <v>2023</v>
      </c>
      <c r="I171" s="42" t="str">
        <f>_xlfn.XLOOKUP(J171,'Centro de Custo'!J$2:J$13,'Centro de Custo'!K$2:K$13)</f>
        <v>Novembro</v>
      </c>
      <c r="J171" s="43">
        <f>MONTH(Tabela3[[#This Row],[Data]])</f>
        <v>11</v>
      </c>
      <c r="K171" s="39">
        <f>SUM(E$3:Tabela3[[#This Row],[Valor]])</f>
        <v>844.8999999997686</v>
      </c>
      <c r="L171" s="40">
        <f t="shared" si="2"/>
        <v>2.22375</v>
      </c>
      <c r="M171" s="40"/>
      <c r="N171" s="40"/>
      <c r="O171" s="40"/>
      <c r="P171" s="39"/>
      <c r="Q171" s="39"/>
      <c r="R171" s="39"/>
      <c r="S171" s="39"/>
      <c r="T171" s="39"/>
      <c r="V171">
        <f>IF(Tabela3[[#This Row],[Pago]]&lt;&gt;"",IF(F172="",Tabela3[[#This Row],[Saldo]],0))</f>
        <v>0</v>
      </c>
    </row>
    <row r="172" spans="1:22" x14ac:dyDescent="0.25">
      <c r="A172" t="s">
        <v>51</v>
      </c>
      <c r="B172" s="37">
        <v>41</v>
      </c>
      <c r="C172" t="str">
        <f>_xlfn.XLOOKUP(B172,'Centro de Custo'!A$2:A$45,'Centro de Custo'!B$2:B$45)</f>
        <v>Resgate Financeiro</v>
      </c>
      <c r="E172" s="39">
        <v>250000</v>
      </c>
      <c r="F172" s="40" t="s">
        <v>10</v>
      </c>
      <c r="G172" s="41">
        <v>45261</v>
      </c>
      <c r="H172" s="42">
        <f>YEAR(Tabela3[[#This Row],[Data]])</f>
        <v>2023</v>
      </c>
      <c r="I172" s="42" t="str">
        <f>_xlfn.XLOOKUP(J172,'Centro de Custo'!J$2:J$13,'Centro de Custo'!K$2:K$13)</f>
        <v>Dezembro</v>
      </c>
      <c r="J172" s="43">
        <f>MONTH(Tabela3[[#This Row],[Data]])</f>
        <v>12</v>
      </c>
      <c r="K172" s="39">
        <f>SUM(E$3:Tabela3[[#This Row],[Valor]])</f>
        <v>250844.89999999976</v>
      </c>
      <c r="L172" s="40">
        <f t="shared" si="2"/>
        <v>2.22375</v>
      </c>
      <c r="M172" s="40"/>
      <c r="N172" s="40"/>
      <c r="O172" s="40"/>
      <c r="P172" s="39"/>
      <c r="Q172" s="39"/>
      <c r="R172" s="39"/>
      <c r="S172" s="39"/>
      <c r="T172" s="39"/>
      <c r="V172">
        <f>IF(Tabela3[[#This Row],[Pago]]&lt;&gt;"",IF(F173="",Tabela3[[#This Row],[Saldo]],0))</f>
        <v>0</v>
      </c>
    </row>
    <row r="173" spans="1:22" x14ac:dyDescent="0.25">
      <c r="A173" t="s">
        <v>113</v>
      </c>
      <c r="B173" s="37">
        <v>3</v>
      </c>
      <c r="C173" t="str">
        <f>_xlfn.XLOOKUP(B173,'Centro de Custo'!A$2:A$45,'Centro de Custo'!B$2:B$45)</f>
        <v>Investimentos</v>
      </c>
      <c r="E173" s="39">
        <v>-80000</v>
      </c>
      <c r="F173" s="40" t="s">
        <v>10</v>
      </c>
      <c r="G173" s="41">
        <v>45261</v>
      </c>
      <c r="H173" s="42">
        <f>YEAR(Tabela3[[#This Row],[Data]])</f>
        <v>2023</v>
      </c>
      <c r="I173" s="42" t="str">
        <f>_xlfn.XLOOKUP(J173,'Centro de Custo'!J$2:J$13,'Centro de Custo'!K$2:K$13)</f>
        <v>Dezembro</v>
      </c>
      <c r="J173" s="43">
        <f>MONTH(Tabela3[[#This Row],[Data]])</f>
        <v>12</v>
      </c>
      <c r="K173" s="39">
        <f>SUM(E$3:Tabela3[[#This Row],[Valor]])</f>
        <v>170844.89999999976</v>
      </c>
      <c r="L173" s="40">
        <f t="shared" si="2"/>
        <v>2.22375</v>
      </c>
      <c r="M173" s="40"/>
      <c r="N173" s="40"/>
      <c r="O173" s="40"/>
      <c r="P173" s="39"/>
      <c r="Q173" s="39"/>
      <c r="R173" s="39"/>
      <c r="S173" s="39"/>
      <c r="T173" s="39"/>
      <c r="V173">
        <f>IF(Tabela3[[#This Row],[Pago]]&lt;&gt;"",IF(F174="",Tabela3[[#This Row],[Saldo]],0))</f>
        <v>0</v>
      </c>
    </row>
    <row r="174" spans="1:22" x14ac:dyDescent="0.25">
      <c r="A174" t="s">
        <v>60</v>
      </c>
      <c r="B174" s="37">
        <v>20</v>
      </c>
      <c r="C174" t="str">
        <f>_xlfn.XLOOKUP(B174,'Centro de Custo'!A$2:A$45,'Centro de Custo'!B$2:B$45)</f>
        <v>Desp. ADM</v>
      </c>
      <c r="E174" s="39">
        <v>-440.84</v>
      </c>
      <c r="F174" s="40" t="s">
        <v>10</v>
      </c>
      <c r="G174" s="41">
        <v>45264</v>
      </c>
      <c r="H174" s="42">
        <f>YEAR(Tabela3[[#This Row],[Data]])</f>
        <v>2023</v>
      </c>
      <c r="I174" s="42" t="str">
        <f>_xlfn.XLOOKUP(J174,'Centro de Custo'!J$2:J$13,'Centro de Custo'!K$2:K$13)</f>
        <v>Dezembro</v>
      </c>
      <c r="J174" s="43">
        <f>MONTH(Tabela3[[#This Row],[Data]])</f>
        <v>12</v>
      </c>
      <c r="K174" s="39">
        <f>SUM(E$3:Tabela3[[#This Row],[Valor]])</f>
        <v>170404.05999999976</v>
      </c>
      <c r="L174" s="40">
        <f t="shared" si="2"/>
        <v>2.22375</v>
      </c>
      <c r="M174" s="40"/>
      <c r="N174" s="40"/>
      <c r="O174" s="40"/>
      <c r="P174" s="39"/>
      <c r="Q174" s="39"/>
      <c r="R174" s="39"/>
      <c r="S174" s="39"/>
      <c r="T174" s="39"/>
      <c r="V174">
        <f>IF(Tabela3[[#This Row],[Pago]]&lt;&gt;"",IF(F175="",Tabela3[[#This Row],[Saldo]],0))</f>
        <v>0</v>
      </c>
    </row>
    <row r="175" spans="1:22" x14ac:dyDescent="0.25">
      <c r="A175" t="s">
        <v>130</v>
      </c>
      <c r="B175" s="37">
        <v>13</v>
      </c>
      <c r="C175" t="str">
        <f>_xlfn.XLOOKUP(B175,'Centro de Custo'!A$2:A$45,'Centro de Custo'!B$2:B$45)</f>
        <v>Terceirizados</v>
      </c>
      <c r="E175" s="39">
        <v>-4160</v>
      </c>
      <c r="F175" s="40" t="s">
        <v>10</v>
      </c>
      <c r="G175" s="41">
        <v>45264</v>
      </c>
      <c r="H175" s="42">
        <f>YEAR(Tabela3[[#This Row],[Data]])</f>
        <v>2023</v>
      </c>
      <c r="I175" s="42" t="str">
        <f>_xlfn.XLOOKUP(J175,'Centro de Custo'!J$2:J$13,'Centro de Custo'!K$2:K$13)</f>
        <v>Dezembro</v>
      </c>
      <c r="J175" s="43">
        <f>MONTH(Tabela3[[#This Row],[Data]])</f>
        <v>12</v>
      </c>
      <c r="K175" s="39">
        <f>SUM(E$3:Tabela3[[#This Row],[Valor]])</f>
        <v>166244.05999999976</v>
      </c>
      <c r="L175" s="40">
        <f t="shared" si="2"/>
        <v>2.22375</v>
      </c>
      <c r="M175" s="40"/>
      <c r="N175" s="40"/>
      <c r="O175" s="40"/>
      <c r="P175" s="39"/>
      <c r="Q175" s="39"/>
      <c r="R175" s="39"/>
      <c r="S175" s="39"/>
      <c r="T175" s="39"/>
      <c r="V175">
        <f>IF(Tabela3[[#This Row],[Pago]]&lt;&gt;"",IF(F176="",Tabela3[[#This Row],[Saldo]],0))</f>
        <v>0</v>
      </c>
    </row>
    <row r="176" spans="1:22" x14ac:dyDescent="0.25">
      <c r="A176" t="s">
        <v>131</v>
      </c>
      <c r="B176" s="37">
        <v>10</v>
      </c>
      <c r="C176" t="str">
        <f>_xlfn.XLOOKUP(B176,'Centro de Custo'!A$2:A$45,'Centro de Custo'!B$2:B$45)</f>
        <v>Retirada Mensal</v>
      </c>
      <c r="E176" s="39">
        <v>-13000</v>
      </c>
      <c r="F176" s="40" t="s">
        <v>10</v>
      </c>
      <c r="G176" s="41">
        <v>45264</v>
      </c>
      <c r="H176" s="42">
        <f>YEAR(Tabela3[[#This Row],[Data]])</f>
        <v>2023</v>
      </c>
      <c r="I176" s="42" t="str">
        <f>_xlfn.XLOOKUP(J176,'Centro de Custo'!J$2:J$13,'Centro de Custo'!K$2:K$13)</f>
        <v>Dezembro</v>
      </c>
      <c r="J176" s="43">
        <f>MONTH(Tabela3[[#This Row],[Data]])</f>
        <v>12</v>
      </c>
      <c r="K176" s="39">
        <f>SUM(E$3:Tabela3[[#This Row],[Valor]])</f>
        <v>153244.05999999976</v>
      </c>
      <c r="L176" s="40">
        <f t="shared" si="2"/>
        <v>2.22375</v>
      </c>
      <c r="M176" s="40"/>
      <c r="N176" s="40"/>
      <c r="O176" s="40"/>
      <c r="P176" s="39"/>
      <c r="Q176" s="39"/>
      <c r="R176" s="39"/>
      <c r="S176" s="39"/>
      <c r="T176" s="39"/>
      <c r="V176">
        <f>IF(Tabela3[[#This Row],[Pago]]&lt;&gt;"",IF(F177="",Tabela3[[#This Row],[Saldo]],0))</f>
        <v>0</v>
      </c>
    </row>
    <row r="177" spans="1:22" x14ac:dyDescent="0.25">
      <c r="A177" t="s">
        <v>132</v>
      </c>
      <c r="B177" s="37">
        <v>10</v>
      </c>
      <c r="C177" t="str">
        <f>_xlfn.XLOOKUP(B177,'Centro de Custo'!A$2:A$45,'Centro de Custo'!B$2:B$45)</f>
        <v>Retirada Mensal</v>
      </c>
      <c r="E177" s="39">
        <v>-19100</v>
      </c>
      <c r="F177" s="40" t="s">
        <v>10</v>
      </c>
      <c r="G177" s="41">
        <v>45264</v>
      </c>
      <c r="H177" s="42">
        <f>YEAR(Tabela3[[#This Row],[Data]])</f>
        <v>2023</v>
      </c>
      <c r="I177" s="42" t="str">
        <f>_xlfn.XLOOKUP(J177,'Centro de Custo'!J$2:J$13,'Centro de Custo'!K$2:K$13)</f>
        <v>Dezembro</v>
      </c>
      <c r="J177" s="43">
        <f>MONTH(Tabela3[[#This Row],[Data]])</f>
        <v>12</v>
      </c>
      <c r="K177" s="39">
        <f>SUM(E$3:Tabela3[[#This Row],[Valor]])</f>
        <v>134144.05999999976</v>
      </c>
      <c r="L177" s="40">
        <f t="shared" si="2"/>
        <v>2.22375</v>
      </c>
      <c r="M177" s="40"/>
      <c r="N177" s="40"/>
      <c r="O177" s="40"/>
      <c r="P177" s="39"/>
      <c r="Q177" s="39"/>
      <c r="R177" s="39"/>
      <c r="S177" s="39"/>
      <c r="T177" s="39"/>
      <c r="V177">
        <f>IF(Tabela3[[#This Row],[Pago]]&lt;&gt;"",IF(F178="",Tabela3[[#This Row],[Saldo]],0))</f>
        <v>0</v>
      </c>
    </row>
    <row r="178" spans="1:22" x14ac:dyDescent="0.25">
      <c r="A178" t="s">
        <v>133</v>
      </c>
      <c r="B178" s="37">
        <v>13</v>
      </c>
      <c r="C178" t="str">
        <f>_xlfn.XLOOKUP(B178,'Centro de Custo'!A$2:A$45,'Centro de Custo'!B$2:B$45)</f>
        <v>Terceirizados</v>
      </c>
      <c r="E178" s="39">
        <v>-26370</v>
      </c>
      <c r="F178" s="40" t="s">
        <v>10</v>
      </c>
      <c r="G178" s="41">
        <v>45264</v>
      </c>
      <c r="H178" s="42">
        <f>YEAR(Tabela3[[#This Row],[Data]])</f>
        <v>2023</v>
      </c>
      <c r="I178" s="42" t="str">
        <f>_xlfn.XLOOKUP(J178,'Centro de Custo'!J$2:J$13,'Centro de Custo'!K$2:K$13)</f>
        <v>Dezembro</v>
      </c>
      <c r="J178" s="43">
        <f>MONTH(Tabela3[[#This Row],[Data]])</f>
        <v>12</v>
      </c>
      <c r="K178" s="39">
        <f>SUM(E$3:Tabela3[[#This Row],[Valor]])</f>
        <v>107774.05999999976</v>
      </c>
      <c r="L178" s="40">
        <f t="shared" si="2"/>
        <v>2.22375</v>
      </c>
      <c r="M178" s="40"/>
      <c r="N178" s="40"/>
      <c r="O178" s="40"/>
      <c r="P178" s="39"/>
      <c r="Q178" s="39"/>
      <c r="R178" s="39"/>
      <c r="S178" s="39"/>
      <c r="T178" s="39"/>
      <c r="V178">
        <f>IF(Tabela3[[#This Row],[Pago]]&lt;&gt;"",IF(F179="",Tabela3[[#This Row],[Saldo]],0))</f>
        <v>0</v>
      </c>
    </row>
    <row r="179" spans="1:22" x14ac:dyDescent="0.25">
      <c r="A179" t="s">
        <v>116</v>
      </c>
      <c r="B179" s="37">
        <v>50</v>
      </c>
      <c r="C179" t="str">
        <f>_xlfn.XLOOKUP(B179,'Centro de Custo'!A$2:A$45,'Centro de Custo'!B$2:B$45)</f>
        <v>Empréstimos</v>
      </c>
      <c r="E179" s="39">
        <v>-60000</v>
      </c>
      <c r="F179" s="40" t="s">
        <v>10</v>
      </c>
      <c r="G179" s="41">
        <v>45264</v>
      </c>
      <c r="H179" s="42">
        <f>YEAR(Tabela3[[#This Row],[Data]])</f>
        <v>2023</v>
      </c>
      <c r="I179" s="42" t="str">
        <f>_xlfn.XLOOKUP(J179,'Centro de Custo'!J$2:J$13,'Centro de Custo'!K$2:K$13)</f>
        <v>Dezembro</v>
      </c>
      <c r="J179" s="43">
        <f>MONTH(Tabela3[[#This Row],[Data]])</f>
        <v>12</v>
      </c>
      <c r="K179" s="39">
        <f>SUM(E$3:Tabela3[[#This Row],[Valor]])</f>
        <v>47774.059999999765</v>
      </c>
      <c r="L179" s="40">
        <f t="shared" si="2"/>
        <v>2.22375</v>
      </c>
      <c r="M179" s="40"/>
      <c r="N179" s="40"/>
      <c r="O179" s="40"/>
      <c r="P179" s="39"/>
      <c r="Q179" s="39"/>
      <c r="R179" s="39"/>
      <c r="S179" s="39"/>
      <c r="T179" s="39"/>
      <c r="V179">
        <f>IF(Tabela3[[#This Row],[Pago]]&lt;&gt;"",IF(F180="",Tabela3[[#This Row],[Saldo]],0))</f>
        <v>0</v>
      </c>
    </row>
    <row r="180" spans="1:22" x14ac:dyDescent="0.25">
      <c r="A180" t="s">
        <v>51</v>
      </c>
      <c r="B180" s="37">
        <v>41</v>
      </c>
      <c r="C180" t="str">
        <f>_xlfn.XLOOKUP(B180,'Centro de Custo'!A$2:A$45,'Centro de Custo'!B$2:B$45)</f>
        <v>Resgate Financeiro</v>
      </c>
      <c r="E180" s="39">
        <v>151000</v>
      </c>
      <c r="F180" s="40" t="s">
        <v>10</v>
      </c>
      <c r="G180" s="41">
        <v>45265</v>
      </c>
      <c r="H180" s="42">
        <f>YEAR(Tabela3[[#This Row],[Data]])</f>
        <v>2023</v>
      </c>
      <c r="I180" s="42" t="str">
        <f>_xlfn.XLOOKUP(J180,'Centro de Custo'!J$2:J$13,'Centro de Custo'!K$2:K$13)</f>
        <v>Dezembro</v>
      </c>
      <c r="J180" s="43">
        <f>MONTH(Tabela3[[#This Row],[Data]])</f>
        <v>12</v>
      </c>
      <c r="K180" s="39">
        <f>SUM(E$3:Tabela3[[#This Row],[Valor]])</f>
        <v>198774.05999999976</v>
      </c>
      <c r="L180" s="40">
        <f t="shared" si="2"/>
        <v>2.22375</v>
      </c>
      <c r="M180" s="40"/>
      <c r="N180" s="40"/>
      <c r="O180" s="40"/>
      <c r="P180" s="39"/>
      <c r="Q180" s="39"/>
      <c r="R180" s="39"/>
      <c r="S180" s="39"/>
      <c r="T180" s="39"/>
      <c r="V180">
        <f>IF(Tabela3[[#This Row],[Pago]]&lt;&gt;"",IF(F181="",Tabela3[[#This Row],[Saldo]],0))</f>
        <v>0</v>
      </c>
    </row>
    <row r="181" spans="1:22" x14ac:dyDescent="0.25">
      <c r="A181" t="s">
        <v>134</v>
      </c>
      <c r="B181" s="37">
        <v>13</v>
      </c>
      <c r="C181" t="str">
        <f>_xlfn.XLOOKUP(B181,'Centro de Custo'!A$2:A$45,'Centro de Custo'!B$2:B$45)</f>
        <v>Terceirizados</v>
      </c>
      <c r="E181" s="39">
        <v>-5000</v>
      </c>
      <c r="F181" s="40" t="s">
        <v>10</v>
      </c>
      <c r="G181" s="41">
        <v>45265</v>
      </c>
      <c r="H181" s="42">
        <f>YEAR(Tabela3[[#This Row],[Data]])</f>
        <v>2023</v>
      </c>
      <c r="I181" s="42" t="str">
        <f>_xlfn.XLOOKUP(J181,'Centro de Custo'!J$2:J$13,'Centro de Custo'!K$2:K$13)</f>
        <v>Dezembro</v>
      </c>
      <c r="J181" s="43">
        <f>MONTH(Tabela3[[#This Row],[Data]])</f>
        <v>12</v>
      </c>
      <c r="K181" s="39">
        <f>SUM(E$3:Tabela3[[#This Row],[Valor]])</f>
        <v>193774.05999999976</v>
      </c>
      <c r="L181" s="40">
        <f t="shared" si="2"/>
        <v>2.22375</v>
      </c>
      <c r="M181" s="40"/>
      <c r="N181" s="40"/>
      <c r="O181" s="40"/>
      <c r="P181" s="39"/>
      <c r="Q181" s="39"/>
      <c r="R181" s="39"/>
      <c r="S181" s="39"/>
      <c r="T181" s="39"/>
      <c r="V181">
        <f>IF(Tabela3[[#This Row],[Pago]]&lt;&gt;"",IF(F182="",Tabela3[[#This Row],[Saldo]],0))</f>
        <v>0</v>
      </c>
    </row>
    <row r="182" spans="1:22" x14ac:dyDescent="0.25">
      <c r="A182" t="s">
        <v>123</v>
      </c>
      <c r="B182" s="37">
        <v>13</v>
      </c>
      <c r="C182" t="str">
        <f>_xlfn.XLOOKUP(B182,'Centro de Custo'!A$2:A$45,'Centro de Custo'!B$2:B$45)</f>
        <v>Terceirizados</v>
      </c>
      <c r="E182" s="39">
        <v>-9920</v>
      </c>
      <c r="F182" s="40" t="s">
        <v>10</v>
      </c>
      <c r="G182" s="41">
        <v>45265</v>
      </c>
      <c r="H182" s="42">
        <f>YEAR(Tabela3[[#This Row],[Data]])</f>
        <v>2023</v>
      </c>
      <c r="I182" s="42" t="str">
        <f>_xlfn.XLOOKUP(J182,'Centro de Custo'!J$2:J$13,'Centro de Custo'!K$2:K$13)</f>
        <v>Dezembro</v>
      </c>
      <c r="J182" s="43">
        <f>MONTH(Tabela3[[#This Row],[Data]])</f>
        <v>12</v>
      </c>
      <c r="K182" s="39">
        <f>SUM(E$3:Tabela3[[#This Row],[Valor]])</f>
        <v>183854.05999999976</v>
      </c>
      <c r="L182" s="40">
        <f t="shared" si="2"/>
        <v>2.22375</v>
      </c>
      <c r="M182" s="40"/>
      <c r="N182" s="40"/>
      <c r="O182" s="40"/>
      <c r="P182" s="39"/>
      <c r="Q182" s="39"/>
      <c r="R182" s="39"/>
      <c r="S182" s="39"/>
      <c r="T182" s="39"/>
      <c r="V182">
        <f>IF(Tabela3[[#This Row],[Pago]]&lt;&gt;"",IF(F183="",Tabela3[[#This Row],[Saldo]],0))</f>
        <v>0</v>
      </c>
    </row>
    <row r="183" spans="1:22" x14ac:dyDescent="0.25">
      <c r="A183" t="s">
        <v>135</v>
      </c>
      <c r="B183" s="37">
        <v>10</v>
      </c>
      <c r="C183" t="str">
        <f>_xlfn.XLOOKUP(B183,'Centro de Custo'!A$2:A$45,'Centro de Custo'!B$2:B$45)</f>
        <v>Retirada Mensal</v>
      </c>
      <c r="E183" s="39">
        <v>-20080</v>
      </c>
      <c r="F183" s="40" t="s">
        <v>10</v>
      </c>
      <c r="G183" s="41">
        <v>45265</v>
      </c>
      <c r="H183" s="42">
        <f>YEAR(Tabela3[[#This Row],[Data]])</f>
        <v>2023</v>
      </c>
      <c r="I183" s="42" t="str">
        <f>_xlfn.XLOOKUP(J183,'Centro de Custo'!J$2:J$13,'Centro de Custo'!K$2:K$13)</f>
        <v>Dezembro</v>
      </c>
      <c r="J183" s="43">
        <f>MONTH(Tabela3[[#This Row],[Data]])</f>
        <v>12</v>
      </c>
      <c r="K183" s="39">
        <f>SUM(E$3:Tabela3[[#This Row],[Valor]])</f>
        <v>163774.05999999976</v>
      </c>
      <c r="L183" s="40">
        <f t="shared" si="2"/>
        <v>2.22375</v>
      </c>
      <c r="M183" s="40"/>
      <c r="N183" s="40"/>
      <c r="O183" s="40"/>
      <c r="P183" s="39"/>
      <c r="Q183" s="39"/>
      <c r="R183" s="39"/>
      <c r="S183" s="39"/>
      <c r="T183" s="39"/>
      <c r="V183">
        <f>IF(Tabela3[[#This Row],[Pago]]&lt;&gt;"",IF(F184="",Tabela3[[#This Row],[Saldo]],0))</f>
        <v>0</v>
      </c>
    </row>
    <row r="184" spans="1:22" x14ac:dyDescent="0.25">
      <c r="A184" t="s">
        <v>136</v>
      </c>
      <c r="B184" s="37">
        <v>13</v>
      </c>
      <c r="C184" t="str">
        <f>_xlfn.XLOOKUP(B184,'Centro de Custo'!A$2:A$45,'Centro de Custo'!B$2:B$45)</f>
        <v>Terceirizados</v>
      </c>
      <c r="E184" s="39">
        <v>-26400</v>
      </c>
      <c r="F184" s="40" t="s">
        <v>10</v>
      </c>
      <c r="G184" s="41">
        <v>45265</v>
      </c>
      <c r="H184" s="42">
        <f>YEAR(Tabela3[[#This Row],[Data]])</f>
        <v>2023</v>
      </c>
      <c r="I184" s="42" t="str">
        <f>_xlfn.XLOOKUP(J184,'Centro de Custo'!J$2:J$13,'Centro de Custo'!K$2:K$13)</f>
        <v>Dezembro</v>
      </c>
      <c r="J184" s="43">
        <f>MONTH(Tabela3[[#This Row],[Data]])</f>
        <v>12</v>
      </c>
      <c r="K184" s="39">
        <f>SUM(E$3:Tabela3[[#This Row],[Valor]])</f>
        <v>137374.05999999976</v>
      </c>
      <c r="L184" s="40">
        <f t="shared" si="2"/>
        <v>2.22375</v>
      </c>
      <c r="M184" s="40"/>
      <c r="N184" s="40"/>
      <c r="O184" s="40"/>
      <c r="P184" s="39"/>
      <c r="Q184" s="39"/>
      <c r="R184" s="39"/>
      <c r="S184" s="39"/>
      <c r="T184" s="39"/>
      <c r="V184">
        <f>IF(Tabela3[[#This Row],[Pago]]&lt;&gt;"",IF(F185="",Tabela3[[#This Row],[Saldo]],0))</f>
        <v>0</v>
      </c>
    </row>
    <row r="185" spans="1:22" x14ac:dyDescent="0.25">
      <c r="A185" t="s">
        <v>137</v>
      </c>
      <c r="B185" s="37">
        <v>10</v>
      </c>
      <c r="C185" t="str">
        <f>_xlfn.XLOOKUP(B185,'Centro de Custo'!A$2:A$45,'Centro de Custo'!B$2:B$45)</f>
        <v>Retirada Mensal</v>
      </c>
      <c r="E185" s="39">
        <v>-28000</v>
      </c>
      <c r="F185" s="40" t="s">
        <v>10</v>
      </c>
      <c r="G185" s="41">
        <v>45265</v>
      </c>
      <c r="H185" s="42">
        <f>YEAR(Tabela3[[#This Row],[Data]])</f>
        <v>2023</v>
      </c>
      <c r="I185" s="42" t="str">
        <f>_xlfn.XLOOKUP(J185,'Centro de Custo'!J$2:J$13,'Centro de Custo'!K$2:K$13)</f>
        <v>Dezembro</v>
      </c>
      <c r="J185" s="43">
        <f>MONTH(Tabela3[[#This Row],[Data]])</f>
        <v>12</v>
      </c>
      <c r="K185" s="39">
        <f>SUM(E$3:Tabela3[[#This Row],[Valor]])</f>
        <v>109374.05999999976</v>
      </c>
      <c r="L185" s="40">
        <f t="shared" si="2"/>
        <v>2.22375</v>
      </c>
      <c r="M185" s="40"/>
      <c r="N185" s="40"/>
      <c r="O185" s="40"/>
      <c r="P185" s="39"/>
      <c r="Q185" s="39"/>
      <c r="R185" s="39"/>
      <c r="S185" s="39"/>
      <c r="T185" s="39"/>
      <c r="V185">
        <f>IF(Tabela3[[#This Row],[Pago]]&lt;&gt;"",IF(F186="",Tabela3[[#This Row],[Saldo]],0))</f>
        <v>0</v>
      </c>
    </row>
    <row r="186" spans="1:22" x14ac:dyDescent="0.25">
      <c r="A186" t="s">
        <v>116</v>
      </c>
      <c r="B186" s="37">
        <v>50</v>
      </c>
      <c r="C186" t="str">
        <f>_xlfn.XLOOKUP(B186,'Centro de Custo'!A$2:A$45,'Centro de Custo'!B$2:B$45)</f>
        <v>Empréstimos</v>
      </c>
      <c r="E186" s="39">
        <v>-40000</v>
      </c>
      <c r="F186" s="40" t="s">
        <v>10</v>
      </c>
      <c r="G186" s="41">
        <v>45266</v>
      </c>
      <c r="H186" s="42">
        <f>YEAR(Tabela3[[#This Row],[Data]])</f>
        <v>2023</v>
      </c>
      <c r="I186" s="42" t="str">
        <f>_xlfn.XLOOKUP(J186,'Centro de Custo'!J$2:J$13,'Centro de Custo'!K$2:K$13)</f>
        <v>Dezembro</v>
      </c>
      <c r="J186" s="43">
        <f>MONTH(Tabela3[[#This Row],[Data]])</f>
        <v>12</v>
      </c>
      <c r="K186" s="39">
        <f>SUM(E$3:Tabela3[[#This Row],[Valor]])</f>
        <v>69374.05999999976</v>
      </c>
      <c r="L186" s="40">
        <f t="shared" si="2"/>
        <v>2.22375</v>
      </c>
      <c r="M186" s="40"/>
      <c r="N186" s="40"/>
      <c r="O186" s="40"/>
      <c r="P186" s="39"/>
      <c r="Q186" s="39"/>
      <c r="R186" s="39"/>
      <c r="S186" s="39"/>
      <c r="T186" s="39"/>
      <c r="V186">
        <f>IF(Tabela3[[#This Row],[Pago]]&lt;&gt;"",IF(F187="",Tabela3[[#This Row],[Saldo]],0))</f>
        <v>0</v>
      </c>
    </row>
    <row r="187" spans="1:22" x14ac:dyDescent="0.25">
      <c r="A187" t="s">
        <v>51</v>
      </c>
      <c r="B187" s="37">
        <v>41</v>
      </c>
      <c r="C187" t="str">
        <f>_xlfn.XLOOKUP(B187,'Centro de Custo'!A$2:A$45,'Centro de Custo'!B$2:B$45)</f>
        <v>Resgate Financeiro</v>
      </c>
      <c r="E187" s="39">
        <v>401000</v>
      </c>
      <c r="F187" s="40" t="s">
        <v>10</v>
      </c>
      <c r="G187" s="41">
        <v>45271</v>
      </c>
      <c r="H187" s="42">
        <f>YEAR(Tabela3[[#This Row],[Data]])</f>
        <v>2023</v>
      </c>
      <c r="I187" s="42" t="str">
        <f>_xlfn.XLOOKUP(J187,'Centro de Custo'!J$2:J$13,'Centro de Custo'!K$2:K$13)</f>
        <v>Dezembro</v>
      </c>
      <c r="J187" s="43">
        <f>MONTH(Tabela3[[#This Row],[Data]])</f>
        <v>12</v>
      </c>
      <c r="K187" s="39">
        <f>SUM(E$3:Tabela3[[#This Row],[Valor]])</f>
        <v>470374.05999999976</v>
      </c>
      <c r="L187" s="40">
        <f t="shared" si="2"/>
        <v>2.22375</v>
      </c>
      <c r="M187" s="40"/>
      <c r="N187" s="40"/>
      <c r="O187" s="40"/>
      <c r="P187" s="39"/>
      <c r="Q187" s="39"/>
      <c r="R187" s="39"/>
      <c r="S187" s="39"/>
      <c r="T187" s="39"/>
      <c r="V187">
        <f>IF(Tabela3[[#This Row],[Pago]]&lt;&gt;"",IF(F188="",Tabela3[[#This Row],[Saldo]],0))</f>
        <v>0</v>
      </c>
    </row>
    <row r="188" spans="1:22" x14ac:dyDescent="0.25">
      <c r="A188" t="s">
        <v>138</v>
      </c>
      <c r="B188" s="37">
        <v>3</v>
      </c>
      <c r="C188" t="str">
        <f>_xlfn.XLOOKUP(B188,'Centro de Custo'!A$2:A$45,'Centro de Custo'!B$2:B$45)</f>
        <v>Investimentos</v>
      </c>
      <c r="E188" s="39">
        <v>-4400</v>
      </c>
      <c r="F188" s="40" t="s">
        <v>10</v>
      </c>
      <c r="G188" s="41">
        <v>45271</v>
      </c>
      <c r="H188" s="42">
        <f>YEAR(Tabela3[[#This Row],[Data]])</f>
        <v>2023</v>
      </c>
      <c r="I188" s="42" t="str">
        <f>_xlfn.XLOOKUP(J188,'Centro de Custo'!J$2:J$13,'Centro de Custo'!K$2:K$13)</f>
        <v>Dezembro</v>
      </c>
      <c r="J188" s="43">
        <f>MONTH(Tabela3[[#This Row],[Data]])</f>
        <v>12</v>
      </c>
      <c r="K188" s="39">
        <f>SUM(E$3:Tabela3[[#This Row],[Valor]])</f>
        <v>465974.05999999976</v>
      </c>
      <c r="L188" s="40">
        <f t="shared" si="2"/>
        <v>2.22375</v>
      </c>
      <c r="M188" s="40"/>
      <c r="N188" s="40"/>
      <c r="O188" s="40"/>
      <c r="P188" s="39"/>
      <c r="Q188" s="39"/>
      <c r="R188" s="39"/>
      <c r="S188" s="39"/>
      <c r="T188" s="39"/>
      <c r="V188">
        <f>IF(Tabela3[[#This Row],[Pago]]&lt;&gt;"",IF(F189="",Tabela3[[#This Row],[Saldo]],0))</f>
        <v>0</v>
      </c>
    </row>
    <row r="189" spans="1:22" x14ac:dyDescent="0.25">
      <c r="A189" t="s">
        <v>139</v>
      </c>
      <c r="B189" s="37">
        <v>12</v>
      </c>
      <c r="C189" t="str">
        <f>_xlfn.XLOOKUP(B189,'Centro de Custo'!A$2:A$45,'Centro de Custo'!B$2:B$45)</f>
        <v>Direitos Autorais Terceiros</v>
      </c>
      <c r="E189" s="39">
        <v>-25000</v>
      </c>
      <c r="F189" s="40" t="s">
        <v>10</v>
      </c>
      <c r="G189" s="41">
        <v>45271</v>
      </c>
      <c r="H189" s="42">
        <f>YEAR(Tabela3[[#This Row],[Data]])</f>
        <v>2023</v>
      </c>
      <c r="I189" s="42" t="str">
        <f>_xlfn.XLOOKUP(J189,'Centro de Custo'!J$2:J$13,'Centro de Custo'!K$2:K$13)</f>
        <v>Dezembro</v>
      </c>
      <c r="J189" s="43">
        <f>MONTH(Tabela3[[#This Row],[Data]])</f>
        <v>12</v>
      </c>
      <c r="K189" s="39">
        <f>SUM(E$3:Tabela3[[#This Row],[Valor]])</f>
        <v>440974.05999999976</v>
      </c>
      <c r="L189" s="40">
        <f t="shared" si="2"/>
        <v>2.22375</v>
      </c>
      <c r="M189" s="40"/>
      <c r="N189" s="40"/>
      <c r="O189" s="40"/>
      <c r="P189" s="39"/>
      <c r="Q189" s="39"/>
      <c r="R189" s="39"/>
      <c r="S189" s="39"/>
      <c r="T189" s="39"/>
      <c r="V189">
        <f>IF(Tabela3[[#This Row],[Pago]]&lt;&gt;"",IF(F190="",Tabela3[[#This Row],[Saldo]],0))</f>
        <v>0</v>
      </c>
    </row>
    <row r="190" spans="1:22" x14ac:dyDescent="0.25">
      <c r="A190" t="s">
        <v>140</v>
      </c>
      <c r="B190" s="37">
        <v>12</v>
      </c>
      <c r="C190" t="str">
        <f>_xlfn.XLOOKUP(B190,'Centro de Custo'!A$2:A$45,'Centro de Custo'!B$2:B$45)</f>
        <v>Direitos Autorais Terceiros</v>
      </c>
      <c r="E190" s="39">
        <v>-25000</v>
      </c>
      <c r="F190" s="40" t="s">
        <v>10</v>
      </c>
      <c r="G190" s="41">
        <v>45271</v>
      </c>
      <c r="H190" s="42">
        <f>YEAR(Tabela3[[#This Row],[Data]])</f>
        <v>2023</v>
      </c>
      <c r="I190" s="42" t="str">
        <f>_xlfn.XLOOKUP(J190,'Centro de Custo'!J$2:J$13,'Centro de Custo'!K$2:K$13)</f>
        <v>Dezembro</v>
      </c>
      <c r="J190" s="43">
        <f>MONTH(Tabela3[[#This Row],[Data]])</f>
        <v>12</v>
      </c>
      <c r="K190" s="39">
        <f>SUM(E$3:Tabela3[[#This Row],[Valor]])</f>
        <v>415974.05999999976</v>
      </c>
      <c r="L190" s="40">
        <f t="shared" si="2"/>
        <v>2.22375</v>
      </c>
      <c r="M190" s="40"/>
      <c r="N190" s="40"/>
      <c r="O190" s="40"/>
      <c r="P190" s="39"/>
      <c r="Q190" s="39"/>
      <c r="R190" s="39"/>
      <c r="S190" s="39"/>
      <c r="T190" s="39"/>
      <c r="V190">
        <f>IF(Tabela3[[#This Row],[Pago]]&lt;&gt;"",IF(F191="",Tabela3[[#This Row],[Saldo]],0))</f>
        <v>0</v>
      </c>
    </row>
    <row r="191" spans="1:22" x14ac:dyDescent="0.25">
      <c r="A191" t="s">
        <v>141</v>
      </c>
      <c r="B191" s="37">
        <v>12</v>
      </c>
      <c r="C191" t="str">
        <f>_xlfn.XLOOKUP(B191,'Centro de Custo'!A$2:A$45,'Centro de Custo'!B$2:B$45)</f>
        <v>Direitos Autorais Terceiros</v>
      </c>
      <c r="E191" s="39">
        <v>-23800</v>
      </c>
      <c r="F191" s="40" t="s">
        <v>10</v>
      </c>
      <c r="G191" s="41">
        <v>45272</v>
      </c>
      <c r="H191" s="42">
        <f>YEAR(Tabela3[[#This Row],[Data]])</f>
        <v>2023</v>
      </c>
      <c r="I191" s="42" t="str">
        <f>_xlfn.XLOOKUP(J191,'Centro de Custo'!J$2:J$13,'Centro de Custo'!K$2:K$13)</f>
        <v>Dezembro</v>
      </c>
      <c r="J191" s="43">
        <f>MONTH(Tabela3[[#This Row],[Data]])</f>
        <v>12</v>
      </c>
      <c r="K191" s="39">
        <f>SUM(E$3:Tabela3[[#This Row],[Valor]])</f>
        <v>392174.05999999976</v>
      </c>
      <c r="L191" s="40">
        <f t="shared" si="2"/>
        <v>2.22375</v>
      </c>
      <c r="M191" s="40"/>
      <c r="N191" s="40"/>
      <c r="O191" s="40"/>
      <c r="P191" s="39"/>
      <c r="Q191" s="39"/>
      <c r="R191" s="39"/>
      <c r="S191" s="39"/>
      <c r="T191" s="39"/>
      <c r="V191">
        <f>IF(Tabela3[[#This Row],[Pago]]&lt;&gt;"",IF(F192="",Tabela3[[#This Row],[Saldo]],0))</f>
        <v>0</v>
      </c>
    </row>
    <row r="192" spans="1:22" x14ac:dyDescent="0.25">
      <c r="A192" t="s">
        <v>141</v>
      </c>
      <c r="B192" s="37">
        <v>12</v>
      </c>
      <c r="C192" t="str">
        <f>_xlfn.XLOOKUP(B192,'Centro de Custo'!A$2:A$45,'Centro de Custo'!B$2:B$45)</f>
        <v>Direitos Autorais Terceiros</v>
      </c>
      <c r="E192" s="39">
        <v>-27500</v>
      </c>
      <c r="F192" s="40" t="s">
        <v>10</v>
      </c>
      <c r="G192" s="41">
        <v>45272</v>
      </c>
      <c r="H192" s="42">
        <f>YEAR(Tabela3[[#This Row],[Data]])</f>
        <v>2023</v>
      </c>
      <c r="I192" s="42" t="str">
        <f>_xlfn.XLOOKUP(J192,'Centro de Custo'!J$2:J$13,'Centro de Custo'!K$2:K$13)</f>
        <v>Dezembro</v>
      </c>
      <c r="J192" s="43">
        <f>MONTH(Tabela3[[#This Row],[Data]])</f>
        <v>12</v>
      </c>
      <c r="K192" s="39">
        <f>SUM(E$3:Tabela3[[#This Row],[Valor]])</f>
        <v>364674.05999999976</v>
      </c>
      <c r="L192" s="40">
        <f t="shared" si="2"/>
        <v>2.22375</v>
      </c>
      <c r="M192" s="40"/>
      <c r="N192" s="40"/>
      <c r="O192" s="40"/>
      <c r="P192" s="39"/>
      <c r="Q192" s="39"/>
      <c r="R192" s="39"/>
      <c r="S192" s="39"/>
      <c r="T192" s="39"/>
      <c r="V192">
        <f>IF(Tabela3[[#This Row],[Pago]]&lt;&gt;"",IF(F193="",Tabela3[[#This Row],[Saldo]],0))</f>
        <v>0</v>
      </c>
    </row>
    <row r="193" spans="1:22" x14ac:dyDescent="0.25">
      <c r="A193" t="s">
        <v>141</v>
      </c>
      <c r="B193" s="37">
        <v>12</v>
      </c>
      <c r="C193" t="str">
        <f>_xlfn.XLOOKUP(B193,'Centro de Custo'!A$2:A$45,'Centro de Custo'!B$2:B$45)</f>
        <v>Direitos Autorais Terceiros</v>
      </c>
      <c r="E193" s="39">
        <v>-27500</v>
      </c>
      <c r="F193" s="40" t="s">
        <v>10</v>
      </c>
      <c r="G193" s="41">
        <v>45272</v>
      </c>
      <c r="H193" s="42">
        <f>YEAR(Tabela3[[#This Row],[Data]])</f>
        <v>2023</v>
      </c>
      <c r="I193" s="42" t="str">
        <f>_xlfn.XLOOKUP(J193,'Centro de Custo'!J$2:J$13,'Centro de Custo'!K$2:K$13)</f>
        <v>Dezembro</v>
      </c>
      <c r="J193" s="43">
        <f>MONTH(Tabela3[[#This Row],[Data]])</f>
        <v>12</v>
      </c>
      <c r="K193" s="39">
        <f>SUM(E$3:Tabela3[[#This Row],[Valor]])</f>
        <v>337174.05999999976</v>
      </c>
      <c r="L193" s="40">
        <f t="shared" si="2"/>
        <v>2.22375</v>
      </c>
      <c r="M193" s="40"/>
      <c r="N193" s="40"/>
      <c r="O193" s="40"/>
      <c r="P193" s="39"/>
      <c r="Q193" s="39"/>
      <c r="R193" s="39"/>
      <c r="S193" s="39"/>
      <c r="T193" s="39"/>
      <c r="V193">
        <f>IF(Tabela3[[#This Row],[Pago]]&lt;&gt;"",IF(F194="",Tabela3[[#This Row],[Saldo]],0))</f>
        <v>0</v>
      </c>
    </row>
    <row r="194" spans="1:22" x14ac:dyDescent="0.25">
      <c r="A194" t="s">
        <v>51</v>
      </c>
      <c r="B194" s="37">
        <v>41</v>
      </c>
      <c r="C194" t="str">
        <f>_xlfn.XLOOKUP(B194,'Centro de Custo'!A$2:A$45,'Centro de Custo'!B$2:B$45)</f>
        <v>Resgate Financeiro</v>
      </c>
      <c r="E194" s="39">
        <v>100000</v>
      </c>
      <c r="F194" s="40" t="s">
        <v>10</v>
      </c>
      <c r="G194" s="41">
        <v>45273</v>
      </c>
      <c r="H194" s="42">
        <f>YEAR(Tabela3[[#This Row],[Data]])</f>
        <v>2023</v>
      </c>
      <c r="I194" s="42" t="str">
        <f>_xlfn.XLOOKUP(J194,'Centro de Custo'!J$2:J$13,'Centro de Custo'!K$2:K$13)</f>
        <v>Dezembro</v>
      </c>
      <c r="J194" s="43">
        <f>MONTH(Tabela3[[#This Row],[Data]])</f>
        <v>12</v>
      </c>
      <c r="K194" s="39">
        <f>SUM(E$3:Tabela3[[#This Row],[Valor]])</f>
        <v>437174.05999999976</v>
      </c>
      <c r="L194" s="40">
        <f t="shared" si="2"/>
        <v>2.22375</v>
      </c>
      <c r="M194" s="40"/>
      <c r="N194" s="40"/>
      <c r="O194" s="40"/>
      <c r="P194" s="39"/>
      <c r="Q194" s="39"/>
      <c r="R194" s="39"/>
      <c r="S194" s="39"/>
      <c r="T194" s="39"/>
      <c r="V194">
        <f>IF(Tabela3[[#This Row],[Pago]]&lt;&gt;"",IF(F195="",Tabela3[[#This Row],[Saldo]],0))</f>
        <v>0</v>
      </c>
    </row>
    <row r="195" spans="1:22" x14ac:dyDescent="0.25">
      <c r="A195" t="s">
        <v>142</v>
      </c>
      <c r="B195" s="37">
        <v>13</v>
      </c>
      <c r="C195" t="str">
        <f>_xlfn.XLOOKUP(B195,'Centro de Custo'!A$2:A$45,'Centro de Custo'!B$2:B$45)</f>
        <v>Terceirizados</v>
      </c>
      <c r="E195" s="39">
        <v>-4500</v>
      </c>
      <c r="F195" s="40" t="s">
        <v>10</v>
      </c>
      <c r="G195" s="41">
        <v>45273</v>
      </c>
      <c r="H195" s="42">
        <f>YEAR(Tabela3[[#This Row],[Data]])</f>
        <v>2023</v>
      </c>
      <c r="I195" s="42" t="str">
        <f>_xlfn.XLOOKUP(J195,'Centro de Custo'!J$2:J$13,'Centro de Custo'!K$2:K$13)</f>
        <v>Dezembro</v>
      </c>
      <c r="J195" s="43">
        <f>MONTH(Tabela3[[#This Row],[Data]])</f>
        <v>12</v>
      </c>
      <c r="K195" s="39">
        <f>SUM(E$3:Tabela3[[#This Row],[Valor]])</f>
        <v>432674.05999999976</v>
      </c>
      <c r="L195" s="40">
        <f t="shared" ref="L195:L258" si="3">17.79/8</f>
        <v>2.22375</v>
      </c>
      <c r="M195" s="40"/>
      <c r="N195" s="40"/>
      <c r="O195" s="40"/>
      <c r="P195" s="39"/>
      <c r="Q195" s="39"/>
      <c r="R195" s="39"/>
      <c r="S195" s="39"/>
      <c r="T195" s="39"/>
      <c r="V195">
        <f>IF(Tabela3[[#This Row],[Pago]]&lt;&gt;"",IF(F196="",Tabela3[[#This Row],[Saldo]],0))</f>
        <v>0</v>
      </c>
    </row>
    <row r="196" spans="1:22" x14ac:dyDescent="0.25">
      <c r="A196" t="s">
        <v>143</v>
      </c>
      <c r="B196" s="37">
        <v>30</v>
      </c>
      <c r="C196" t="str">
        <f>_xlfn.XLOOKUP(B196,'Centro de Custo'!A$2:A$45,'Centro de Custo'!B$2:B$45)</f>
        <v>Impostos</v>
      </c>
      <c r="E196" s="39">
        <v>-7312.5</v>
      </c>
      <c r="F196" s="40" t="s">
        <v>10</v>
      </c>
      <c r="G196" s="41">
        <v>45273</v>
      </c>
      <c r="H196" s="42">
        <f>YEAR(Tabela3[[#This Row],[Data]])</f>
        <v>2023</v>
      </c>
      <c r="I196" s="42" t="str">
        <f>_xlfn.XLOOKUP(J196,'Centro de Custo'!J$2:J$13,'Centro de Custo'!K$2:K$13)</f>
        <v>Dezembro</v>
      </c>
      <c r="J196" s="43">
        <f>MONTH(Tabela3[[#This Row],[Data]])</f>
        <v>12</v>
      </c>
      <c r="K196" s="39">
        <f>SUM(E$3:Tabela3[[#This Row],[Valor]])</f>
        <v>425361.55999999976</v>
      </c>
      <c r="L196" s="40">
        <f t="shared" si="3"/>
        <v>2.22375</v>
      </c>
      <c r="M196" s="40"/>
      <c r="N196" s="40"/>
      <c r="O196" s="40"/>
      <c r="P196" s="39"/>
      <c r="Q196" s="39"/>
      <c r="R196" s="39"/>
      <c r="S196" s="39"/>
      <c r="T196" s="39"/>
      <c r="V196">
        <f>IF(Tabela3[[#This Row],[Pago]]&lt;&gt;"",IF(F197="",Tabela3[[#This Row],[Saldo]],0))</f>
        <v>0</v>
      </c>
    </row>
    <row r="197" spans="1:22" x14ac:dyDescent="0.25">
      <c r="A197" t="s">
        <v>144</v>
      </c>
      <c r="B197" s="37">
        <v>12</v>
      </c>
      <c r="C197" t="str">
        <f>_xlfn.XLOOKUP(B197,'Centro de Custo'!A$2:A$45,'Centro de Custo'!B$2:B$45)</f>
        <v>Direitos Autorais Terceiros</v>
      </c>
      <c r="E197" s="39">
        <v>-27500</v>
      </c>
      <c r="F197" s="40" t="s">
        <v>10</v>
      </c>
      <c r="G197" s="41">
        <v>45273</v>
      </c>
      <c r="H197" s="42">
        <f>YEAR(Tabela3[[#This Row],[Data]])</f>
        <v>2023</v>
      </c>
      <c r="I197" s="42" t="str">
        <f>_xlfn.XLOOKUP(J197,'Centro de Custo'!J$2:J$13,'Centro de Custo'!K$2:K$13)</f>
        <v>Dezembro</v>
      </c>
      <c r="J197" s="43">
        <f>MONTH(Tabela3[[#This Row],[Data]])</f>
        <v>12</v>
      </c>
      <c r="K197" s="39">
        <f>SUM(E$3:Tabela3[[#This Row],[Valor]])</f>
        <v>397861.55999999976</v>
      </c>
      <c r="L197" s="40">
        <f t="shared" si="3"/>
        <v>2.22375</v>
      </c>
      <c r="M197" s="40"/>
      <c r="N197" s="40"/>
      <c r="O197" s="40"/>
      <c r="P197" s="39"/>
      <c r="Q197" s="39"/>
      <c r="R197" s="39"/>
      <c r="S197" s="39"/>
      <c r="T197" s="39"/>
      <c r="V197">
        <f>IF(Tabela3[[#This Row],[Pago]]&lt;&gt;"",IF(F198="",Tabela3[[#This Row],[Saldo]],0))</f>
        <v>0</v>
      </c>
    </row>
    <row r="198" spans="1:22" x14ac:dyDescent="0.25">
      <c r="A198" t="s">
        <v>145</v>
      </c>
      <c r="B198" s="37">
        <v>12</v>
      </c>
      <c r="C198" t="str">
        <f>_xlfn.XLOOKUP(B198,'Centro de Custo'!A$2:A$45,'Centro de Custo'!B$2:B$45)</f>
        <v>Direitos Autorais Terceiros</v>
      </c>
      <c r="E198" s="39">
        <v>-50000</v>
      </c>
      <c r="F198" s="40" t="s">
        <v>10</v>
      </c>
      <c r="G198" s="41">
        <v>45273</v>
      </c>
      <c r="H198" s="42">
        <f>YEAR(Tabela3[[#This Row],[Data]])</f>
        <v>2023</v>
      </c>
      <c r="I198" s="42" t="str">
        <f>_xlfn.XLOOKUP(J198,'Centro de Custo'!J$2:J$13,'Centro de Custo'!K$2:K$13)</f>
        <v>Dezembro</v>
      </c>
      <c r="J198" s="43">
        <f>MONTH(Tabela3[[#This Row],[Data]])</f>
        <v>12</v>
      </c>
      <c r="K198" s="39">
        <f>SUM(E$3:Tabela3[[#This Row],[Valor]])</f>
        <v>347861.55999999976</v>
      </c>
      <c r="L198" s="40">
        <f t="shared" si="3"/>
        <v>2.22375</v>
      </c>
      <c r="M198" s="40"/>
      <c r="N198" s="40"/>
      <c r="O198" s="40"/>
      <c r="P198" s="39"/>
      <c r="Q198" s="39"/>
      <c r="R198" s="39"/>
      <c r="S198" s="39"/>
      <c r="T198" s="39"/>
      <c r="V198">
        <f>IF(Tabela3[[#This Row],[Pago]]&lt;&gt;"",IF(F199="",Tabela3[[#This Row],[Saldo]],0))</f>
        <v>0</v>
      </c>
    </row>
    <row r="199" spans="1:22" x14ac:dyDescent="0.25">
      <c r="A199" t="s">
        <v>146</v>
      </c>
      <c r="B199" s="37">
        <v>50</v>
      </c>
      <c r="C199" t="str">
        <f>_xlfn.XLOOKUP(B199,'Centro de Custo'!A$2:A$45,'Centro de Custo'!B$2:B$45)</f>
        <v>Empréstimos</v>
      </c>
      <c r="E199" s="39">
        <v>-50000</v>
      </c>
      <c r="F199" s="40" t="s">
        <v>10</v>
      </c>
      <c r="G199" s="41">
        <v>45273</v>
      </c>
      <c r="H199" s="42">
        <f>YEAR(Tabela3[[#This Row],[Data]])</f>
        <v>2023</v>
      </c>
      <c r="I199" s="42" t="str">
        <f>_xlfn.XLOOKUP(J199,'Centro de Custo'!J$2:J$13,'Centro de Custo'!K$2:K$13)</f>
        <v>Dezembro</v>
      </c>
      <c r="J199" s="43">
        <f>MONTH(Tabela3[[#This Row],[Data]])</f>
        <v>12</v>
      </c>
      <c r="K199" s="39">
        <f>SUM(E$3:Tabela3[[#This Row],[Valor]])</f>
        <v>297861.55999999976</v>
      </c>
      <c r="L199" s="40">
        <f t="shared" si="3"/>
        <v>2.22375</v>
      </c>
      <c r="M199" s="40"/>
      <c r="N199" s="40"/>
      <c r="O199" s="40"/>
      <c r="P199" s="39"/>
      <c r="Q199" s="39"/>
      <c r="R199" s="39"/>
      <c r="S199" s="39"/>
      <c r="T199" s="39"/>
      <c r="V199">
        <f>IF(Tabela3[[#This Row],[Pago]]&lt;&gt;"",IF(F200="",Tabela3[[#This Row],[Saldo]],0))</f>
        <v>0</v>
      </c>
    </row>
    <row r="200" spans="1:22" x14ac:dyDescent="0.25">
      <c r="A200" t="s">
        <v>147</v>
      </c>
      <c r="B200" s="37">
        <v>12</v>
      </c>
      <c r="C200" t="str">
        <f>_xlfn.XLOOKUP(B200,'Centro de Custo'!A$2:A$45,'Centro de Custo'!B$2:B$45)</f>
        <v>Direitos Autorais Terceiros</v>
      </c>
      <c r="E200" s="39">
        <v>-100000</v>
      </c>
      <c r="F200" s="40" t="s">
        <v>10</v>
      </c>
      <c r="G200" s="41">
        <v>45273</v>
      </c>
      <c r="H200" s="42">
        <f>YEAR(Tabela3[[#This Row],[Data]])</f>
        <v>2023</v>
      </c>
      <c r="I200" s="42" t="str">
        <f>_xlfn.XLOOKUP(J200,'Centro de Custo'!J$2:J$13,'Centro de Custo'!K$2:K$13)</f>
        <v>Dezembro</v>
      </c>
      <c r="J200" s="43">
        <f>MONTH(Tabela3[[#This Row],[Data]])</f>
        <v>12</v>
      </c>
      <c r="K200" s="39">
        <f>SUM(E$3:Tabela3[[#This Row],[Valor]])</f>
        <v>197861.55999999976</v>
      </c>
      <c r="L200" s="40">
        <f t="shared" si="3"/>
        <v>2.22375</v>
      </c>
      <c r="M200" s="40"/>
      <c r="N200" s="40"/>
      <c r="O200" s="40"/>
      <c r="P200" s="39"/>
      <c r="Q200" s="39"/>
      <c r="R200" s="39"/>
      <c r="S200" s="39"/>
      <c r="T200" s="39"/>
      <c r="V200">
        <f>IF(Tabela3[[#This Row],[Pago]]&lt;&gt;"",IF(F201="",Tabela3[[#This Row],[Saldo]],0))</f>
        <v>0</v>
      </c>
    </row>
    <row r="201" spans="1:22" x14ac:dyDescent="0.25">
      <c r="A201" t="s">
        <v>148</v>
      </c>
      <c r="B201" s="37">
        <v>13</v>
      </c>
      <c r="C201" t="str">
        <f>_xlfn.XLOOKUP(B201,'Centro de Custo'!A$2:A$45,'Centro de Custo'!B$2:B$45)</f>
        <v>Terceirizados</v>
      </c>
      <c r="E201" s="39">
        <v>-125450</v>
      </c>
      <c r="F201" s="40" t="s">
        <v>10</v>
      </c>
      <c r="G201" s="41">
        <v>45273</v>
      </c>
      <c r="H201" s="42">
        <f>YEAR(Tabela3[[#This Row],[Data]])</f>
        <v>2023</v>
      </c>
      <c r="I201" s="42" t="str">
        <f>_xlfn.XLOOKUP(J201,'Centro de Custo'!J$2:J$13,'Centro de Custo'!K$2:K$13)</f>
        <v>Dezembro</v>
      </c>
      <c r="J201" s="43">
        <f>MONTH(Tabela3[[#This Row],[Data]])</f>
        <v>12</v>
      </c>
      <c r="K201" s="39">
        <f>SUM(E$3:Tabela3[[#This Row],[Valor]])</f>
        <v>72411.55999999976</v>
      </c>
      <c r="L201" s="40">
        <f t="shared" si="3"/>
        <v>2.22375</v>
      </c>
      <c r="M201" s="40"/>
      <c r="N201" s="40"/>
      <c r="O201" s="40"/>
      <c r="P201" s="39"/>
      <c r="Q201" s="39"/>
      <c r="R201" s="39"/>
      <c r="S201" s="39"/>
      <c r="T201" s="39"/>
      <c r="V201">
        <f>IF(Tabela3[[#This Row],[Pago]]&lt;&gt;"",IF(F202="",Tabela3[[#This Row],[Saldo]],0))</f>
        <v>0</v>
      </c>
    </row>
    <row r="202" spans="1:22" x14ac:dyDescent="0.25">
      <c r="A202" t="s">
        <v>149</v>
      </c>
      <c r="B202" s="37">
        <v>20</v>
      </c>
      <c r="C202" t="str">
        <f>_xlfn.XLOOKUP(B202,'Centro de Custo'!A$2:A$45,'Centro de Custo'!B$2:B$45)</f>
        <v>Desp. ADM</v>
      </c>
      <c r="E202" s="39">
        <v>-455</v>
      </c>
      <c r="F202" s="40" t="s">
        <v>10</v>
      </c>
      <c r="G202" s="41">
        <v>45274</v>
      </c>
      <c r="H202" s="42">
        <f>YEAR(Tabela3[[#This Row],[Data]])</f>
        <v>2023</v>
      </c>
      <c r="I202" s="42" t="str">
        <f>_xlfn.XLOOKUP(J202,'Centro de Custo'!J$2:J$13,'Centro de Custo'!K$2:K$13)</f>
        <v>Dezembro</v>
      </c>
      <c r="J202" s="43">
        <f>MONTH(Tabela3[[#This Row],[Data]])</f>
        <v>12</v>
      </c>
      <c r="K202" s="39">
        <f>SUM(E$3:Tabela3[[#This Row],[Valor]])</f>
        <v>71956.55999999976</v>
      </c>
      <c r="L202" s="40">
        <f t="shared" si="3"/>
        <v>2.22375</v>
      </c>
      <c r="M202" s="40"/>
      <c r="N202" s="40"/>
      <c r="O202" s="40"/>
      <c r="P202" s="39"/>
      <c r="Q202" s="39"/>
      <c r="R202" s="39"/>
      <c r="S202" s="39"/>
      <c r="T202" s="39"/>
      <c r="V202">
        <f>IF(Tabela3[[#This Row],[Pago]]&lt;&gt;"",IF(F203="",Tabela3[[#This Row],[Saldo]],0))</f>
        <v>0</v>
      </c>
    </row>
    <row r="203" spans="1:22" x14ac:dyDescent="0.25">
      <c r="A203" t="s">
        <v>55</v>
      </c>
      <c r="B203" s="37">
        <v>10</v>
      </c>
      <c r="C203" t="str">
        <f>_xlfn.XLOOKUP(B203,'Centro de Custo'!A$2:A$45,'Centro de Custo'!B$2:B$45)</f>
        <v>Retirada Mensal</v>
      </c>
      <c r="E203" s="39">
        <v>-500</v>
      </c>
      <c r="F203" s="40" t="s">
        <v>10</v>
      </c>
      <c r="G203" s="41">
        <v>45274</v>
      </c>
      <c r="H203" s="42">
        <f>YEAR(Tabela3[[#This Row],[Data]])</f>
        <v>2023</v>
      </c>
      <c r="I203" s="42" t="str">
        <f>_xlfn.XLOOKUP(J203,'Centro de Custo'!J$2:J$13,'Centro de Custo'!K$2:K$13)</f>
        <v>Dezembro</v>
      </c>
      <c r="J203" s="43">
        <f>MONTH(Tabela3[[#This Row],[Data]])</f>
        <v>12</v>
      </c>
      <c r="K203" s="39">
        <f>SUM(E$3:Tabela3[[#This Row],[Valor]])</f>
        <v>71456.55999999976</v>
      </c>
      <c r="L203" s="40">
        <f t="shared" si="3"/>
        <v>2.22375</v>
      </c>
      <c r="M203" s="40"/>
      <c r="N203" s="40"/>
      <c r="O203" s="40"/>
      <c r="P203" s="39"/>
      <c r="Q203" s="39"/>
      <c r="R203" s="39"/>
      <c r="S203" s="39"/>
      <c r="T203" s="39"/>
      <c r="V203">
        <f>IF(Tabela3[[#This Row],[Pago]]&lt;&gt;"",IF(F204="",Tabela3[[#This Row],[Saldo]],0))</f>
        <v>0</v>
      </c>
    </row>
    <row r="204" spans="1:22" x14ac:dyDescent="0.25">
      <c r="A204" t="s">
        <v>150</v>
      </c>
      <c r="B204" s="37">
        <v>13</v>
      </c>
      <c r="C204" t="str">
        <f>_xlfn.XLOOKUP(B204,'Centro de Custo'!A$2:A$45,'Centro de Custo'!B$2:B$45)</f>
        <v>Terceirizados</v>
      </c>
      <c r="E204" s="39">
        <v>-700</v>
      </c>
      <c r="F204" s="40" t="s">
        <v>10</v>
      </c>
      <c r="G204" s="41">
        <v>45274</v>
      </c>
      <c r="H204" s="42">
        <f>YEAR(Tabela3[[#This Row],[Data]])</f>
        <v>2023</v>
      </c>
      <c r="I204" s="42" t="str">
        <f>_xlfn.XLOOKUP(J204,'Centro de Custo'!J$2:J$13,'Centro de Custo'!K$2:K$13)</f>
        <v>Dezembro</v>
      </c>
      <c r="J204" s="43">
        <f>MONTH(Tabela3[[#This Row],[Data]])</f>
        <v>12</v>
      </c>
      <c r="K204" s="39">
        <f>SUM(E$3:Tabela3[[#This Row],[Valor]])</f>
        <v>70756.55999999976</v>
      </c>
      <c r="L204" s="40">
        <f t="shared" si="3"/>
        <v>2.22375</v>
      </c>
      <c r="M204" s="40"/>
      <c r="N204" s="40"/>
      <c r="O204" s="40"/>
      <c r="P204" s="39"/>
      <c r="Q204" s="39"/>
      <c r="R204" s="39"/>
      <c r="S204" s="39"/>
      <c r="T204" s="39"/>
      <c r="V204">
        <f>IF(Tabela3[[#This Row],[Pago]]&lt;&gt;"",IF(F205="",Tabela3[[#This Row],[Saldo]],0))</f>
        <v>0</v>
      </c>
    </row>
    <row r="205" spans="1:22" x14ac:dyDescent="0.25">
      <c r="A205" t="s">
        <v>151</v>
      </c>
      <c r="B205" s="37">
        <v>13</v>
      </c>
      <c r="C205" t="str">
        <f>_xlfn.XLOOKUP(B205,'Centro de Custo'!A$2:A$45,'Centro de Custo'!B$2:B$45)</f>
        <v>Terceirizados</v>
      </c>
      <c r="E205" s="39">
        <v>-5000</v>
      </c>
      <c r="F205" s="40" t="s">
        <v>10</v>
      </c>
      <c r="G205" s="41">
        <v>45274</v>
      </c>
      <c r="H205" s="42">
        <f>YEAR(Tabela3[[#This Row],[Data]])</f>
        <v>2023</v>
      </c>
      <c r="I205" s="42" t="str">
        <f>_xlfn.XLOOKUP(J205,'Centro de Custo'!J$2:J$13,'Centro de Custo'!K$2:K$13)</f>
        <v>Dezembro</v>
      </c>
      <c r="J205" s="43">
        <f>MONTH(Tabela3[[#This Row],[Data]])</f>
        <v>12</v>
      </c>
      <c r="K205" s="39">
        <f>SUM(E$3:Tabela3[[#This Row],[Valor]])</f>
        <v>65756.55999999976</v>
      </c>
      <c r="L205" s="40">
        <f t="shared" si="3"/>
        <v>2.22375</v>
      </c>
      <c r="M205" s="40"/>
      <c r="N205" s="40"/>
      <c r="O205" s="40"/>
      <c r="P205" s="39"/>
      <c r="Q205" s="39"/>
      <c r="R205" s="39"/>
      <c r="S205" s="39"/>
      <c r="T205" s="39"/>
      <c r="V205">
        <f>IF(Tabela3[[#This Row],[Pago]]&lt;&gt;"",IF(F206="",Tabela3[[#This Row],[Saldo]],0))</f>
        <v>0</v>
      </c>
    </row>
    <row r="206" spans="1:22" x14ac:dyDescent="0.25">
      <c r="A206" t="s">
        <v>152</v>
      </c>
      <c r="B206" s="37">
        <v>13</v>
      </c>
      <c r="C206" t="str">
        <f>_xlfn.XLOOKUP(B206,'Centro de Custo'!A$2:A$45,'Centro de Custo'!B$2:B$45)</f>
        <v>Terceirizados</v>
      </c>
      <c r="E206" s="39">
        <v>-5500</v>
      </c>
      <c r="F206" s="40" t="s">
        <v>10</v>
      </c>
      <c r="G206" s="41">
        <v>45274</v>
      </c>
      <c r="H206" s="42">
        <f>YEAR(Tabela3[[#This Row],[Data]])</f>
        <v>2023</v>
      </c>
      <c r="I206" s="42" t="str">
        <f>_xlfn.XLOOKUP(J206,'Centro de Custo'!J$2:J$13,'Centro de Custo'!K$2:K$13)</f>
        <v>Dezembro</v>
      </c>
      <c r="J206" s="43">
        <f>MONTH(Tabela3[[#This Row],[Data]])</f>
        <v>12</v>
      </c>
      <c r="K206" s="39">
        <f>SUM(E$3:Tabela3[[#This Row],[Valor]])</f>
        <v>60256.559999999765</v>
      </c>
      <c r="L206" s="40">
        <f t="shared" si="3"/>
        <v>2.22375</v>
      </c>
      <c r="M206" s="40"/>
      <c r="N206" s="40"/>
      <c r="O206" s="40"/>
      <c r="P206" s="39"/>
      <c r="Q206" s="39"/>
      <c r="R206" s="39"/>
      <c r="S206" s="39"/>
      <c r="T206" s="39"/>
      <c r="V206">
        <f>IF(Tabela3[[#This Row],[Pago]]&lt;&gt;"",IF(F207="",Tabela3[[#This Row],[Saldo]],0))</f>
        <v>0</v>
      </c>
    </row>
    <row r="207" spans="1:22" x14ac:dyDescent="0.25">
      <c r="A207" t="s">
        <v>153</v>
      </c>
      <c r="B207" s="37">
        <v>13</v>
      </c>
      <c r="C207" t="str">
        <f>_xlfn.XLOOKUP(B207,'Centro de Custo'!A$2:A$45,'Centro de Custo'!B$2:B$45)</f>
        <v>Terceirizados</v>
      </c>
      <c r="E207" s="39">
        <v>-12500</v>
      </c>
      <c r="F207" s="40" t="s">
        <v>10</v>
      </c>
      <c r="G207" s="41">
        <v>45274</v>
      </c>
      <c r="H207" s="42">
        <f>YEAR(Tabela3[[#This Row],[Data]])</f>
        <v>2023</v>
      </c>
      <c r="I207" s="42" t="str">
        <f>_xlfn.XLOOKUP(J207,'Centro de Custo'!J$2:J$13,'Centro de Custo'!K$2:K$13)</f>
        <v>Dezembro</v>
      </c>
      <c r="J207" s="43">
        <f>MONTH(Tabela3[[#This Row],[Data]])</f>
        <v>12</v>
      </c>
      <c r="K207" s="39">
        <f>SUM(E$3:Tabela3[[#This Row],[Valor]])</f>
        <v>47756.559999999765</v>
      </c>
      <c r="L207" s="40">
        <f t="shared" si="3"/>
        <v>2.22375</v>
      </c>
      <c r="M207" s="40"/>
      <c r="N207" s="40"/>
      <c r="O207" s="40"/>
      <c r="P207" s="39"/>
      <c r="Q207" s="39"/>
      <c r="R207" s="39"/>
      <c r="S207" s="39"/>
      <c r="T207" s="39"/>
      <c r="V207">
        <f>IF(Tabela3[[#This Row],[Pago]]&lt;&gt;"",IF(F208="",Tabela3[[#This Row],[Saldo]],0))</f>
        <v>0</v>
      </c>
    </row>
    <row r="208" spans="1:22" x14ac:dyDescent="0.25">
      <c r="A208" t="s">
        <v>113</v>
      </c>
      <c r="B208" s="37">
        <v>3</v>
      </c>
      <c r="C208" t="str">
        <f>_xlfn.XLOOKUP(B208,'Centro de Custo'!A$2:A$45,'Centro de Custo'!B$2:B$45)</f>
        <v>Investimentos</v>
      </c>
      <c r="E208" s="39">
        <v>-40000</v>
      </c>
      <c r="F208" s="40" t="s">
        <v>10</v>
      </c>
      <c r="G208" s="41">
        <v>45281</v>
      </c>
      <c r="H208" s="42">
        <f>YEAR(Tabela3[[#This Row],[Data]])</f>
        <v>2023</v>
      </c>
      <c r="I208" s="42" t="str">
        <f>_xlfn.XLOOKUP(J208,'Centro de Custo'!J$2:J$13,'Centro de Custo'!K$2:K$13)</f>
        <v>Dezembro</v>
      </c>
      <c r="J208" s="43">
        <f>MONTH(Tabela3[[#This Row],[Data]])</f>
        <v>12</v>
      </c>
      <c r="K208" s="39">
        <f>SUM(E$3:Tabela3[[#This Row],[Valor]])</f>
        <v>7756.559999999765</v>
      </c>
      <c r="L208" s="40">
        <f t="shared" si="3"/>
        <v>2.22375</v>
      </c>
      <c r="M208" s="40"/>
      <c r="N208" s="40"/>
      <c r="O208" s="40"/>
      <c r="P208" s="39"/>
      <c r="Q208" s="39"/>
      <c r="R208" s="39"/>
      <c r="S208" s="39"/>
      <c r="T208" s="39"/>
      <c r="V208">
        <f>IF(Tabela3[[#This Row],[Pago]]&lt;&gt;"",IF(F209="",Tabela3[[#This Row],[Saldo]],0))</f>
        <v>0</v>
      </c>
    </row>
    <row r="209" spans="1:22" x14ac:dyDescent="0.25">
      <c r="A209" t="s">
        <v>154</v>
      </c>
      <c r="B209" s="37">
        <v>13</v>
      </c>
      <c r="C209" t="str">
        <f>_xlfn.XLOOKUP(B209,'Centro de Custo'!A$2:A$45,'Centro de Custo'!B$2:B$45)</f>
        <v>Terceirizados</v>
      </c>
      <c r="E209" s="39">
        <v>-6000</v>
      </c>
      <c r="F209" s="40" t="s">
        <v>10</v>
      </c>
      <c r="G209" s="41">
        <v>45282</v>
      </c>
      <c r="H209" s="42">
        <f>YEAR(Tabela3[[#This Row],[Data]])</f>
        <v>2023</v>
      </c>
      <c r="I209" s="42" t="str">
        <f>_xlfn.XLOOKUP(J209,'Centro de Custo'!J$2:J$13,'Centro de Custo'!K$2:K$13)</f>
        <v>Dezembro</v>
      </c>
      <c r="J209" s="43">
        <f>MONTH(Tabela3[[#This Row],[Data]])</f>
        <v>12</v>
      </c>
      <c r="K209" s="39">
        <f>SUM(E$3:Tabela3[[#This Row],[Valor]])</f>
        <v>1756.5599999997648</v>
      </c>
      <c r="L209" s="40">
        <f t="shared" si="3"/>
        <v>2.22375</v>
      </c>
      <c r="M209" s="40"/>
      <c r="N209" s="40"/>
      <c r="O209" s="40"/>
      <c r="P209" s="39"/>
      <c r="Q209" s="39"/>
      <c r="R209" s="39"/>
      <c r="S209" s="39"/>
      <c r="T209" s="39"/>
      <c r="V209">
        <f>IF(Tabela3[[#This Row],[Pago]]&lt;&gt;"",IF(F210="",Tabela3[[#This Row],[Saldo]],0))</f>
        <v>0</v>
      </c>
    </row>
    <row r="210" spans="1:22" x14ac:dyDescent="0.25">
      <c r="A210" t="s">
        <v>70</v>
      </c>
      <c r="B210" s="37">
        <v>20</v>
      </c>
      <c r="C210" t="str">
        <f>_xlfn.XLOOKUP(B210,'Centro de Custo'!A$2:A$45,'Centro de Custo'!B$2:B$45)</f>
        <v>Desp. ADM</v>
      </c>
      <c r="E210" s="39">
        <v>-25.85</v>
      </c>
      <c r="F210" s="40" t="s">
        <v>10</v>
      </c>
      <c r="G210" s="41">
        <v>45286</v>
      </c>
      <c r="H210" s="42">
        <f>YEAR(Tabela3[[#This Row],[Data]])</f>
        <v>2023</v>
      </c>
      <c r="I210" s="42" t="str">
        <f>_xlfn.XLOOKUP(J210,'Centro de Custo'!J$2:J$13,'Centro de Custo'!K$2:K$13)</f>
        <v>Dezembro</v>
      </c>
      <c r="J210" s="43">
        <f>MONTH(Tabela3[[#This Row],[Data]])</f>
        <v>12</v>
      </c>
      <c r="K210" s="39">
        <f>SUM(E$3:Tabela3[[#This Row],[Valor]])</f>
        <v>1730.709999999765</v>
      </c>
      <c r="L210" s="40">
        <f t="shared" si="3"/>
        <v>2.22375</v>
      </c>
      <c r="M210" s="40"/>
      <c r="N210" s="40"/>
      <c r="O210" s="40"/>
      <c r="P210" s="39"/>
      <c r="Q210" s="39"/>
      <c r="R210" s="39"/>
      <c r="S210" s="39"/>
      <c r="T210" s="39"/>
      <c r="V210">
        <f>IF(Tabela3[[#This Row],[Pago]]&lt;&gt;"",IF(F211="",Tabela3[[#This Row],[Saldo]],0))</f>
        <v>0</v>
      </c>
    </row>
    <row r="211" spans="1:22" x14ac:dyDescent="0.25">
      <c r="A211" t="s">
        <v>155</v>
      </c>
      <c r="B211" s="37">
        <v>50</v>
      </c>
      <c r="C211" t="str">
        <f>_xlfn.XLOOKUP(B211,'Centro de Custo'!A$2:A$45,'Centro de Custo'!B$2:B$45)</f>
        <v>Empréstimos</v>
      </c>
      <c r="E211" s="39">
        <v>200000</v>
      </c>
      <c r="F211" s="40" t="s">
        <v>10</v>
      </c>
      <c r="G211" s="41">
        <v>45287</v>
      </c>
      <c r="H211" s="42">
        <f>YEAR(Tabela3[[#This Row],[Data]])</f>
        <v>2023</v>
      </c>
      <c r="I211" s="42" t="str">
        <f>_xlfn.XLOOKUP(J211,'Centro de Custo'!J$2:J$13,'Centro de Custo'!K$2:K$13)</f>
        <v>Dezembro</v>
      </c>
      <c r="J211" s="43">
        <f>MONTH(Tabela3[[#This Row],[Data]])</f>
        <v>12</v>
      </c>
      <c r="K211" s="39">
        <f>SUM(E$3:Tabela3[[#This Row],[Valor]])</f>
        <v>201730.70999999976</v>
      </c>
      <c r="L211" s="40">
        <f t="shared" si="3"/>
        <v>2.22375</v>
      </c>
      <c r="M211" s="40"/>
      <c r="N211" s="40"/>
      <c r="O211" s="40"/>
      <c r="P211" s="39"/>
      <c r="Q211" s="39"/>
      <c r="R211" s="39"/>
      <c r="S211" s="39"/>
      <c r="T211" s="39"/>
      <c r="V211">
        <f>IF(Tabela3[[#This Row],[Pago]]&lt;&gt;"",IF(F212="",Tabela3[[#This Row],[Saldo]],0))</f>
        <v>0</v>
      </c>
    </row>
    <row r="212" spans="1:22" x14ac:dyDescent="0.25">
      <c r="A212" t="s">
        <v>156</v>
      </c>
      <c r="B212" s="37">
        <v>13</v>
      </c>
      <c r="C212" t="str">
        <f>_xlfn.XLOOKUP(B212,'Centro de Custo'!A$2:A$45,'Centro de Custo'!B$2:B$45)</f>
        <v>Terceirizados</v>
      </c>
      <c r="D212" t="s">
        <v>72</v>
      </c>
      <c r="E212" s="39">
        <v>-30000</v>
      </c>
      <c r="F212" s="40" t="s">
        <v>10</v>
      </c>
      <c r="G212" s="41">
        <v>45287</v>
      </c>
      <c r="H212" s="42">
        <f>YEAR(Tabela3[[#This Row],[Data]])</f>
        <v>2023</v>
      </c>
      <c r="I212" s="42" t="str">
        <f>_xlfn.XLOOKUP(J212,'Centro de Custo'!J$2:J$13,'Centro de Custo'!K$2:K$13)</f>
        <v>Dezembro</v>
      </c>
      <c r="J212" s="43">
        <f>MONTH(Tabela3[[#This Row],[Data]])</f>
        <v>12</v>
      </c>
      <c r="K212" s="39">
        <f>SUM(E$3:Tabela3[[#This Row],[Valor]])</f>
        <v>171730.70999999976</v>
      </c>
      <c r="L212" s="40">
        <f t="shared" si="3"/>
        <v>2.22375</v>
      </c>
      <c r="M212" s="40"/>
      <c r="N212" s="40"/>
      <c r="O212" s="40"/>
      <c r="P212" s="39"/>
      <c r="Q212" s="39"/>
      <c r="R212" s="39"/>
      <c r="S212" s="39"/>
      <c r="T212" s="39"/>
      <c r="V212">
        <f>IF(Tabela3[[#This Row],[Pago]]&lt;&gt;"",IF(F213="",Tabela3[[#This Row],[Saldo]],0))</f>
        <v>0</v>
      </c>
    </row>
    <row r="213" spans="1:22" x14ac:dyDescent="0.25">
      <c r="A213" t="s">
        <v>157</v>
      </c>
      <c r="B213" s="37">
        <v>41</v>
      </c>
      <c r="C213" t="str">
        <f>_xlfn.XLOOKUP(B213,'Centro de Custo'!A$2:A$45,'Centro de Custo'!B$2:B$45)</f>
        <v>Resgate Financeiro</v>
      </c>
      <c r="E213" s="39">
        <v>0.02</v>
      </c>
      <c r="F213" s="40" t="s">
        <v>10</v>
      </c>
      <c r="G213" s="41">
        <v>45289</v>
      </c>
      <c r="H213" s="42">
        <f>YEAR(Tabela3[[#This Row],[Data]])</f>
        <v>2023</v>
      </c>
      <c r="I213" s="42" t="str">
        <f>_xlfn.XLOOKUP(J213,'Centro de Custo'!J$2:J$13,'Centro de Custo'!K$2:K$13)</f>
        <v>Dezembro</v>
      </c>
      <c r="J213" s="43">
        <f>MONTH(Tabela3[[#This Row],[Data]])</f>
        <v>12</v>
      </c>
      <c r="K213" s="39">
        <f>SUM(E$3:Tabela3[[#This Row],[Valor]])</f>
        <v>171730.72999999975</v>
      </c>
      <c r="L213" s="40">
        <f t="shared" si="3"/>
        <v>2.22375</v>
      </c>
      <c r="M213" s="40"/>
      <c r="N213" s="40"/>
      <c r="O213" s="40"/>
      <c r="P213" s="39"/>
      <c r="Q213" s="39"/>
      <c r="R213" s="39"/>
      <c r="S213" s="39"/>
      <c r="T213" s="39"/>
      <c r="V213">
        <f>IF(Tabela3[[#This Row],[Pago]]&lt;&gt;"",IF(F214="",Tabela3[[#This Row],[Saldo]],0))</f>
        <v>0</v>
      </c>
    </row>
    <row r="214" spans="1:22" x14ac:dyDescent="0.25">
      <c r="A214" t="s">
        <v>154</v>
      </c>
      <c r="B214" s="37">
        <v>13</v>
      </c>
      <c r="C214" t="str">
        <f>_xlfn.XLOOKUP(B214,'Centro de Custo'!A$2:A$45,'Centro de Custo'!B$2:B$45)</f>
        <v>Terceirizados</v>
      </c>
      <c r="E214" s="39">
        <v>-4000</v>
      </c>
      <c r="F214" s="40" t="s">
        <v>10</v>
      </c>
      <c r="G214" s="41">
        <v>45289</v>
      </c>
      <c r="H214" s="42">
        <f>YEAR(Tabela3[[#This Row],[Data]])</f>
        <v>2023</v>
      </c>
      <c r="I214" s="42" t="str">
        <f>_xlfn.XLOOKUP(J214,'Centro de Custo'!J$2:J$13,'Centro de Custo'!K$2:K$13)</f>
        <v>Dezembro</v>
      </c>
      <c r="J214" s="43">
        <f>MONTH(Tabela3[[#This Row],[Data]])</f>
        <v>12</v>
      </c>
      <c r="K214" s="39">
        <f>SUM(E$3:Tabela3[[#This Row],[Valor]])</f>
        <v>167730.72999999975</v>
      </c>
      <c r="L214" s="40">
        <f t="shared" si="3"/>
        <v>2.22375</v>
      </c>
      <c r="M214" s="40"/>
      <c r="N214" s="40"/>
      <c r="O214" s="40"/>
      <c r="P214" s="39"/>
      <c r="Q214" s="39"/>
      <c r="R214" s="39"/>
      <c r="S214" s="39"/>
      <c r="T214" s="39"/>
      <c r="V214">
        <f>IF(Tabela3[[#This Row],[Pago]]&lt;&gt;"",IF(F215="",Tabela3[[#This Row],[Saldo]],0))</f>
        <v>0</v>
      </c>
    </row>
    <row r="215" spans="1:22" x14ac:dyDescent="0.25">
      <c r="A215" t="s">
        <v>113</v>
      </c>
      <c r="B215" s="37">
        <v>3</v>
      </c>
      <c r="C215" t="str">
        <f>_xlfn.XLOOKUP(B215,'Centro de Custo'!A$2:A$45,'Centro de Custo'!B$2:B$45)</f>
        <v>Investimentos</v>
      </c>
      <c r="E215" s="39">
        <v>-30000</v>
      </c>
      <c r="F215" s="40" t="s">
        <v>10</v>
      </c>
      <c r="G215" s="41">
        <v>45289</v>
      </c>
      <c r="H215" s="42">
        <f>YEAR(Tabela3[[#This Row],[Data]])</f>
        <v>2023</v>
      </c>
      <c r="I215" s="42" t="str">
        <f>_xlfn.XLOOKUP(J215,'Centro de Custo'!J$2:J$13,'Centro de Custo'!K$2:K$13)</f>
        <v>Dezembro</v>
      </c>
      <c r="J215" s="43">
        <f>MONTH(Tabela3[[#This Row],[Data]])</f>
        <v>12</v>
      </c>
      <c r="K215" s="39">
        <f>SUM(E$3:Tabela3[[#This Row],[Valor]])</f>
        <v>137730.72999999975</v>
      </c>
      <c r="L215" s="40">
        <f t="shared" si="3"/>
        <v>2.22375</v>
      </c>
      <c r="M215" s="40"/>
      <c r="N215" s="40"/>
      <c r="O215" s="40"/>
      <c r="P215" s="39"/>
      <c r="Q215" s="39"/>
      <c r="R215" s="39"/>
      <c r="S215" s="39"/>
      <c r="T215" s="39"/>
      <c r="V215">
        <f>IF(Tabela3[[#This Row],[Pago]]&lt;&gt;"",IF(F216="",Tabela3[[#This Row],[Saldo]],0))</f>
        <v>0</v>
      </c>
    </row>
    <row r="216" spans="1:22" x14ac:dyDescent="0.25">
      <c r="A216" t="s">
        <v>134</v>
      </c>
      <c r="B216" s="37">
        <v>13</v>
      </c>
      <c r="C216" t="str">
        <f>_xlfn.XLOOKUP(B216,'Centro de Custo'!A$2:A$45,'Centro de Custo'!B$2:B$45)</f>
        <v>Terceirizados</v>
      </c>
      <c r="E216" s="39">
        <v>-5000</v>
      </c>
      <c r="F216" s="40" t="s">
        <v>10</v>
      </c>
      <c r="G216" s="41">
        <v>45293</v>
      </c>
      <c r="H216" s="42">
        <f>YEAR(Tabela3[[#This Row],[Data]])</f>
        <v>2024</v>
      </c>
      <c r="I216" s="42" t="str">
        <f>_xlfn.XLOOKUP(J216,'Centro de Custo'!J$2:J$13,'Centro de Custo'!K$2:K$13)</f>
        <v>Janeiro</v>
      </c>
      <c r="J216" s="43">
        <f>MONTH(Tabela3[[#This Row],[Data]])</f>
        <v>1</v>
      </c>
      <c r="K216" s="39">
        <f>SUM(E$3:Tabela3[[#This Row],[Valor]])</f>
        <v>132730.72999999975</v>
      </c>
      <c r="L216" s="40">
        <f t="shared" si="3"/>
        <v>2.22375</v>
      </c>
      <c r="M216" s="40"/>
      <c r="N216" s="40"/>
      <c r="O216" s="40"/>
      <c r="P216" s="39"/>
      <c r="Q216" s="39"/>
      <c r="R216" s="39"/>
      <c r="S216" s="39"/>
      <c r="T216" s="39"/>
      <c r="V216">
        <f>IF(Tabela3[[#This Row],[Pago]]&lt;&gt;"",IF(F217="",Tabela3[[#This Row],[Saldo]],0))</f>
        <v>0</v>
      </c>
    </row>
    <row r="217" spans="1:22" x14ac:dyDescent="0.25">
      <c r="A217" t="s">
        <v>158</v>
      </c>
      <c r="B217" s="37">
        <v>13</v>
      </c>
      <c r="C217" t="str">
        <f>_xlfn.XLOOKUP(B217,'Centro de Custo'!A$2:A$45,'Centro de Custo'!B$2:B$45)</f>
        <v>Terceirizados</v>
      </c>
      <c r="E217" s="39">
        <v>-7000</v>
      </c>
      <c r="F217" s="40" t="s">
        <v>10</v>
      </c>
      <c r="G217" s="41">
        <v>45293</v>
      </c>
      <c r="H217" s="42">
        <f>YEAR(Tabela3[[#This Row],[Data]])</f>
        <v>2024</v>
      </c>
      <c r="I217" s="42" t="str">
        <f>_xlfn.XLOOKUP(J217,'Centro de Custo'!J$2:J$13,'Centro de Custo'!K$2:K$13)</f>
        <v>Janeiro</v>
      </c>
      <c r="J217" s="43">
        <f>MONTH(Tabela3[[#This Row],[Data]])</f>
        <v>1</v>
      </c>
      <c r="K217" s="39">
        <f>SUM(E$3:Tabela3[[#This Row],[Valor]])</f>
        <v>125730.72999999975</v>
      </c>
      <c r="L217" s="40">
        <f t="shared" si="3"/>
        <v>2.22375</v>
      </c>
      <c r="M217" s="40"/>
      <c r="N217" s="40"/>
      <c r="O217" s="40"/>
      <c r="P217" s="39"/>
      <c r="Q217" s="39"/>
      <c r="R217" s="39"/>
      <c r="S217" s="39"/>
      <c r="T217" s="39"/>
      <c r="V217">
        <f>IF(Tabela3[[#This Row],[Pago]]&lt;&gt;"",IF(F218="",Tabela3[[#This Row],[Saldo]],0))</f>
        <v>0</v>
      </c>
    </row>
    <row r="218" spans="1:22" x14ac:dyDescent="0.25">
      <c r="A218" t="s">
        <v>159</v>
      </c>
      <c r="B218" s="37">
        <v>13</v>
      </c>
      <c r="C218" t="str">
        <f>_xlfn.XLOOKUP(B218,'Centro de Custo'!A$2:A$45,'Centro de Custo'!B$2:B$45)</f>
        <v>Terceirizados</v>
      </c>
      <c r="E218" s="39">
        <v>-7000</v>
      </c>
      <c r="F218" s="40" t="s">
        <v>10</v>
      </c>
      <c r="G218" s="41">
        <v>45293</v>
      </c>
      <c r="H218" s="42">
        <f>YEAR(Tabela3[[#This Row],[Data]])</f>
        <v>2024</v>
      </c>
      <c r="I218" s="42" t="str">
        <f>_xlfn.XLOOKUP(J218,'Centro de Custo'!J$2:J$13,'Centro de Custo'!K$2:K$13)</f>
        <v>Janeiro</v>
      </c>
      <c r="J218" s="43">
        <f>MONTH(Tabela3[[#This Row],[Data]])</f>
        <v>1</v>
      </c>
      <c r="K218" s="39">
        <f>SUM(E$3:Tabela3[[#This Row],[Valor]])</f>
        <v>118730.72999999975</v>
      </c>
      <c r="L218" s="40">
        <f t="shared" si="3"/>
        <v>2.22375</v>
      </c>
      <c r="M218" s="40"/>
      <c r="N218" s="40"/>
      <c r="O218" s="40"/>
      <c r="P218" s="39"/>
      <c r="Q218" s="39"/>
      <c r="R218" s="39"/>
      <c r="S218" s="39"/>
      <c r="T218" s="39"/>
      <c r="V218">
        <f>IF(Tabela3[[#This Row],[Pago]]&lt;&gt;"",IF(F219="",Tabela3[[#This Row],[Saldo]],0))</f>
        <v>0</v>
      </c>
    </row>
    <row r="219" spans="1:22" x14ac:dyDescent="0.25">
      <c r="A219" t="s">
        <v>160</v>
      </c>
      <c r="B219" s="37">
        <v>13</v>
      </c>
      <c r="C219" t="str">
        <f>_xlfn.XLOOKUP(B219,'Centro de Custo'!A$2:A$45,'Centro de Custo'!B$2:B$45)</f>
        <v>Terceirizados</v>
      </c>
      <c r="E219" s="39">
        <v>-7000</v>
      </c>
      <c r="F219" s="40" t="s">
        <v>10</v>
      </c>
      <c r="G219" s="41">
        <v>45293</v>
      </c>
      <c r="H219" s="42">
        <f>YEAR(Tabela3[[#This Row],[Data]])</f>
        <v>2024</v>
      </c>
      <c r="I219" s="42" t="str">
        <f>_xlfn.XLOOKUP(J219,'Centro de Custo'!J$2:J$13,'Centro de Custo'!K$2:K$13)</f>
        <v>Janeiro</v>
      </c>
      <c r="J219" s="43">
        <f>MONTH(Tabela3[[#This Row],[Data]])</f>
        <v>1</v>
      </c>
      <c r="K219" s="39">
        <f>SUM(E$3:Tabela3[[#This Row],[Valor]])</f>
        <v>111730.72999999975</v>
      </c>
      <c r="L219" s="40">
        <f t="shared" si="3"/>
        <v>2.22375</v>
      </c>
      <c r="M219" s="40"/>
      <c r="N219" s="40"/>
      <c r="O219" s="40"/>
      <c r="P219" s="39"/>
      <c r="Q219" s="39"/>
      <c r="R219" s="39"/>
      <c r="S219" s="39"/>
      <c r="T219" s="39"/>
      <c r="V219">
        <f>IF(Tabela3[[#This Row],[Pago]]&lt;&gt;"",IF(F220="",Tabela3[[#This Row],[Saldo]],0))</f>
        <v>0</v>
      </c>
    </row>
    <row r="220" spans="1:22" x14ac:dyDescent="0.25">
      <c r="A220" t="s">
        <v>55</v>
      </c>
      <c r="B220" s="37">
        <v>10</v>
      </c>
      <c r="C220" t="str">
        <f>_xlfn.XLOOKUP(B220,'Centro de Custo'!A$2:A$45,'Centro de Custo'!B$2:B$45)</f>
        <v>Retirada Mensal</v>
      </c>
      <c r="E220" s="39">
        <v>-10000</v>
      </c>
      <c r="F220" s="40" t="s">
        <v>10</v>
      </c>
      <c r="G220" s="41">
        <v>45293</v>
      </c>
      <c r="H220" s="42">
        <f>YEAR(Tabela3[[#This Row],[Data]])</f>
        <v>2024</v>
      </c>
      <c r="I220" s="42" t="str">
        <f>_xlfn.XLOOKUP(J220,'Centro de Custo'!J$2:J$13,'Centro de Custo'!K$2:K$13)</f>
        <v>Janeiro</v>
      </c>
      <c r="J220" s="43">
        <f>MONTH(Tabela3[[#This Row],[Data]])</f>
        <v>1</v>
      </c>
      <c r="K220" s="39">
        <f>SUM(E$3:Tabela3[[#This Row],[Valor]])</f>
        <v>101730.72999999975</v>
      </c>
      <c r="L220" s="40">
        <f t="shared" si="3"/>
        <v>2.22375</v>
      </c>
      <c r="M220" s="40"/>
      <c r="N220" s="40"/>
      <c r="O220" s="40"/>
      <c r="P220" s="39"/>
      <c r="Q220" s="39"/>
      <c r="R220" s="39"/>
      <c r="S220" s="39"/>
      <c r="T220" s="39"/>
      <c r="V220">
        <f>IF(Tabela3[[#This Row],[Pago]]&lt;&gt;"",IF(F221="",Tabela3[[#This Row],[Saldo]],0))</f>
        <v>0</v>
      </c>
    </row>
    <row r="221" spans="1:22" x14ac:dyDescent="0.25">
      <c r="A221" t="s">
        <v>91</v>
      </c>
      <c r="B221" s="37">
        <v>10</v>
      </c>
      <c r="C221" t="str">
        <f>_xlfn.XLOOKUP(B221,'Centro de Custo'!A$2:A$45,'Centro de Custo'!B$2:B$45)</f>
        <v>Retirada Mensal</v>
      </c>
      <c r="E221" s="39">
        <v>-12000</v>
      </c>
      <c r="F221" s="40" t="s">
        <v>10</v>
      </c>
      <c r="G221" s="41">
        <v>45293</v>
      </c>
      <c r="H221" s="42">
        <f>YEAR(Tabela3[[#This Row],[Data]])</f>
        <v>2024</v>
      </c>
      <c r="I221" s="42" t="str">
        <f>_xlfn.XLOOKUP(J221,'Centro de Custo'!J$2:J$13,'Centro de Custo'!K$2:K$13)</f>
        <v>Janeiro</v>
      </c>
      <c r="J221" s="43">
        <f>MONTH(Tabela3[[#This Row],[Data]])</f>
        <v>1</v>
      </c>
      <c r="K221" s="39">
        <f>SUM(E$3:Tabela3[[#This Row],[Valor]])</f>
        <v>89730.72999999975</v>
      </c>
      <c r="L221" s="40">
        <f t="shared" si="3"/>
        <v>2.22375</v>
      </c>
      <c r="M221" s="40"/>
      <c r="N221" s="40"/>
      <c r="O221" s="40"/>
      <c r="P221" s="39"/>
      <c r="Q221" s="39"/>
      <c r="R221" s="39"/>
      <c r="S221" s="39"/>
      <c r="T221" s="39"/>
      <c r="V221">
        <f>IF(Tabela3[[#This Row],[Pago]]&lt;&gt;"",IF(F222="",Tabela3[[#This Row],[Saldo]],0))</f>
        <v>0</v>
      </c>
    </row>
    <row r="222" spans="1:22" x14ac:dyDescent="0.25">
      <c r="A222" t="s">
        <v>92</v>
      </c>
      <c r="B222" s="37">
        <v>10</v>
      </c>
      <c r="C222" t="str">
        <f>_xlfn.XLOOKUP(B222,'Centro de Custo'!A$2:A$45,'Centro de Custo'!B$2:B$45)</f>
        <v>Retirada Mensal</v>
      </c>
      <c r="E222" s="39">
        <v>-13000</v>
      </c>
      <c r="F222" s="40" t="s">
        <v>10</v>
      </c>
      <c r="G222" s="41">
        <v>45293</v>
      </c>
      <c r="H222" s="42">
        <f>YEAR(Tabela3[[#This Row],[Data]])</f>
        <v>2024</v>
      </c>
      <c r="I222" s="42" t="str">
        <f>_xlfn.XLOOKUP(J222,'Centro de Custo'!J$2:J$13,'Centro de Custo'!K$2:K$13)</f>
        <v>Janeiro</v>
      </c>
      <c r="J222" s="43">
        <f>MONTH(Tabela3[[#This Row],[Data]])</f>
        <v>1</v>
      </c>
      <c r="K222" s="39">
        <f>SUM(E$3:Tabela3[[#This Row],[Valor]])</f>
        <v>76730.72999999975</v>
      </c>
      <c r="L222" s="40">
        <f t="shared" si="3"/>
        <v>2.22375</v>
      </c>
      <c r="M222" s="40"/>
      <c r="N222" s="40"/>
      <c r="O222" s="40"/>
      <c r="P222" s="39"/>
      <c r="Q222" s="39"/>
      <c r="R222" s="39"/>
      <c r="S222" s="39"/>
      <c r="T222" s="39"/>
      <c r="V222">
        <f>IF(Tabela3[[#This Row],[Pago]]&lt;&gt;"",IF(F223="",Tabela3[[#This Row],[Saldo]],0))</f>
        <v>0</v>
      </c>
    </row>
    <row r="223" spans="1:22" x14ac:dyDescent="0.25">
      <c r="A223" t="s">
        <v>161</v>
      </c>
      <c r="B223" s="37">
        <v>13</v>
      </c>
      <c r="C223" t="str">
        <f>_xlfn.XLOOKUP(B223,'Centro de Custo'!A$2:A$45,'Centro de Custo'!B$2:B$45)</f>
        <v>Terceirizados</v>
      </c>
      <c r="E223" s="39">
        <v>-4000</v>
      </c>
      <c r="F223" s="40" t="s">
        <v>10</v>
      </c>
      <c r="G223" s="41">
        <v>45294</v>
      </c>
      <c r="H223" s="42">
        <f>YEAR(Tabela3[[#This Row],[Data]])</f>
        <v>2024</v>
      </c>
      <c r="I223" s="42" t="str">
        <f>_xlfn.XLOOKUP(J223,'Centro de Custo'!J$2:J$13,'Centro de Custo'!K$2:K$13)</f>
        <v>Janeiro</v>
      </c>
      <c r="J223" s="43">
        <f>MONTH(Tabela3[[#This Row],[Data]])</f>
        <v>1</v>
      </c>
      <c r="K223" s="39">
        <f>SUM(E$3:Tabela3[[#This Row],[Valor]])</f>
        <v>72730.72999999975</v>
      </c>
      <c r="L223" s="40">
        <f t="shared" si="3"/>
        <v>2.22375</v>
      </c>
      <c r="M223" s="40"/>
      <c r="N223" s="40"/>
      <c r="O223" s="40"/>
      <c r="P223" s="39"/>
      <c r="Q223" s="39"/>
      <c r="R223" s="39"/>
      <c r="S223" s="39"/>
      <c r="T223" s="39"/>
      <c r="V223">
        <f>IF(Tabela3[[#This Row],[Pago]]&lt;&gt;"",IF(F224="",Tabela3[[#This Row],[Saldo]],0))</f>
        <v>0</v>
      </c>
    </row>
    <row r="224" spans="1:22" x14ac:dyDescent="0.25">
      <c r="A224" t="s">
        <v>113</v>
      </c>
      <c r="B224" s="37">
        <v>3</v>
      </c>
      <c r="C224" t="str">
        <f>_xlfn.XLOOKUP(B224,'Centro de Custo'!A$2:A$45,'Centro de Custo'!B$2:B$45)</f>
        <v>Investimentos</v>
      </c>
      <c r="E224" s="39">
        <v>-30000</v>
      </c>
      <c r="F224" s="40" t="s">
        <v>10</v>
      </c>
      <c r="G224" s="41">
        <v>45294</v>
      </c>
      <c r="H224" s="42">
        <f>YEAR(Tabela3[[#This Row],[Data]])</f>
        <v>2024</v>
      </c>
      <c r="I224" s="42" t="str">
        <f>_xlfn.XLOOKUP(J224,'Centro de Custo'!J$2:J$13,'Centro de Custo'!K$2:K$13)</f>
        <v>Janeiro</v>
      </c>
      <c r="J224" s="43">
        <f>MONTH(Tabela3[[#This Row],[Data]])</f>
        <v>1</v>
      </c>
      <c r="K224" s="39">
        <f>SUM(E$3:Tabela3[[#This Row],[Valor]])</f>
        <v>42730.72999999975</v>
      </c>
      <c r="L224" s="40">
        <f t="shared" si="3"/>
        <v>2.22375</v>
      </c>
      <c r="M224" s="40"/>
      <c r="N224" s="40"/>
      <c r="O224" s="40"/>
      <c r="P224" s="39"/>
      <c r="Q224" s="39"/>
      <c r="R224" s="39"/>
      <c r="S224" s="39"/>
      <c r="T224" s="39"/>
      <c r="V224">
        <f>IF(Tabela3[[#This Row],[Pago]]&lt;&gt;"",IF(F225="",Tabela3[[#This Row],[Saldo]],0))</f>
        <v>0</v>
      </c>
    </row>
    <row r="225" spans="1:22" x14ac:dyDescent="0.25">
      <c r="A225" t="s">
        <v>123</v>
      </c>
      <c r="B225" s="37">
        <v>13</v>
      </c>
      <c r="C225" t="str">
        <f>_xlfn.XLOOKUP(B225,'Centro de Custo'!A$2:A$45,'Centro de Custo'!B$2:B$45)</f>
        <v>Terceirizados</v>
      </c>
      <c r="E225" s="39">
        <v>-5600</v>
      </c>
      <c r="F225" s="40" t="s">
        <v>10</v>
      </c>
      <c r="G225" s="41">
        <v>45295</v>
      </c>
      <c r="H225" s="42">
        <f>YEAR(Tabela3[[#This Row],[Data]])</f>
        <v>2024</v>
      </c>
      <c r="I225" s="42" t="str">
        <f>_xlfn.XLOOKUP(J225,'Centro de Custo'!J$2:J$13,'Centro de Custo'!K$2:K$13)</f>
        <v>Janeiro</v>
      </c>
      <c r="J225" s="43">
        <f>MONTH(Tabela3[[#This Row],[Data]])</f>
        <v>1</v>
      </c>
      <c r="K225" s="39">
        <f>SUM(E$3:Tabela3[[#This Row],[Valor]])</f>
        <v>37130.72999999975</v>
      </c>
      <c r="L225" s="40">
        <f t="shared" si="3"/>
        <v>2.22375</v>
      </c>
      <c r="M225" s="40"/>
      <c r="N225" s="40"/>
      <c r="O225" s="40"/>
      <c r="P225" s="39"/>
      <c r="Q225" s="39"/>
      <c r="R225" s="39"/>
      <c r="S225" s="39"/>
      <c r="T225" s="39"/>
      <c r="V225">
        <f>IF(Tabela3[[#This Row],[Pago]]&lt;&gt;"",IF(F226="",Tabela3[[#This Row],[Saldo]],0))</f>
        <v>0</v>
      </c>
    </row>
    <row r="226" spans="1:22" x14ac:dyDescent="0.25">
      <c r="A226" t="s">
        <v>162</v>
      </c>
      <c r="B226" s="37">
        <v>13</v>
      </c>
      <c r="C226" t="str">
        <f>_xlfn.XLOOKUP(B226,'Centro de Custo'!A$2:A$45,'Centro de Custo'!B$2:B$45)</f>
        <v>Terceirizados</v>
      </c>
      <c r="E226" s="39">
        <v>-7000</v>
      </c>
      <c r="F226" s="40" t="s">
        <v>10</v>
      </c>
      <c r="G226" s="41">
        <v>45295</v>
      </c>
      <c r="H226" s="42">
        <f>YEAR(Tabela3[[#This Row],[Data]])</f>
        <v>2024</v>
      </c>
      <c r="I226" s="42" t="str">
        <f>_xlfn.XLOOKUP(J226,'Centro de Custo'!J$2:J$13,'Centro de Custo'!K$2:K$13)</f>
        <v>Janeiro</v>
      </c>
      <c r="J226" s="43">
        <f>MONTH(Tabela3[[#This Row],[Data]])</f>
        <v>1</v>
      </c>
      <c r="K226" s="39">
        <f>SUM(E$3:Tabela3[[#This Row],[Valor]])</f>
        <v>30130.72999999975</v>
      </c>
      <c r="L226" s="40">
        <f t="shared" si="3"/>
        <v>2.22375</v>
      </c>
      <c r="M226" s="40"/>
      <c r="N226" s="40"/>
      <c r="O226" s="40"/>
      <c r="P226" s="39"/>
      <c r="Q226" s="39"/>
      <c r="R226" s="39"/>
      <c r="S226" s="39"/>
      <c r="T226" s="39"/>
      <c r="V226">
        <f>IF(Tabela3[[#This Row],[Pago]]&lt;&gt;"",IF(F227="",Tabela3[[#This Row],[Saldo]],0))</f>
        <v>0</v>
      </c>
    </row>
    <row r="227" spans="1:22" x14ac:dyDescent="0.25">
      <c r="A227" t="s">
        <v>163</v>
      </c>
      <c r="B227" s="37">
        <v>13</v>
      </c>
      <c r="C227" t="str">
        <f>_xlfn.XLOOKUP(B227,'Centro de Custo'!A$2:A$45,'Centro de Custo'!B$2:B$45)</f>
        <v>Terceirizados</v>
      </c>
      <c r="E227" s="39">
        <v>-7000</v>
      </c>
      <c r="F227" s="40" t="s">
        <v>10</v>
      </c>
      <c r="G227" s="41">
        <v>45295</v>
      </c>
      <c r="H227" s="42">
        <f>YEAR(Tabela3[[#This Row],[Data]])</f>
        <v>2024</v>
      </c>
      <c r="I227" s="42" t="str">
        <f>_xlfn.XLOOKUP(J227,'Centro de Custo'!J$2:J$13,'Centro de Custo'!K$2:K$13)</f>
        <v>Janeiro</v>
      </c>
      <c r="J227" s="43">
        <f>MONTH(Tabela3[[#This Row],[Data]])</f>
        <v>1</v>
      </c>
      <c r="K227" s="39">
        <f>SUM(E$3:Tabela3[[#This Row],[Valor]])</f>
        <v>23130.72999999975</v>
      </c>
      <c r="L227" s="40">
        <f t="shared" si="3"/>
        <v>2.22375</v>
      </c>
      <c r="M227" s="40"/>
      <c r="N227" s="40"/>
      <c r="O227" s="40"/>
      <c r="P227" s="39"/>
      <c r="Q227" s="39"/>
      <c r="R227" s="39"/>
      <c r="S227" s="39"/>
      <c r="T227" s="39"/>
      <c r="V227">
        <f>IF(Tabela3[[#This Row],[Pago]]&lt;&gt;"",IF(F228="",Tabela3[[#This Row],[Saldo]],0))</f>
        <v>0</v>
      </c>
    </row>
    <row r="228" spans="1:22" x14ac:dyDescent="0.25">
      <c r="A228" t="s">
        <v>58</v>
      </c>
      <c r="B228" s="37">
        <v>10</v>
      </c>
      <c r="C228" t="str">
        <f>_xlfn.XLOOKUP(B228,'Centro de Custo'!A$2:A$45,'Centro de Custo'!B$2:B$45)</f>
        <v>Retirada Mensal</v>
      </c>
      <c r="E228" s="39">
        <v>-10000</v>
      </c>
      <c r="F228" s="40" t="s">
        <v>10</v>
      </c>
      <c r="G228" s="41">
        <v>45295</v>
      </c>
      <c r="H228" s="42">
        <f>YEAR(Tabela3[[#This Row],[Data]])</f>
        <v>2024</v>
      </c>
      <c r="I228" s="42" t="str">
        <f>_xlfn.XLOOKUP(J228,'Centro de Custo'!J$2:J$13,'Centro de Custo'!K$2:K$13)</f>
        <v>Janeiro</v>
      </c>
      <c r="J228" s="43">
        <f>MONTH(Tabela3[[#This Row],[Data]])</f>
        <v>1</v>
      </c>
      <c r="K228" s="39">
        <f>SUM(E$3:Tabela3[[#This Row],[Valor]])</f>
        <v>13130.729999999749</v>
      </c>
      <c r="L228" s="40">
        <f t="shared" si="3"/>
        <v>2.22375</v>
      </c>
      <c r="M228" s="40"/>
      <c r="N228" s="40"/>
      <c r="O228" s="40"/>
      <c r="P228" s="39"/>
      <c r="Q228" s="39"/>
      <c r="R228" s="39"/>
      <c r="S228" s="39"/>
      <c r="T228" s="39"/>
      <c r="V228">
        <f>IF(Tabela3[[#This Row],[Pago]]&lt;&gt;"",IF(F229="",Tabela3[[#This Row],[Saldo]],0))</f>
        <v>0</v>
      </c>
    </row>
    <row r="229" spans="1:22" x14ac:dyDescent="0.25">
      <c r="A229" t="s">
        <v>104</v>
      </c>
      <c r="B229" s="37">
        <v>10</v>
      </c>
      <c r="C229" t="str">
        <f>_xlfn.XLOOKUP(B229,'Centro de Custo'!A$2:A$45,'Centro de Custo'!B$2:B$45)</f>
        <v>Retirada Mensal</v>
      </c>
      <c r="E229" s="39">
        <v>-10000</v>
      </c>
      <c r="F229" s="40" t="s">
        <v>10</v>
      </c>
      <c r="G229" s="41">
        <v>45295</v>
      </c>
      <c r="H229" s="42">
        <f>YEAR(Tabela3[[#This Row],[Data]])</f>
        <v>2024</v>
      </c>
      <c r="I229" s="42" t="str">
        <f>_xlfn.XLOOKUP(J229,'Centro de Custo'!J$2:J$13,'Centro de Custo'!K$2:K$13)</f>
        <v>Janeiro</v>
      </c>
      <c r="J229" s="43">
        <f>MONTH(Tabela3[[#This Row],[Data]])</f>
        <v>1</v>
      </c>
      <c r="K229" s="39">
        <f>SUM(E$3:Tabela3[[#This Row],[Valor]])</f>
        <v>3130.7299999997485</v>
      </c>
      <c r="L229" s="40">
        <f t="shared" si="3"/>
        <v>2.22375</v>
      </c>
      <c r="M229" s="40"/>
      <c r="N229" s="40"/>
      <c r="O229" s="40"/>
      <c r="P229" s="39"/>
      <c r="Q229" s="39"/>
      <c r="R229" s="39"/>
      <c r="S229" s="39"/>
      <c r="T229" s="39"/>
      <c r="V229">
        <f>IF(Tabela3[[#This Row],[Pago]]&lt;&gt;"",IF(F230="",Tabela3[[#This Row],[Saldo]],0))</f>
        <v>0</v>
      </c>
    </row>
    <row r="230" spans="1:22" x14ac:dyDescent="0.25">
      <c r="A230" t="s">
        <v>60</v>
      </c>
      <c r="B230" s="37">
        <v>20</v>
      </c>
      <c r="C230" t="str">
        <f>_xlfn.XLOOKUP(B230,'Centro de Custo'!A$2:A$45,'Centro de Custo'!B$2:B$45)</f>
        <v>Desp. ADM</v>
      </c>
      <c r="E230" s="39">
        <v>-478.09</v>
      </c>
      <c r="F230" s="40" t="s">
        <v>10</v>
      </c>
      <c r="G230" s="41">
        <v>45300</v>
      </c>
      <c r="H230" s="42">
        <f>YEAR(Tabela3[[#This Row],[Data]])</f>
        <v>2024</v>
      </c>
      <c r="I230" s="42" t="str">
        <f>_xlfn.XLOOKUP(J230,'Centro de Custo'!J$2:J$13,'Centro de Custo'!K$2:K$13)</f>
        <v>Janeiro</v>
      </c>
      <c r="J230" s="43">
        <f>MONTH(Tabela3[[#This Row],[Data]])</f>
        <v>1</v>
      </c>
      <c r="K230" s="39">
        <f>SUM(E$3:Tabela3[[#This Row],[Valor]])</f>
        <v>2652.6399999997484</v>
      </c>
      <c r="L230" s="40">
        <f t="shared" si="3"/>
        <v>2.22375</v>
      </c>
      <c r="M230" s="40"/>
      <c r="N230" s="40"/>
      <c r="O230" s="40"/>
      <c r="P230" s="39"/>
      <c r="Q230" s="39"/>
      <c r="R230" s="39"/>
      <c r="S230" s="39"/>
      <c r="T230" s="39"/>
      <c r="V230">
        <f>IF(Tabela3[[#This Row],[Pago]]&lt;&gt;"",IF(F231="",Tabela3[[#This Row],[Saldo]],0))</f>
        <v>0</v>
      </c>
    </row>
    <row r="231" spans="1:22" x14ac:dyDescent="0.25">
      <c r="A231" t="s">
        <v>164</v>
      </c>
      <c r="B231" s="37">
        <v>13</v>
      </c>
      <c r="C231" t="str">
        <f>_xlfn.XLOOKUP(B231,'Centro de Custo'!A$2:A$45,'Centro de Custo'!B$2:B$45)</f>
        <v>Terceirizados</v>
      </c>
      <c r="E231" s="39">
        <v>-1500</v>
      </c>
      <c r="F231" s="40" t="s">
        <v>10</v>
      </c>
      <c r="G231" s="41">
        <v>45300</v>
      </c>
      <c r="H231" s="42">
        <f>YEAR(Tabela3[[#This Row],[Data]])</f>
        <v>2024</v>
      </c>
      <c r="I231" s="42" t="str">
        <f>_xlfn.XLOOKUP(J231,'Centro de Custo'!J$2:J$13,'Centro de Custo'!K$2:K$13)</f>
        <v>Janeiro</v>
      </c>
      <c r="J231" s="43">
        <f>MONTH(Tabela3[[#This Row],[Data]])</f>
        <v>1</v>
      </c>
      <c r="K231" s="39">
        <f>SUM(E$3:Tabela3[[#This Row],[Valor]])</f>
        <v>1152.6399999997484</v>
      </c>
      <c r="L231" s="40">
        <f t="shared" si="3"/>
        <v>2.22375</v>
      </c>
      <c r="M231" s="40"/>
      <c r="N231" s="40"/>
      <c r="O231" s="40"/>
      <c r="P231" s="39"/>
      <c r="Q231" s="39"/>
      <c r="R231" s="39"/>
      <c r="S231" s="39"/>
      <c r="T231" s="39"/>
      <c r="V231">
        <f>IF(Tabela3[[#This Row],[Pago]]&lt;&gt;"",IF(F232="",Tabela3[[#This Row],[Saldo]],0))</f>
        <v>0</v>
      </c>
    </row>
    <row r="232" spans="1:22" x14ac:dyDescent="0.25">
      <c r="A232" t="s">
        <v>70</v>
      </c>
      <c r="B232" s="37">
        <v>20</v>
      </c>
      <c r="C232" t="str">
        <f>_xlfn.XLOOKUP(B232,'Centro de Custo'!A$2:A$45,'Centro de Custo'!B$2:B$45)</f>
        <v>Desp. ADM</v>
      </c>
      <c r="E232" s="39">
        <v>-25.85</v>
      </c>
      <c r="F232" s="40" t="s">
        <v>10</v>
      </c>
      <c r="G232" s="41">
        <v>45316</v>
      </c>
      <c r="H232" s="42">
        <f>YEAR(Tabela3[[#This Row],[Data]])</f>
        <v>2024</v>
      </c>
      <c r="I232" s="42" t="str">
        <f>_xlfn.XLOOKUP(J232,'Centro de Custo'!J$2:J$13,'Centro de Custo'!K$2:K$13)</f>
        <v>Janeiro</v>
      </c>
      <c r="J232" s="43">
        <f>MONTH(Tabela3[[#This Row],[Data]])</f>
        <v>1</v>
      </c>
      <c r="K232" s="39">
        <f>SUM(E$3:Tabela3[[#This Row],[Valor]])</f>
        <v>1126.7899999997485</v>
      </c>
      <c r="L232" s="40">
        <f t="shared" si="3"/>
        <v>2.22375</v>
      </c>
      <c r="M232" s="40"/>
      <c r="N232" s="40"/>
      <c r="O232" s="40"/>
      <c r="P232" s="39"/>
      <c r="Q232" s="39"/>
      <c r="R232" s="39"/>
      <c r="S232" s="39"/>
      <c r="T232" s="39"/>
      <c r="V232">
        <f>IF(Tabela3[[#This Row],[Pago]]&lt;&gt;"",IF(F233="",Tabela3[[#This Row],[Saldo]],0))</f>
        <v>0</v>
      </c>
    </row>
    <row r="233" spans="1:22" x14ac:dyDescent="0.25">
      <c r="A233" t="s">
        <v>51</v>
      </c>
      <c r="B233" s="37">
        <v>41</v>
      </c>
      <c r="C233" t="str">
        <f>_xlfn.XLOOKUP(B233,'Centro de Custo'!A$2:A$45,'Centro de Custo'!B$2:B$45)</f>
        <v>Resgate Financeiro</v>
      </c>
      <c r="E233" s="39">
        <v>150000</v>
      </c>
      <c r="F233" s="40" t="s">
        <v>10</v>
      </c>
      <c r="G233" s="41">
        <v>45320</v>
      </c>
      <c r="H233" s="42">
        <f>YEAR(Tabela3[[#This Row],[Data]])</f>
        <v>2024</v>
      </c>
      <c r="I233" s="42" t="str">
        <f>_xlfn.XLOOKUP(J233,'Centro de Custo'!J$2:J$13,'Centro de Custo'!K$2:K$13)</f>
        <v>Janeiro</v>
      </c>
      <c r="J233" s="43">
        <f>MONTH(Tabela3[[#This Row],[Data]])</f>
        <v>1</v>
      </c>
      <c r="K233" s="39">
        <f>SUM(E$3:Tabela3[[#This Row],[Valor]])</f>
        <v>151126.78999999975</v>
      </c>
      <c r="L233" s="40">
        <f t="shared" si="3"/>
        <v>2.22375</v>
      </c>
      <c r="M233" s="40"/>
      <c r="N233" s="40"/>
      <c r="O233" s="40"/>
      <c r="P233" s="39"/>
      <c r="Q233" s="39"/>
      <c r="R233" s="39"/>
      <c r="S233" s="39"/>
      <c r="T233" s="39"/>
      <c r="V233">
        <f>IF(Tabela3[[#This Row],[Pago]]&lt;&gt;"",IF(F234="",Tabela3[[#This Row],[Saldo]],0))</f>
        <v>0</v>
      </c>
    </row>
    <row r="234" spans="1:22" x14ac:dyDescent="0.25">
      <c r="A234" t="s">
        <v>156</v>
      </c>
      <c r="B234" s="37">
        <v>13</v>
      </c>
      <c r="C234" t="str">
        <f>_xlfn.XLOOKUP(B234,'Centro de Custo'!A$2:A$45,'Centro de Custo'!B$2:B$45)</f>
        <v>Terceirizados</v>
      </c>
      <c r="D234" t="s">
        <v>76</v>
      </c>
      <c r="E234" s="39">
        <v>-30000</v>
      </c>
      <c r="F234" s="40" t="s">
        <v>10</v>
      </c>
      <c r="G234" s="41">
        <v>45320</v>
      </c>
      <c r="H234" s="42">
        <f>YEAR(Tabela3[[#This Row],[Data]])</f>
        <v>2024</v>
      </c>
      <c r="I234" s="42" t="str">
        <f>_xlfn.XLOOKUP(J234,'Centro de Custo'!J$2:J$13,'Centro de Custo'!K$2:K$13)</f>
        <v>Janeiro</v>
      </c>
      <c r="J234" s="43">
        <f>MONTH(Tabela3[[#This Row],[Data]])</f>
        <v>1</v>
      </c>
      <c r="K234" s="39">
        <f>SUM(E$3:Tabela3[[#This Row],[Valor]])</f>
        <v>121126.78999999975</v>
      </c>
      <c r="L234" s="40">
        <f t="shared" si="3"/>
        <v>2.22375</v>
      </c>
      <c r="M234" s="40"/>
      <c r="N234" s="40"/>
      <c r="O234" s="40"/>
      <c r="P234" s="39"/>
      <c r="Q234" s="39"/>
      <c r="R234" s="39"/>
      <c r="S234" s="39"/>
      <c r="T234" s="39"/>
      <c r="V234">
        <f>IF(Tabela3[[#This Row],[Pago]]&lt;&gt;"",IF(F235="",Tabela3[[#This Row],[Saldo]],0))</f>
        <v>0</v>
      </c>
    </row>
    <row r="235" spans="1:22" x14ac:dyDescent="0.25">
      <c r="A235" t="s">
        <v>165</v>
      </c>
      <c r="B235" s="37">
        <v>20</v>
      </c>
      <c r="C235" t="str">
        <f>_xlfn.XLOOKUP(B235,'Centro de Custo'!A$2:A$45,'Centro de Custo'!B$2:B$45)</f>
        <v>Desp. ADM</v>
      </c>
      <c r="E235" s="39">
        <v>-298</v>
      </c>
      <c r="F235" s="40" t="s">
        <v>10</v>
      </c>
      <c r="G235" s="41">
        <v>45324</v>
      </c>
      <c r="H235" s="42">
        <f>YEAR(Tabela3[[#This Row],[Data]])</f>
        <v>2024</v>
      </c>
      <c r="I235" s="42" t="str">
        <f>_xlfn.XLOOKUP(J235,'Centro de Custo'!J$2:J$13,'Centro de Custo'!K$2:K$13)</f>
        <v>Fevereiro</v>
      </c>
      <c r="J235" s="43">
        <f>MONTH(Tabela3[[#This Row],[Data]])</f>
        <v>2</v>
      </c>
      <c r="K235" s="39">
        <f>SUM(E$3:Tabela3[[#This Row],[Valor]])</f>
        <v>120828.78999999975</v>
      </c>
      <c r="L235" s="40">
        <f t="shared" si="3"/>
        <v>2.22375</v>
      </c>
      <c r="M235" s="40"/>
      <c r="N235" s="40"/>
      <c r="O235" s="40"/>
      <c r="P235" s="39"/>
      <c r="Q235" s="39"/>
      <c r="R235" s="39"/>
      <c r="S235" s="39"/>
      <c r="T235" s="39"/>
      <c r="V235">
        <f>IF(Tabela3[[#This Row],[Pago]]&lt;&gt;"",IF(F236="",Tabela3[[#This Row],[Saldo]],0))</f>
        <v>0</v>
      </c>
    </row>
    <row r="236" spans="1:22" x14ac:dyDescent="0.25">
      <c r="A236" t="s">
        <v>166</v>
      </c>
      <c r="B236" s="37">
        <v>20</v>
      </c>
      <c r="C236" t="str">
        <f>_xlfn.XLOOKUP(B236,'Centro de Custo'!A$2:A$45,'Centro de Custo'!B$2:B$45)</f>
        <v>Desp. ADM</v>
      </c>
      <c r="E236" s="39">
        <v>-420</v>
      </c>
      <c r="F236" s="40" t="s">
        <v>10</v>
      </c>
      <c r="G236" s="41">
        <v>45324</v>
      </c>
      <c r="H236" s="42">
        <f>YEAR(Tabela3[[#This Row],[Data]])</f>
        <v>2024</v>
      </c>
      <c r="I236" s="42" t="str">
        <f>_xlfn.XLOOKUP(J236,'Centro de Custo'!J$2:J$13,'Centro de Custo'!K$2:K$13)</f>
        <v>Fevereiro</v>
      </c>
      <c r="J236" s="43">
        <f>MONTH(Tabela3[[#This Row],[Data]])</f>
        <v>2</v>
      </c>
      <c r="K236" s="39">
        <f>SUM(E$3:Tabela3[[#This Row],[Valor]])</f>
        <v>120408.78999999975</v>
      </c>
      <c r="L236" s="40">
        <f t="shared" si="3"/>
        <v>2.22375</v>
      </c>
      <c r="M236" s="40"/>
      <c r="N236" s="40"/>
      <c r="O236" s="40"/>
      <c r="P236" s="39"/>
      <c r="Q236" s="39"/>
      <c r="R236" s="39"/>
      <c r="S236" s="39"/>
      <c r="T236" s="39"/>
      <c r="V236">
        <f>IF(Tabela3[[#This Row],[Pago]]&lt;&gt;"",IF(F237="",Tabela3[[#This Row],[Saldo]],0))</f>
        <v>0</v>
      </c>
    </row>
    <row r="237" spans="1:22" x14ac:dyDescent="0.25">
      <c r="A237" t="s">
        <v>167</v>
      </c>
      <c r="B237" s="37">
        <v>20</v>
      </c>
      <c r="C237" t="str">
        <f>_xlfn.XLOOKUP(B237,'Centro de Custo'!A$2:A$45,'Centro de Custo'!B$2:B$45)</f>
        <v>Desp. ADM</v>
      </c>
      <c r="E237" s="39">
        <v>-473.49</v>
      </c>
      <c r="F237" s="40" t="s">
        <v>10</v>
      </c>
      <c r="G237" s="41">
        <v>45327</v>
      </c>
      <c r="H237" s="42">
        <f>YEAR(Tabela3[[#This Row],[Data]])</f>
        <v>2024</v>
      </c>
      <c r="I237" s="42" t="str">
        <f>_xlfn.XLOOKUP(J237,'Centro de Custo'!J$2:J$13,'Centro de Custo'!K$2:K$13)</f>
        <v>Fevereiro</v>
      </c>
      <c r="J237" s="43">
        <f>MONTH(Tabela3[[#This Row],[Data]])</f>
        <v>2</v>
      </c>
      <c r="K237" s="39">
        <f>SUM(E$3:Tabela3[[#This Row],[Valor]])</f>
        <v>119935.29999999974</v>
      </c>
      <c r="L237" s="40">
        <f t="shared" si="3"/>
        <v>2.22375</v>
      </c>
      <c r="M237" s="40"/>
      <c r="N237" s="40"/>
      <c r="O237" s="40"/>
      <c r="P237" s="39"/>
      <c r="Q237" s="39"/>
      <c r="R237" s="39"/>
      <c r="S237" s="39"/>
      <c r="T237" s="39"/>
      <c r="V237">
        <f>IF(Tabela3[[#This Row],[Pago]]&lt;&gt;"",IF(F238="",Tabela3[[#This Row],[Saldo]],0))</f>
        <v>0</v>
      </c>
    </row>
    <row r="238" spans="1:22" x14ac:dyDescent="0.25">
      <c r="A238" t="s">
        <v>168</v>
      </c>
      <c r="B238" s="37">
        <v>20</v>
      </c>
      <c r="C238" t="str">
        <f>_xlfn.XLOOKUP(B238,'Centro de Custo'!A$2:A$45,'Centro de Custo'!B$2:B$45)</f>
        <v>Desp. ADM</v>
      </c>
      <c r="E238" s="39">
        <v>-569.55</v>
      </c>
      <c r="F238" s="40" t="s">
        <v>10</v>
      </c>
      <c r="G238" s="41">
        <v>45327</v>
      </c>
      <c r="H238" s="42">
        <f>YEAR(Tabela3[[#This Row],[Data]])</f>
        <v>2024</v>
      </c>
      <c r="I238" s="42" t="str">
        <f>_xlfn.XLOOKUP(J238,'Centro de Custo'!J$2:J$13,'Centro de Custo'!K$2:K$13)</f>
        <v>Fevereiro</v>
      </c>
      <c r="J238" s="43">
        <f>MONTH(Tabela3[[#This Row],[Data]])</f>
        <v>2</v>
      </c>
      <c r="K238" s="39">
        <f>SUM(E$3:Tabela3[[#This Row],[Valor]])</f>
        <v>119365.74999999974</v>
      </c>
      <c r="L238" s="40">
        <f t="shared" si="3"/>
        <v>2.22375</v>
      </c>
      <c r="M238" s="40"/>
      <c r="N238" s="40"/>
      <c r="O238" s="40"/>
      <c r="P238" s="39"/>
      <c r="Q238" s="39"/>
      <c r="R238" s="39"/>
      <c r="S238" s="39"/>
      <c r="T238" s="39"/>
      <c r="V238">
        <f>IF(Tabela3[[#This Row],[Pago]]&lt;&gt;"",IF(F239="",Tabela3[[#This Row],[Saldo]],0))</f>
        <v>0</v>
      </c>
    </row>
    <row r="239" spans="1:22" x14ac:dyDescent="0.25">
      <c r="A239" t="s">
        <v>169</v>
      </c>
      <c r="B239" s="37">
        <v>20</v>
      </c>
      <c r="C239" t="str">
        <f>_xlfn.XLOOKUP(B239,'Centro de Custo'!A$2:A$45,'Centro de Custo'!B$2:B$45)</f>
        <v>Desp. ADM</v>
      </c>
      <c r="E239" s="39">
        <v>-569.55</v>
      </c>
      <c r="F239" s="40" t="s">
        <v>10</v>
      </c>
      <c r="G239" s="41">
        <v>45327</v>
      </c>
      <c r="H239" s="42">
        <f>YEAR(Tabela3[[#This Row],[Data]])</f>
        <v>2024</v>
      </c>
      <c r="I239" s="42" t="str">
        <f>_xlfn.XLOOKUP(J239,'Centro de Custo'!J$2:J$13,'Centro de Custo'!K$2:K$13)</f>
        <v>Fevereiro</v>
      </c>
      <c r="J239" s="43">
        <f>MONTH(Tabela3[[#This Row],[Data]])</f>
        <v>2</v>
      </c>
      <c r="K239" s="39">
        <f>SUM(E$3:Tabela3[[#This Row],[Valor]])</f>
        <v>118796.19999999974</v>
      </c>
      <c r="L239" s="40">
        <f t="shared" si="3"/>
        <v>2.22375</v>
      </c>
      <c r="M239" s="40"/>
      <c r="N239" s="40"/>
      <c r="O239" s="40"/>
      <c r="P239" s="39"/>
      <c r="Q239" s="39"/>
      <c r="R239" s="39"/>
      <c r="S239" s="39"/>
      <c r="T239" s="39"/>
      <c r="V239">
        <f>IF(Tabela3[[#This Row],[Pago]]&lt;&gt;"",IF(F240="",Tabela3[[#This Row],[Saldo]],0))</f>
        <v>0</v>
      </c>
    </row>
    <row r="240" spans="1:22" x14ac:dyDescent="0.25">
      <c r="A240" t="s">
        <v>134</v>
      </c>
      <c r="B240" s="37">
        <v>13</v>
      </c>
      <c r="C240" t="str">
        <f>_xlfn.XLOOKUP(B240,'Centro de Custo'!A$2:A$45,'Centro de Custo'!B$2:B$45)</f>
        <v>Terceirizados</v>
      </c>
      <c r="E240" s="39">
        <v>-5000</v>
      </c>
      <c r="F240" s="40" t="s">
        <v>10</v>
      </c>
      <c r="G240" s="41">
        <v>45328</v>
      </c>
      <c r="H240" s="42">
        <f>YEAR(Tabela3[[#This Row],[Data]])</f>
        <v>2024</v>
      </c>
      <c r="I240" s="42" t="str">
        <f>_xlfn.XLOOKUP(J240,'Centro de Custo'!J$2:J$13,'Centro de Custo'!K$2:K$13)</f>
        <v>Fevereiro</v>
      </c>
      <c r="J240" s="43">
        <f>MONTH(Tabela3[[#This Row],[Data]])</f>
        <v>2</v>
      </c>
      <c r="K240" s="39">
        <f>SUM(E$3:Tabela3[[#This Row],[Valor]])</f>
        <v>113796.19999999974</v>
      </c>
      <c r="L240" s="40">
        <f t="shared" si="3"/>
        <v>2.22375</v>
      </c>
      <c r="M240" s="40"/>
      <c r="N240" s="40"/>
      <c r="O240" s="40"/>
      <c r="P240" s="39"/>
      <c r="Q240" s="39"/>
      <c r="R240" s="39"/>
      <c r="S240" s="39"/>
      <c r="T240" s="39"/>
      <c r="V240">
        <f>IF(Tabela3[[#This Row],[Pago]]&lt;&gt;"",IF(F241="",Tabela3[[#This Row],[Saldo]],0))</f>
        <v>0</v>
      </c>
    </row>
    <row r="241" spans="1:22" x14ac:dyDescent="0.25">
      <c r="A241" t="s">
        <v>104</v>
      </c>
      <c r="B241" s="37">
        <v>10</v>
      </c>
      <c r="C241" t="str">
        <f>_xlfn.XLOOKUP(B241,'Centro de Custo'!A$2:A$45,'Centro de Custo'!B$2:B$45)</f>
        <v>Retirada Mensal</v>
      </c>
      <c r="E241" s="39">
        <v>-10000</v>
      </c>
      <c r="F241" s="40" t="s">
        <v>10</v>
      </c>
      <c r="G241" s="41">
        <v>45328</v>
      </c>
      <c r="H241" s="42">
        <f>YEAR(Tabela3[[#This Row],[Data]])</f>
        <v>2024</v>
      </c>
      <c r="I241" s="42" t="str">
        <f>_xlfn.XLOOKUP(J241,'Centro de Custo'!J$2:J$13,'Centro de Custo'!K$2:K$13)</f>
        <v>Fevereiro</v>
      </c>
      <c r="J241" s="43">
        <f>MONTH(Tabela3[[#This Row],[Data]])</f>
        <v>2</v>
      </c>
      <c r="K241" s="39">
        <f>SUM(E$3:Tabela3[[#This Row],[Valor]])</f>
        <v>103796.19999999974</v>
      </c>
      <c r="L241" s="40">
        <f t="shared" si="3"/>
        <v>2.22375</v>
      </c>
      <c r="M241" s="40"/>
      <c r="N241" s="40"/>
      <c r="O241" s="40"/>
      <c r="P241" s="39"/>
      <c r="Q241" s="39"/>
      <c r="R241" s="39"/>
      <c r="S241" s="39"/>
      <c r="T241" s="39"/>
      <c r="V241">
        <f>IF(Tabela3[[#This Row],[Pago]]&lt;&gt;"",IF(F242="",Tabela3[[#This Row],[Saldo]],0))</f>
        <v>0</v>
      </c>
    </row>
    <row r="242" spans="1:22" x14ac:dyDescent="0.25">
      <c r="A242" t="s">
        <v>110</v>
      </c>
      <c r="B242" s="37">
        <v>10</v>
      </c>
      <c r="C242" t="str">
        <f>_xlfn.XLOOKUP(B242,'Centro de Custo'!A$2:A$45,'Centro de Custo'!B$2:B$45)</f>
        <v>Retirada Mensal</v>
      </c>
      <c r="E242" s="39">
        <v>-12000</v>
      </c>
      <c r="F242" s="40" t="s">
        <v>10</v>
      </c>
      <c r="G242" s="41">
        <v>45328</v>
      </c>
      <c r="H242" s="42">
        <f>YEAR(Tabela3[[#This Row],[Data]])</f>
        <v>2024</v>
      </c>
      <c r="I242" s="42" t="str">
        <f>_xlfn.XLOOKUP(J242,'Centro de Custo'!J$2:J$13,'Centro de Custo'!K$2:K$13)</f>
        <v>Fevereiro</v>
      </c>
      <c r="J242" s="43">
        <f>MONTH(Tabela3[[#This Row],[Data]])</f>
        <v>2</v>
      </c>
      <c r="K242" s="39">
        <f>SUM(E$3:Tabela3[[#This Row],[Valor]])</f>
        <v>91796.19999999974</v>
      </c>
      <c r="L242" s="40">
        <f t="shared" si="3"/>
        <v>2.22375</v>
      </c>
      <c r="M242" s="40"/>
      <c r="N242" s="40"/>
      <c r="O242" s="40"/>
      <c r="P242" s="39"/>
      <c r="Q242" s="39"/>
      <c r="R242" s="39"/>
      <c r="S242" s="39"/>
      <c r="T242" s="39"/>
      <c r="V242">
        <f>IF(Tabela3[[#This Row],[Pago]]&lt;&gt;"",IF(F243="",Tabela3[[#This Row],[Saldo]],0))</f>
        <v>0</v>
      </c>
    </row>
    <row r="243" spans="1:22" x14ac:dyDescent="0.25">
      <c r="A243" t="s">
        <v>124</v>
      </c>
      <c r="B243" s="37">
        <v>10</v>
      </c>
      <c r="C243" t="str">
        <f>_xlfn.XLOOKUP(B243,'Centro de Custo'!A$2:A$45,'Centro de Custo'!B$2:B$45)</f>
        <v>Retirada Mensal</v>
      </c>
      <c r="E243" s="39">
        <v>-12600</v>
      </c>
      <c r="F243" s="40" t="s">
        <v>10</v>
      </c>
      <c r="G243" s="41">
        <v>45328</v>
      </c>
      <c r="H243" s="42">
        <f>YEAR(Tabela3[[#This Row],[Data]])</f>
        <v>2024</v>
      </c>
      <c r="I243" s="42" t="str">
        <f>_xlfn.XLOOKUP(J243,'Centro de Custo'!J$2:J$13,'Centro de Custo'!K$2:K$13)</f>
        <v>Fevereiro</v>
      </c>
      <c r="J243" s="43">
        <f>MONTH(Tabela3[[#This Row],[Data]])</f>
        <v>2</v>
      </c>
      <c r="K243" s="39">
        <f>SUM(E$3:Tabela3[[#This Row],[Valor]])</f>
        <v>79196.19999999974</v>
      </c>
      <c r="L243" s="40">
        <f t="shared" si="3"/>
        <v>2.22375</v>
      </c>
      <c r="M243" s="40"/>
      <c r="N243" s="40"/>
      <c r="O243" s="40"/>
      <c r="P243" s="39"/>
      <c r="Q243" s="39"/>
      <c r="R243" s="39"/>
      <c r="S243" s="39"/>
      <c r="T243" s="39"/>
      <c r="V243">
        <f>IF(Tabela3[[#This Row],[Pago]]&lt;&gt;"",IF(F244="",Tabela3[[#This Row],[Saldo]],0))</f>
        <v>0</v>
      </c>
    </row>
    <row r="244" spans="1:22" x14ac:dyDescent="0.25">
      <c r="A244" t="s">
        <v>170</v>
      </c>
      <c r="B244" s="37">
        <v>10</v>
      </c>
      <c r="C244" t="str">
        <f>_xlfn.XLOOKUP(B244,'Centro de Custo'!A$2:A$45,'Centro de Custo'!B$2:B$45)</f>
        <v>Retirada Mensal</v>
      </c>
      <c r="E244" s="39">
        <v>-13000</v>
      </c>
      <c r="F244" s="40" t="s">
        <v>10</v>
      </c>
      <c r="G244" s="41">
        <v>45328</v>
      </c>
      <c r="H244" s="42">
        <f>YEAR(Tabela3[[#This Row],[Data]])</f>
        <v>2024</v>
      </c>
      <c r="I244" s="42" t="str">
        <f>_xlfn.XLOOKUP(J244,'Centro de Custo'!J$2:J$13,'Centro de Custo'!K$2:K$13)</f>
        <v>Fevereiro</v>
      </c>
      <c r="J244" s="43">
        <f>MONTH(Tabela3[[#This Row],[Data]])</f>
        <v>2</v>
      </c>
      <c r="K244" s="39">
        <f>SUM(E$3:Tabela3[[#This Row],[Valor]])</f>
        <v>66196.19999999974</v>
      </c>
      <c r="L244" s="40">
        <f t="shared" si="3"/>
        <v>2.22375</v>
      </c>
      <c r="M244" s="40"/>
      <c r="N244" s="40"/>
      <c r="O244" s="40"/>
      <c r="P244" s="39"/>
      <c r="Q244" s="39"/>
      <c r="R244" s="39"/>
      <c r="S244" s="39"/>
      <c r="T244" s="39"/>
      <c r="V244">
        <f>IF(Tabela3[[#This Row],[Pago]]&lt;&gt;"",IF(F245="",Tabela3[[#This Row],[Saldo]],0))</f>
        <v>0</v>
      </c>
    </row>
    <row r="245" spans="1:22" x14ac:dyDescent="0.25">
      <c r="A245" t="s">
        <v>91</v>
      </c>
      <c r="B245" s="37">
        <v>10</v>
      </c>
      <c r="C245" t="str">
        <f>_xlfn.XLOOKUP(B245,'Centro de Custo'!A$2:A$45,'Centro de Custo'!B$2:B$45)</f>
        <v>Retirada Mensal</v>
      </c>
      <c r="E245" s="39">
        <v>-15400</v>
      </c>
      <c r="F245" s="40" t="s">
        <v>10</v>
      </c>
      <c r="G245" s="41">
        <v>45328</v>
      </c>
      <c r="H245" s="42">
        <f>YEAR(Tabela3[[#This Row],[Data]])</f>
        <v>2024</v>
      </c>
      <c r="I245" s="42" t="str">
        <f>_xlfn.XLOOKUP(J245,'Centro de Custo'!J$2:J$13,'Centro de Custo'!K$2:K$13)</f>
        <v>Fevereiro</v>
      </c>
      <c r="J245" s="43">
        <f>MONTH(Tabela3[[#This Row],[Data]])</f>
        <v>2</v>
      </c>
      <c r="K245" s="39">
        <f>SUM(E$3:Tabela3[[#This Row],[Valor]])</f>
        <v>50796.199999999735</v>
      </c>
      <c r="L245" s="40">
        <f t="shared" si="3"/>
        <v>2.22375</v>
      </c>
      <c r="M245" s="40"/>
      <c r="N245" s="40"/>
      <c r="O245" s="40"/>
      <c r="P245" s="39"/>
      <c r="Q245" s="39"/>
      <c r="R245" s="39"/>
      <c r="S245" s="39"/>
      <c r="T245" s="39"/>
      <c r="V245">
        <f>IF(Tabela3[[#This Row],[Pago]]&lt;&gt;"",IF(F246="",Tabela3[[#This Row],[Saldo]],0))</f>
        <v>0</v>
      </c>
    </row>
    <row r="246" spans="1:22" x14ac:dyDescent="0.25">
      <c r="A246" t="s">
        <v>171</v>
      </c>
      <c r="B246" s="37">
        <v>20</v>
      </c>
      <c r="C246" t="str">
        <f>_xlfn.XLOOKUP(B246,'Centro de Custo'!A$2:A$45,'Centro de Custo'!B$2:B$45)</f>
        <v>Desp. ADM</v>
      </c>
      <c r="E246" s="39">
        <v>-44.46</v>
      </c>
      <c r="F246" s="40" t="s">
        <v>10</v>
      </c>
      <c r="G246" s="41">
        <v>45329</v>
      </c>
      <c r="H246" s="42">
        <f>YEAR(Tabela3[[#This Row],[Data]])</f>
        <v>2024</v>
      </c>
      <c r="I246" s="42" t="str">
        <f>_xlfn.XLOOKUP(J246,'Centro de Custo'!J$2:J$13,'Centro de Custo'!K$2:K$13)</f>
        <v>Fevereiro</v>
      </c>
      <c r="J246" s="43">
        <f>MONTH(Tabela3[[#This Row],[Data]])</f>
        <v>2</v>
      </c>
      <c r="K246" s="39">
        <f>SUM(E$3:Tabela3[[#This Row],[Valor]])</f>
        <v>50751.739999999736</v>
      </c>
      <c r="L246" s="40">
        <f t="shared" si="3"/>
        <v>2.22375</v>
      </c>
      <c r="M246" s="40"/>
      <c r="N246" s="40"/>
      <c r="O246" s="40"/>
      <c r="P246" s="39"/>
      <c r="Q246" s="39"/>
      <c r="R246" s="39"/>
      <c r="S246" s="39"/>
      <c r="T246" s="39"/>
      <c r="V246">
        <f>IF(Tabela3[[#This Row],[Pago]]&lt;&gt;"",IF(F247="",Tabela3[[#This Row],[Saldo]],0))</f>
        <v>0</v>
      </c>
    </row>
    <row r="247" spans="1:22" x14ac:dyDescent="0.25">
      <c r="A247" t="s">
        <v>171</v>
      </c>
      <c r="B247" s="37">
        <v>20</v>
      </c>
      <c r="C247" t="str">
        <f>_xlfn.XLOOKUP(B247,'Centro de Custo'!A$2:A$45,'Centro de Custo'!B$2:B$45)</f>
        <v>Desp. ADM</v>
      </c>
      <c r="E247" s="39">
        <v>-102.79</v>
      </c>
      <c r="F247" s="40" t="s">
        <v>10</v>
      </c>
      <c r="G247" s="41">
        <v>45329</v>
      </c>
      <c r="H247" s="42">
        <f>YEAR(Tabela3[[#This Row],[Data]])</f>
        <v>2024</v>
      </c>
      <c r="I247" s="42" t="str">
        <f>_xlfn.XLOOKUP(J247,'Centro de Custo'!J$2:J$13,'Centro de Custo'!K$2:K$13)</f>
        <v>Fevereiro</v>
      </c>
      <c r="J247" s="43">
        <f>MONTH(Tabela3[[#This Row],[Data]])</f>
        <v>2</v>
      </c>
      <c r="K247" s="39">
        <f>SUM(E$3:Tabela3[[#This Row],[Valor]])</f>
        <v>50648.949999999735</v>
      </c>
      <c r="L247" s="40">
        <f t="shared" si="3"/>
        <v>2.22375</v>
      </c>
      <c r="M247" s="40"/>
      <c r="N247" s="40"/>
      <c r="O247" s="40"/>
      <c r="P247" s="39"/>
      <c r="Q247" s="39"/>
      <c r="R247" s="39"/>
      <c r="S247" s="39"/>
      <c r="T247" s="39"/>
      <c r="V247">
        <f>IF(Tabela3[[#This Row],[Pago]]&lt;&gt;"",IF(F248="",Tabela3[[#This Row],[Saldo]],0))</f>
        <v>0</v>
      </c>
    </row>
    <row r="248" spans="1:22" x14ac:dyDescent="0.25">
      <c r="A248" t="s">
        <v>171</v>
      </c>
      <c r="B248" s="37">
        <v>20</v>
      </c>
      <c r="C248" t="str">
        <f>_xlfn.XLOOKUP(B248,'Centro de Custo'!A$2:A$45,'Centro de Custo'!B$2:B$45)</f>
        <v>Desp. ADM</v>
      </c>
      <c r="E248" s="39">
        <v>-113.2</v>
      </c>
      <c r="F248" s="40" t="s">
        <v>10</v>
      </c>
      <c r="G248" s="41">
        <v>45329</v>
      </c>
      <c r="H248" s="42">
        <f>YEAR(Tabela3[[#This Row],[Data]])</f>
        <v>2024</v>
      </c>
      <c r="I248" s="42" t="str">
        <f>_xlfn.XLOOKUP(J248,'Centro de Custo'!J$2:J$13,'Centro de Custo'!K$2:K$13)</f>
        <v>Fevereiro</v>
      </c>
      <c r="J248" s="43">
        <f>MONTH(Tabela3[[#This Row],[Data]])</f>
        <v>2</v>
      </c>
      <c r="K248" s="39">
        <f>SUM(E$3:Tabela3[[#This Row],[Valor]])</f>
        <v>50535.74999999974</v>
      </c>
      <c r="L248" s="40">
        <f t="shared" si="3"/>
        <v>2.22375</v>
      </c>
      <c r="M248" s="40"/>
      <c r="N248" s="40"/>
      <c r="O248" s="40"/>
      <c r="P248" s="39"/>
      <c r="Q248" s="39"/>
      <c r="R248" s="39"/>
      <c r="S248" s="39"/>
      <c r="T248" s="39"/>
      <c r="V248">
        <f>IF(Tabela3[[#This Row],[Pago]]&lt;&gt;"",IF(F249="",Tabela3[[#This Row],[Saldo]],0))</f>
        <v>0</v>
      </c>
    </row>
    <row r="249" spans="1:22" x14ac:dyDescent="0.25">
      <c r="A249" t="s">
        <v>171</v>
      </c>
      <c r="B249" s="37">
        <v>20</v>
      </c>
      <c r="C249" t="str">
        <f>_xlfn.XLOOKUP(B249,'Centro de Custo'!A$2:A$45,'Centro de Custo'!B$2:B$45)</f>
        <v>Desp. ADM</v>
      </c>
      <c r="E249" s="39">
        <v>-130.55</v>
      </c>
      <c r="F249" s="40" t="s">
        <v>10</v>
      </c>
      <c r="G249" s="41">
        <v>45329</v>
      </c>
      <c r="H249" s="42">
        <f>YEAR(Tabela3[[#This Row],[Data]])</f>
        <v>2024</v>
      </c>
      <c r="I249" s="42" t="str">
        <f>_xlfn.XLOOKUP(J249,'Centro de Custo'!J$2:J$13,'Centro de Custo'!K$2:K$13)</f>
        <v>Fevereiro</v>
      </c>
      <c r="J249" s="43">
        <f>MONTH(Tabela3[[#This Row],[Data]])</f>
        <v>2</v>
      </c>
      <c r="K249" s="39">
        <f>SUM(E$3:Tabela3[[#This Row],[Valor]])</f>
        <v>50405.199999999735</v>
      </c>
      <c r="L249" s="40">
        <f t="shared" si="3"/>
        <v>2.22375</v>
      </c>
      <c r="M249" s="40"/>
      <c r="N249" s="40"/>
      <c r="O249" s="40"/>
      <c r="P249" s="39"/>
      <c r="Q249" s="39"/>
      <c r="R249" s="39"/>
      <c r="S249" s="39"/>
      <c r="T249" s="39"/>
      <c r="V249">
        <f>IF(Tabela3[[#This Row],[Pago]]&lt;&gt;"",IF(F250="",Tabela3[[#This Row],[Saldo]],0))</f>
        <v>0</v>
      </c>
    </row>
    <row r="250" spans="1:22" x14ac:dyDescent="0.25">
      <c r="A250" t="s">
        <v>172</v>
      </c>
      <c r="B250" s="37">
        <v>3</v>
      </c>
      <c r="C250" t="str">
        <f>_xlfn.XLOOKUP(B250,'Centro de Custo'!A$2:A$45,'Centro de Custo'!B$2:B$45)</f>
        <v>Investimentos</v>
      </c>
      <c r="E250" s="39">
        <v>-7000</v>
      </c>
      <c r="F250" s="40" t="s">
        <v>10</v>
      </c>
      <c r="G250" s="41">
        <v>45329</v>
      </c>
      <c r="H250" s="42">
        <f>YEAR(Tabela3[[#This Row],[Data]])</f>
        <v>2024</v>
      </c>
      <c r="I250" s="42" t="str">
        <f>_xlfn.XLOOKUP(J250,'Centro de Custo'!J$2:J$13,'Centro de Custo'!K$2:K$13)</f>
        <v>Fevereiro</v>
      </c>
      <c r="J250" s="43">
        <f>MONTH(Tabela3[[#This Row],[Data]])</f>
        <v>2</v>
      </c>
      <c r="K250" s="39">
        <f>SUM(E$3:Tabela3[[#This Row],[Valor]])</f>
        <v>43405.199999999735</v>
      </c>
      <c r="L250" s="40">
        <f t="shared" si="3"/>
        <v>2.22375</v>
      </c>
      <c r="M250" s="40"/>
      <c r="N250" s="40"/>
      <c r="O250" s="40"/>
      <c r="P250" s="39"/>
      <c r="Q250" s="39"/>
      <c r="R250" s="39"/>
      <c r="S250" s="39"/>
      <c r="T250" s="39"/>
      <c r="V250">
        <f>IF(Tabela3[[#This Row],[Pago]]&lt;&gt;"",IF(F251="",Tabela3[[#This Row],[Saldo]],0))</f>
        <v>0</v>
      </c>
    </row>
    <row r="251" spans="1:22" x14ac:dyDescent="0.25">
      <c r="A251" t="s">
        <v>110</v>
      </c>
      <c r="B251" s="37">
        <v>10</v>
      </c>
      <c r="C251" t="str">
        <f>_xlfn.XLOOKUP(B251,'Centro de Custo'!A$2:A$45,'Centro de Custo'!B$2:B$45)</f>
        <v>Retirada Mensal</v>
      </c>
      <c r="E251" s="39">
        <v>-3750</v>
      </c>
      <c r="F251" s="40" t="s">
        <v>10</v>
      </c>
      <c r="G251" s="41">
        <v>45330</v>
      </c>
      <c r="H251" s="42">
        <f>YEAR(Tabela3[[#This Row],[Data]])</f>
        <v>2024</v>
      </c>
      <c r="I251" s="42" t="str">
        <f>_xlfn.XLOOKUP(J251,'Centro de Custo'!J$2:J$13,'Centro de Custo'!K$2:K$13)</f>
        <v>Fevereiro</v>
      </c>
      <c r="J251" s="43">
        <f>MONTH(Tabela3[[#This Row],[Data]])</f>
        <v>2</v>
      </c>
      <c r="K251" s="39">
        <f>SUM(E$3:Tabela3[[#This Row],[Valor]])</f>
        <v>39655.199999999735</v>
      </c>
      <c r="L251" s="40">
        <f t="shared" si="3"/>
        <v>2.22375</v>
      </c>
      <c r="M251" s="40"/>
      <c r="N251" s="40"/>
      <c r="O251" s="40"/>
      <c r="P251" s="39"/>
      <c r="Q251" s="39"/>
      <c r="R251" s="39"/>
      <c r="S251" s="39"/>
      <c r="T251" s="39"/>
      <c r="V251">
        <f>IF(Tabela3[[#This Row],[Pago]]&lt;&gt;"",IF(F252="",Tabela3[[#This Row],[Saldo]],0))</f>
        <v>0</v>
      </c>
    </row>
    <row r="252" spans="1:22" x14ac:dyDescent="0.25">
      <c r="A252" t="s">
        <v>123</v>
      </c>
      <c r="B252" s="37">
        <v>13</v>
      </c>
      <c r="C252" t="str">
        <f>_xlfn.XLOOKUP(B252,'Centro de Custo'!A$2:A$45,'Centro de Custo'!B$2:B$45)</f>
        <v>Terceirizados</v>
      </c>
      <c r="E252" s="39">
        <v>-9250</v>
      </c>
      <c r="F252" s="40" t="s">
        <v>10</v>
      </c>
      <c r="G252" s="41">
        <v>45330</v>
      </c>
      <c r="H252" s="42">
        <f>YEAR(Tabela3[[#This Row],[Data]])</f>
        <v>2024</v>
      </c>
      <c r="I252" s="42" t="str">
        <f>_xlfn.XLOOKUP(J252,'Centro de Custo'!J$2:J$13,'Centro de Custo'!K$2:K$13)</f>
        <v>Fevereiro</v>
      </c>
      <c r="J252" s="43">
        <f>MONTH(Tabela3[[#This Row],[Data]])</f>
        <v>2</v>
      </c>
      <c r="K252" s="39">
        <f>SUM(E$3:Tabela3[[#This Row],[Valor]])</f>
        <v>30405.199999999735</v>
      </c>
      <c r="L252" s="40">
        <f t="shared" si="3"/>
        <v>2.22375</v>
      </c>
      <c r="M252" s="40"/>
      <c r="N252" s="40"/>
      <c r="O252" s="40"/>
      <c r="P252" s="39"/>
      <c r="Q252" s="39"/>
      <c r="R252" s="39"/>
      <c r="S252" s="39"/>
      <c r="T252" s="39"/>
      <c r="V252">
        <f>IF(Tabela3[[#This Row],[Pago]]&lt;&gt;"",IF(F253="",Tabela3[[#This Row],[Saldo]],0))</f>
        <v>0</v>
      </c>
    </row>
    <row r="253" spans="1:22" x14ac:dyDescent="0.25">
      <c r="A253" t="s">
        <v>113</v>
      </c>
      <c r="B253" s="37">
        <v>3</v>
      </c>
      <c r="C253" t="str">
        <f>_xlfn.XLOOKUP(B253,'Centro de Custo'!A$2:A$45,'Centro de Custo'!B$2:B$45)</f>
        <v>Investimentos</v>
      </c>
      <c r="E253" s="39">
        <v>-30000</v>
      </c>
      <c r="F253" s="40" t="s">
        <v>10</v>
      </c>
      <c r="G253" s="41">
        <v>45337</v>
      </c>
      <c r="H253" s="42">
        <f>YEAR(Tabela3[[#This Row],[Data]])</f>
        <v>2024</v>
      </c>
      <c r="I253" s="42" t="str">
        <f>_xlfn.XLOOKUP(J253,'Centro de Custo'!J$2:J$13,'Centro de Custo'!K$2:K$13)</f>
        <v>Fevereiro</v>
      </c>
      <c r="J253" s="43">
        <f>MONTH(Tabela3[[#This Row],[Data]])</f>
        <v>2</v>
      </c>
      <c r="K253" s="39">
        <f>SUM(E$3:Tabela3[[#This Row],[Valor]])</f>
        <v>405.19999999973516</v>
      </c>
      <c r="L253" s="40">
        <f t="shared" si="3"/>
        <v>2.22375</v>
      </c>
      <c r="M253" s="40"/>
      <c r="N253" s="40"/>
      <c r="O253" s="40"/>
      <c r="P253" s="39"/>
      <c r="Q253" s="39"/>
      <c r="R253" s="39"/>
      <c r="S253" s="39"/>
      <c r="T253" s="39"/>
      <c r="V253">
        <f>IF(Tabela3[[#This Row],[Pago]]&lt;&gt;"",IF(F254="",Tabela3[[#This Row],[Saldo]],0))</f>
        <v>0</v>
      </c>
    </row>
    <row r="254" spans="1:22" x14ac:dyDescent="0.25">
      <c r="A254" t="s">
        <v>51</v>
      </c>
      <c r="B254" s="37">
        <v>41</v>
      </c>
      <c r="C254" t="str">
        <f>_xlfn.XLOOKUP(B254,'Centro de Custo'!A$2:A$45,'Centro de Custo'!B$2:B$45)</f>
        <v>Resgate Financeiro</v>
      </c>
      <c r="E254" s="39">
        <v>100800</v>
      </c>
      <c r="F254" s="40" t="s">
        <v>10</v>
      </c>
      <c r="G254" s="41">
        <v>45338</v>
      </c>
      <c r="H254" s="42">
        <f>YEAR(Tabela3[[#This Row],[Data]])</f>
        <v>2024</v>
      </c>
      <c r="I254" s="42" t="str">
        <f>_xlfn.XLOOKUP(J254,'Centro de Custo'!J$2:J$13,'Centro de Custo'!K$2:K$13)</f>
        <v>Fevereiro</v>
      </c>
      <c r="J254" s="43">
        <f>MONTH(Tabela3[[#This Row],[Data]])</f>
        <v>2</v>
      </c>
      <c r="K254" s="39">
        <f>SUM(E$3:Tabela3[[#This Row],[Valor]])</f>
        <v>101205.19999999974</v>
      </c>
      <c r="L254" s="40">
        <f t="shared" si="3"/>
        <v>2.22375</v>
      </c>
      <c r="M254" s="40"/>
      <c r="N254" s="40"/>
      <c r="O254" s="40"/>
      <c r="P254" s="39"/>
      <c r="Q254" s="39"/>
      <c r="R254" s="39"/>
      <c r="S254" s="39"/>
      <c r="T254" s="39"/>
      <c r="V254">
        <f>IF(Tabela3[[#This Row],[Pago]]&lt;&gt;"",IF(F255="",Tabela3[[#This Row],[Saldo]],0))</f>
        <v>0</v>
      </c>
    </row>
    <row r="255" spans="1:22" x14ac:dyDescent="0.25">
      <c r="A255" t="s">
        <v>173</v>
      </c>
      <c r="B255" s="37">
        <v>20</v>
      </c>
      <c r="C255" t="str">
        <f>_xlfn.XLOOKUP(B255,'Centro de Custo'!A$2:A$45,'Centro de Custo'!B$2:B$45)</f>
        <v>Desp. ADM</v>
      </c>
      <c r="E255" s="39">
        <v>-130</v>
      </c>
      <c r="F255" s="40" t="s">
        <v>10</v>
      </c>
      <c r="G255" s="41">
        <v>45345</v>
      </c>
      <c r="H255" s="42">
        <f>YEAR(Tabela3[[#This Row],[Data]])</f>
        <v>2024</v>
      </c>
      <c r="I255" s="42" t="str">
        <f>_xlfn.XLOOKUP(J255,'Centro de Custo'!J$2:J$13,'Centro de Custo'!K$2:K$13)</f>
        <v>Fevereiro</v>
      </c>
      <c r="J255" s="43">
        <f>MONTH(Tabela3[[#This Row],[Data]])</f>
        <v>2</v>
      </c>
      <c r="K255" s="39">
        <f>SUM(E$3:Tabela3[[#This Row],[Valor]])</f>
        <v>101075.19999999974</v>
      </c>
      <c r="L255" s="40">
        <f t="shared" si="3"/>
        <v>2.22375</v>
      </c>
      <c r="M255" s="40"/>
      <c r="N255" s="40"/>
      <c r="O255" s="40"/>
      <c r="P255" s="39"/>
      <c r="Q255" s="39"/>
      <c r="R255" s="39"/>
      <c r="S255" s="39"/>
      <c r="T255" s="39"/>
      <c r="V255">
        <f>IF(Tabela3[[#This Row],[Pago]]&lt;&gt;"",IF(F256="",Tabela3[[#This Row],[Saldo]],0))</f>
        <v>0</v>
      </c>
    </row>
    <row r="256" spans="1:22" x14ac:dyDescent="0.25">
      <c r="A256" t="s">
        <v>174</v>
      </c>
      <c r="B256" s="37">
        <v>20</v>
      </c>
      <c r="C256" t="str">
        <f>_xlfn.XLOOKUP(B256,'Centro de Custo'!A$2:A$45,'Centro de Custo'!B$2:B$45)</f>
        <v>Desp. ADM</v>
      </c>
      <c r="E256" s="39">
        <v>-150</v>
      </c>
      <c r="F256" s="40" t="s">
        <v>10</v>
      </c>
      <c r="G256" s="41">
        <v>45345</v>
      </c>
      <c r="H256" s="42">
        <f>YEAR(Tabela3[[#This Row],[Data]])</f>
        <v>2024</v>
      </c>
      <c r="I256" s="42" t="str">
        <f>_xlfn.XLOOKUP(J256,'Centro de Custo'!J$2:J$13,'Centro de Custo'!K$2:K$13)</f>
        <v>Fevereiro</v>
      </c>
      <c r="J256" s="43">
        <f>MONTH(Tabela3[[#This Row],[Data]])</f>
        <v>2</v>
      </c>
      <c r="K256" s="39">
        <f>SUM(E$3:Tabela3[[#This Row],[Valor]])</f>
        <v>100925.19999999974</v>
      </c>
      <c r="L256" s="40">
        <f t="shared" si="3"/>
        <v>2.22375</v>
      </c>
      <c r="M256" s="40"/>
      <c r="N256" s="40"/>
      <c r="O256" s="40"/>
      <c r="P256" s="39"/>
      <c r="Q256" s="39"/>
      <c r="R256" s="39"/>
      <c r="S256" s="39"/>
      <c r="T256" s="39"/>
      <c r="V256">
        <f>IF(Tabela3[[#This Row],[Pago]]&lt;&gt;"",IF(F257="",Tabela3[[#This Row],[Saldo]],0))</f>
        <v>0</v>
      </c>
    </row>
    <row r="257" spans="1:22" x14ac:dyDescent="0.25">
      <c r="A257" t="s">
        <v>70</v>
      </c>
      <c r="B257" s="37">
        <v>20</v>
      </c>
      <c r="C257" t="str">
        <f>_xlfn.XLOOKUP(B257,'Centro de Custo'!A$2:A$45,'Centro de Custo'!B$2:B$45)</f>
        <v>Desp. ADM</v>
      </c>
      <c r="E257" s="39">
        <v>-25.85</v>
      </c>
      <c r="F257" s="40" t="s">
        <v>10</v>
      </c>
      <c r="G257" s="41">
        <v>45348</v>
      </c>
      <c r="H257" s="42">
        <f>YEAR(Tabela3[[#This Row],[Data]])</f>
        <v>2024</v>
      </c>
      <c r="I257" s="42" t="str">
        <f>_xlfn.XLOOKUP(J257,'Centro de Custo'!J$2:J$13,'Centro de Custo'!K$2:K$13)</f>
        <v>Fevereiro</v>
      </c>
      <c r="J257" s="43">
        <f>MONTH(Tabela3[[#This Row],[Data]])</f>
        <v>2</v>
      </c>
      <c r="K257" s="39">
        <f>SUM(E$3:Tabela3[[#This Row],[Valor]])</f>
        <v>100899.34999999973</v>
      </c>
      <c r="L257" s="40">
        <f t="shared" si="3"/>
        <v>2.22375</v>
      </c>
      <c r="M257" s="40"/>
      <c r="N257" s="40"/>
      <c r="O257" s="40"/>
      <c r="P257" s="39"/>
      <c r="Q257" s="39"/>
      <c r="R257" s="39"/>
      <c r="S257" s="39"/>
      <c r="T257" s="39"/>
      <c r="V257">
        <f>IF(Tabela3[[#This Row],[Pago]]&lt;&gt;"",IF(F258="",Tabela3[[#This Row],[Saldo]],0))</f>
        <v>0</v>
      </c>
    </row>
    <row r="258" spans="1:22" x14ac:dyDescent="0.25">
      <c r="A258" t="s">
        <v>175</v>
      </c>
      <c r="B258" s="37">
        <v>15</v>
      </c>
      <c r="C258" t="str">
        <f>_xlfn.XLOOKUP(B258,'Centro de Custo'!A$2:A$45,'Centro de Custo'!B$2:B$45)</f>
        <v>Viagens</v>
      </c>
      <c r="E258" s="39">
        <v>-640</v>
      </c>
      <c r="F258" s="40" t="s">
        <v>10</v>
      </c>
      <c r="G258" s="41">
        <v>45350</v>
      </c>
      <c r="H258" s="42">
        <f>YEAR(Tabela3[[#This Row],[Data]])</f>
        <v>2024</v>
      </c>
      <c r="I258" s="42" t="str">
        <f>_xlfn.XLOOKUP(J258,'Centro de Custo'!J$2:J$13,'Centro de Custo'!K$2:K$13)</f>
        <v>Fevereiro</v>
      </c>
      <c r="J258" s="43">
        <f>MONTH(Tabela3[[#This Row],[Data]])</f>
        <v>2</v>
      </c>
      <c r="K258" s="39">
        <f>SUM(E$3:Tabela3[[#This Row],[Valor]])</f>
        <v>100259.34999999973</v>
      </c>
      <c r="L258" s="40">
        <f t="shared" si="3"/>
        <v>2.22375</v>
      </c>
      <c r="M258" s="40"/>
      <c r="N258" s="40"/>
      <c r="O258" s="40"/>
      <c r="P258" s="39"/>
      <c r="Q258" s="39"/>
      <c r="R258" s="39"/>
      <c r="S258" s="39"/>
      <c r="T258" s="39"/>
      <c r="V258">
        <f>IF(Tabela3[[#This Row],[Pago]]&lt;&gt;"",IF(F259="",Tabela3[[#This Row],[Saldo]],0))</f>
        <v>0</v>
      </c>
    </row>
    <row r="259" spans="1:22" x14ac:dyDescent="0.25">
      <c r="A259" t="s">
        <v>176</v>
      </c>
      <c r="B259" s="37">
        <v>3</v>
      </c>
      <c r="C259" t="str">
        <f>_xlfn.XLOOKUP(B259,'Centro de Custo'!A$2:A$45,'Centro de Custo'!B$2:B$45)</f>
        <v>Investimentos</v>
      </c>
      <c r="E259" s="39">
        <v>-50000</v>
      </c>
      <c r="F259" s="40" t="s">
        <v>10</v>
      </c>
      <c r="G259" s="41">
        <v>45352</v>
      </c>
      <c r="H259" s="42">
        <f>YEAR(Tabela3[[#This Row],[Data]])</f>
        <v>2024</v>
      </c>
      <c r="I259" s="42" t="str">
        <f>_xlfn.XLOOKUP(J259,'Centro de Custo'!J$2:J$13,'Centro de Custo'!K$2:K$13)</f>
        <v>Março</v>
      </c>
      <c r="J259" s="43">
        <f>MONTH(Tabela3[[#This Row],[Data]])</f>
        <v>3</v>
      </c>
      <c r="K259" s="39">
        <f>SUM(E$3:Tabela3[[#This Row],[Valor]])</f>
        <v>50259.34999999973</v>
      </c>
      <c r="L259" s="40">
        <f t="shared" ref="L259:L322" si="4">17.79/8</f>
        <v>2.22375</v>
      </c>
      <c r="M259" s="40"/>
      <c r="N259" s="40"/>
      <c r="O259" s="40"/>
      <c r="P259" s="39"/>
      <c r="Q259" s="39"/>
      <c r="R259" s="39"/>
      <c r="S259" s="39"/>
      <c r="T259" s="39"/>
      <c r="V259">
        <f>IF(Tabela3[[#This Row],[Pago]]&lt;&gt;"",IF(F260="",Tabela3[[#This Row],[Saldo]],0))</f>
        <v>0</v>
      </c>
    </row>
    <row r="260" spans="1:22" x14ac:dyDescent="0.25">
      <c r="A260" t="s">
        <v>177</v>
      </c>
      <c r="B260" s="37">
        <v>20</v>
      </c>
      <c r="C260" t="str">
        <f>_xlfn.XLOOKUP(B260,'Centro de Custo'!A$2:A$45,'Centro de Custo'!B$2:B$45)</f>
        <v>Desp. ADM</v>
      </c>
      <c r="E260" s="39">
        <v>-334.27</v>
      </c>
      <c r="F260" s="40" t="s">
        <v>10</v>
      </c>
      <c r="G260" s="41">
        <v>45355</v>
      </c>
      <c r="H260" s="42">
        <f>YEAR(Tabela3[[#This Row],[Data]])</f>
        <v>2024</v>
      </c>
      <c r="I260" s="42" t="str">
        <f>_xlfn.XLOOKUP(J260,'Centro de Custo'!J$2:J$13,'Centro de Custo'!K$2:K$13)</f>
        <v>Março</v>
      </c>
      <c r="J260" s="43">
        <f>MONTH(Tabela3[[#This Row],[Data]])</f>
        <v>3</v>
      </c>
      <c r="K260" s="39">
        <f>SUM(E$3:Tabela3[[#This Row],[Valor]])</f>
        <v>49925.07999999973</v>
      </c>
      <c r="L260" s="40">
        <f t="shared" si="4"/>
        <v>2.22375</v>
      </c>
      <c r="M260" s="40"/>
      <c r="N260" s="40"/>
      <c r="O260" s="40"/>
      <c r="P260" s="39"/>
      <c r="Q260" s="39"/>
      <c r="R260" s="39"/>
      <c r="S260" s="39"/>
      <c r="T260" s="39"/>
      <c r="V260">
        <f>IF(Tabela3[[#This Row],[Pago]]&lt;&gt;"",IF(F261="",Tabela3[[#This Row],[Saldo]],0))</f>
        <v>0</v>
      </c>
    </row>
    <row r="261" spans="1:22" x14ac:dyDescent="0.25">
      <c r="A261" t="s">
        <v>178</v>
      </c>
      <c r="B261" s="37">
        <v>20</v>
      </c>
      <c r="C261" t="str">
        <f>_xlfn.XLOOKUP(B261,'Centro de Custo'!A$2:A$45,'Centro de Custo'!B$2:B$45)</f>
        <v>Desp. ADM</v>
      </c>
      <c r="E261" s="39">
        <v>-40.61</v>
      </c>
      <c r="F261" s="40" t="s">
        <v>10</v>
      </c>
      <c r="G261" s="41">
        <v>45356</v>
      </c>
      <c r="H261" s="42">
        <f>YEAR(Tabela3[[#This Row],[Data]])</f>
        <v>2024</v>
      </c>
      <c r="I261" s="42" t="str">
        <f>_xlfn.XLOOKUP(J261,'Centro de Custo'!J$2:J$13,'Centro de Custo'!K$2:K$13)</f>
        <v>Março</v>
      </c>
      <c r="J261" s="43">
        <f>MONTH(Tabela3[[#This Row],[Data]])</f>
        <v>3</v>
      </c>
      <c r="K261" s="39">
        <f>SUM(E$3:Tabela3[[#This Row],[Valor]])</f>
        <v>49884.46999999973</v>
      </c>
      <c r="L261" s="40">
        <f t="shared" si="4"/>
        <v>2.22375</v>
      </c>
      <c r="M261" s="40"/>
      <c r="N261" s="40"/>
      <c r="O261" s="40"/>
      <c r="P261" s="39"/>
      <c r="Q261" s="39"/>
      <c r="R261" s="39"/>
      <c r="S261" s="39"/>
      <c r="T261" s="39"/>
      <c r="V261">
        <f>IF(Tabela3[[#This Row],[Pago]]&lt;&gt;"",IF(F262="",Tabela3[[#This Row],[Saldo]],0))</f>
        <v>0</v>
      </c>
    </row>
    <row r="262" spans="1:22" x14ac:dyDescent="0.25">
      <c r="A262" t="s">
        <v>167</v>
      </c>
      <c r="B262" s="37">
        <v>20</v>
      </c>
      <c r="C262" t="str">
        <f>_xlfn.XLOOKUP(B262,'Centro de Custo'!A$2:A$45,'Centro de Custo'!B$2:B$45)</f>
        <v>Desp. ADM</v>
      </c>
      <c r="E262" s="39">
        <v>-524.71</v>
      </c>
      <c r="F262" s="40" t="s">
        <v>10</v>
      </c>
      <c r="G262" s="41">
        <v>45356</v>
      </c>
      <c r="H262" s="42">
        <f>YEAR(Tabela3[[#This Row],[Data]])</f>
        <v>2024</v>
      </c>
      <c r="I262" s="42" t="str">
        <f>_xlfn.XLOOKUP(J262,'Centro de Custo'!J$2:J$13,'Centro de Custo'!K$2:K$13)</f>
        <v>Março</v>
      </c>
      <c r="J262" s="43">
        <f>MONTH(Tabela3[[#This Row],[Data]])</f>
        <v>3</v>
      </c>
      <c r="K262" s="39">
        <f>SUM(E$3:Tabela3[[#This Row],[Valor]])</f>
        <v>49359.75999999973</v>
      </c>
      <c r="L262" s="40">
        <f t="shared" si="4"/>
        <v>2.22375</v>
      </c>
      <c r="M262" s="40"/>
      <c r="N262" s="40"/>
      <c r="O262" s="40"/>
      <c r="P262" s="39"/>
      <c r="Q262" s="39"/>
      <c r="R262" s="39"/>
      <c r="S262" s="39"/>
      <c r="T262" s="39"/>
      <c r="V262">
        <f>IF(Tabela3[[#This Row],[Pago]]&lt;&gt;"",IF(F263="",Tabela3[[#This Row],[Saldo]],0))</f>
        <v>0</v>
      </c>
    </row>
    <row r="263" spans="1:22" x14ac:dyDescent="0.25">
      <c r="A263" t="s">
        <v>168</v>
      </c>
      <c r="B263" s="37">
        <v>20</v>
      </c>
      <c r="C263" t="str">
        <f>_xlfn.XLOOKUP(B263,'Centro de Custo'!A$2:A$45,'Centro de Custo'!B$2:B$45)</f>
        <v>Desp. ADM</v>
      </c>
      <c r="E263" s="39">
        <v>-652.01</v>
      </c>
      <c r="F263" s="40" t="s">
        <v>10</v>
      </c>
      <c r="G263" s="41">
        <v>45356</v>
      </c>
      <c r="H263" s="42">
        <f>YEAR(Tabela3[[#This Row],[Data]])</f>
        <v>2024</v>
      </c>
      <c r="I263" s="42" t="str">
        <f>_xlfn.XLOOKUP(J263,'Centro de Custo'!J$2:J$13,'Centro de Custo'!K$2:K$13)</f>
        <v>Março</v>
      </c>
      <c r="J263" s="43">
        <f>MONTH(Tabela3[[#This Row],[Data]])</f>
        <v>3</v>
      </c>
      <c r="K263" s="39">
        <f>SUM(E$3:Tabela3[[#This Row],[Valor]])</f>
        <v>48707.74999999973</v>
      </c>
      <c r="L263" s="40">
        <f t="shared" si="4"/>
        <v>2.22375</v>
      </c>
      <c r="M263" s="40"/>
      <c r="N263" s="40"/>
      <c r="O263" s="40"/>
      <c r="P263" s="39"/>
      <c r="Q263" s="39"/>
      <c r="R263" s="39"/>
      <c r="S263" s="39"/>
      <c r="T263" s="39"/>
      <c r="V263">
        <f>IF(Tabela3[[#This Row],[Pago]]&lt;&gt;"",IF(F264="",Tabela3[[#This Row],[Saldo]],0))</f>
        <v>0</v>
      </c>
    </row>
    <row r="264" spans="1:22" x14ac:dyDescent="0.25">
      <c r="A264" t="s">
        <v>169</v>
      </c>
      <c r="B264" s="37">
        <v>20</v>
      </c>
      <c r="C264" t="str">
        <f>_xlfn.XLOOKUP(B264,'Centro de Custo'!A$2:A$45,'Centro de Custo'!B$2:B$45)</f>
        <v>Desp. ADM</v>
      </c>
      <c r="E264" s="39">
        <v>-652.01</v>
      </c>
      <c r="F264" s="40" t="s">
        <v>10</v>
      </c>
      <c r="G264" s="41">
        <v>45356</v>
      </c>
      <c r="H264" s="42">
        <f>YEAR(Tabela3[[#This Row],[Data]])</f>
        <v>2024</v>
      </c>
      <c r="I264" s="42" t="str">
        <f>_xlfn.XLOOKUP(J264,'Centro de Custo'!J$2:J$13,'Centro de Custo'!K$2:K$13)</f>
        <v>Março</v>
      </c>
      <c r="J264" s="43">
        <f>MONTH(Tabela3[[#This Row],[Data]])</f>
        <v>3</v>
      </c>
      <c r="K264" s="39">
        <f>SUM(E$3:Tabela3[[#This Row],[Valor]])</f>
        <v>48055.73999999973</v>
      </c>
      <c r="L264" s="40">
        <f t="shared" si="4"/>
        <v>2.22375</v>
      </c>
      <c r="M264" s="40"/>
      <c r="N264" s="40"/>
      <c r="O264" s="40"/>
      <c r="P264" s="39"/>
      <c r="Q264" s="39"/>
      <c r="R264" s="39"/>
      <c r="S264" s="39"/>
      <c r="T264" s="39"/>
      <c r="V264">
        <f>IF(Tabela3[[#This Row],[Pago]]&lt;&gt;"",IF(F265="",Tabela3[[#This Row],[Saldo]],0))</f>
        <v>0</v>
      </c>
    </row>
    <row r="265" spans="1:22" x14ac:dyDescent="0.25">
      <c r="A265" t="s">
        <v>179</v>
      </c>
      <c r="B265" s="37">
        <v>13</v>
      </c>
      <c r="C265" t="str">
        <f>_xlfn.XLOOKUP(B265,'Centro de Custo'!A$2:A$45,'Centro de Custo'!B$2:B$45)</f>
        <v>Terceirizados</v>
      </c>
      <c r="E265" s="39">
        <v>-2698.18</v>
      </c>
      <c r="F265" s="40" t="s">
        <v>10</v>
      </c>
      <c r="G265" s="41">
        <v>45356</v>
      </c>
      <c r="H265" s="42">
        <f>YEAR(Tabela3[[#This Row],[Data]])</f>
        <v>2024</v>
      </c>
      <c r="I265" s="42" t="str">
        <f>_xlfn.XLOOKUP(J265,'Centro de Custo'!J$2:J$13,'Centro de Custo'!K$2:K$13)</f>
        <v>Março</v>
      </c>
      <c r="J265" s="43">
        <f>MONTH(Tabela3[[#This Row],[Data]])</f>
        <v>3</v>
      </c>
      <c r="K265" s="39">
        <f>SUM(E$3:Tabela3[[#This Row],[Valor]])</f>
        <v>45357.55999999973</v>
      </c>
      <c r="L265" s="40">
        <f t="shared" si="4"/>
        <v>2.22375</v>
      </c>
      <c r="M265" s="40"/>
      <c r="N265" s="40"/>
      <c r="O265" s="40"/>
      <c r="P265" s="39"/>
      <c r="Q265" s="39"/>
      <c r="R265" s="39"/>
      <c r="S265" s="39"/>
      <c r="T265" s="39"/>
      <c r="V265">
        <f>IF(Tabela3[[#This Row],[Pago]]&lt;&gt;"",IF(F266="",Tabela3[[#This Row],[Saldo]],0))</f>
        <v>0</v>
      </c>
    </row>
    <row r="266" spans="1:22" x14ac:dyDescent="0.25">
      <c r="A266" t="s">
        <v>51</v>
      </c>
      <c r="B266" s="37">
        <v>41</v>
      </c>
      <c r="C266" t="str">
        <f>_xlfn.XLOOKUP(B266,'Centro de Custo'!A$2:A$45,'Centro de Custo'!B$2:B$45)</f>
        <v>Resgate Financeiro</v>
      </c>
      <c r="E266" s="39">
        <v>250000</v>
      </c>
      <c r="F266" s="40" t="s">
        <v>10</v>
      </c>
      <c r="G266" s="41">
        <v>45357</v>
      </c>
      <c r="H266" s="42">
        <f>YEAR(Tabela3[[#This Row],[Data]])</f>
        <v>2024</v>
      </c>
      <c r="I266" s="42" t="str">
        <f>_xlfn.XLOOKUP(J266,'Centro de Custo'!J$2:J$13,'Centro de Custo'!K$2:K$13)</f>
        <v>Março</v>
      </c>
      <c r="J266" s="43">
        <f>MONTH(Tabela3[[#This Row],[Data]])</f>
        <v>3</v>
      </c>
      <c r="K266" s="39">
        <f>SUM(E$3:Tabela3[[#This Row],[Valor]])</f>
        <v>295357.5599999997</v>
      </c>
      <c r="L266" s="40">
        <f t="shared" si="4"/>
        <v>2.22375</v>
      </c>
      <c r="M266" s="40"/>
      <c r="N266" s="40"/>
      <c r="O266" s="40"/>
      <c r="P266" s="39"/>
      <c r="Q266" s="39"/>
      <c r="R266" s="39"/>
      <c r="S266" s="39"/>
      <c r="T266" s="39"/>
      <c r="V266">
        <f>IF(Tabela3[[#This Row],[Pago]]&lt;&gt;"",IF(F267="",Tabela3[[#This Row],[Saldo]],0))</f>
        <v>0</v>
      </c>
    </row>
    <row r="267" spans="1:22" x14ac:dyDescent="0.25">
      <c r="A267" t="s">
        <v>55</v>
      </c>
      <c r="B267" s="37">
        <v>10</v>
      </c>
      <c r="C267" t="str">
        <f>_xlfn.XLOOKUP(B267,'Centro de Custo'!A$2:A$45,'Centro de Custo'!B$2:B$45)</f>
        <v>Retirada Mensal</v>
      </c>
      <c r="E267" s="39">
        <v>-10900</v>
      </c>
      <c r="F267" s="40" t="s">
        <v>10</v>
      </c>
      <c r="G267" s="41">
        <v>45357</v>
      </c>
      <c r="H267" s="42">
        <f>YEAR(Tabela3[[#This Row],[Data]])</f>
        <v>2024</v>
      </c>
      <c r="I267" s="42" t="str">
        <f>_xlfn.XLOOKUP(J267,'Centro de Custo'!J$2:J$13,'Centro de Custo'!K$2:K$13)</f>
        <v>Março</v>
      </c>
      <c r="J267" s="43">
        <f>MONTH(Tabela3[[#This Row],[Data]])</f>
        <v>3</v>
      </c>
      <c r="K267" s="39">
        <f>SUM(E$3:Tabela3[[#This Row],[Valor]])</f>
        <v>284457.5599999997</v>
      </c>
      <c r="L267" s="40">
        <f t="shared" si="4"/>
        <v>2.22375</v>
      </c>
      <c r="M267" s="40"/>
      <c r="N267" s="40"/>
      <c r="O267" s="40"/>
      <c r="P267" s="39"/>
      <c r="Q267" s="39"/>
      <c r="R267" s="39"/>
      <c r="S267" s="39"/>
      <c r="T267" s="39"/>
      <c r="V267">
        <f>IF(Tabela3[[#This Row],[Pago]]&lt;&gt;"",IF(F268="",Tabela3[[#This Row],[Saldo]],0))</f>
        <v>0</v>
      </c>
    </row>
    <row r="268" spans="1:22" x14ac:dyDescent="0.25">
      <c r="A268" t="s">
        <v>180</v>
      </c>
      <c r="B268" s="37">
        <v>3</v>
      </c>
      <c r="C268" t="str">
        <f>_xlfn.XLOOKUP(B268,'Centro de Custo'!A$2:A$45,'Centro de Custo'!B$2:B$45)</f>
        <v>Investimentos</v>
      </c>
      <c r="E268" s="39">
        <v>-12000</v>
      </c>
      <c r="F268" s="40" t="s">
        <v>10</v>
      </c>
      <c r="G268" s="41">
        <v>45357</v>
      </c>
      <c r="H268" s="42">
        <f>YEAR(Tabela3[[#This Row],[Data]])</f>
        <v>2024</v>
      </c>
      <c r="I268" s="42" t="str">
        <f>_xlfn.XLOOKUP(J268,'Centro de Custo'!J$2:J$13,'Centro de Custo'!K$2:K$13)</f>
        <v>Março</v>
      </c>
      <c r="J268" s="43">
        <f>MONTH(Tabela3[[#This Row],[Data]])</f>
        <v>3</v>
      </c>
      <c r="K268" s="39">
        <f>SUM(E$3:Tabela3[[#This Row],[Valor]])</f>
        <v>272457.5599999997</v>
      </c>
      <c r="L268" s="40">
        <f t="shared" si="4"/>
        <v>2.22375</v>
      </c>
      <c r="M268" s="40"/>
      <c r="N268" s="40"/>
      <c r="O268" s="40"/>
      <c r="P268" s="39"/>
      <c r="Q268" s="39"/>
      <c r="R268" s="39"/>
      <c r="S268" s="39"/>
      <c r="T268" s="39"/>
      <c r="V268">
        <f>IF(Tabela3[[#This Row],[Pago]]&lt;&gt;"",IF(F269="",Tabela3[[#This Row],[Saldo]],0))</f>
        <v>0</v>
      </c>
    </row>
    <row r="269" spans="1:22" x14ac:dyDescent="0.25">
      <c r="A269" t="s">
        <v>181</v>
      </c>
      <c r="B269" s="37">
        <v>3</v>
      </c>
      <c r="C269" t="str">
        <f>_xlfn.XLOOKUP(B269,'Centro de Custo'!A$2:A$45,'Centro de Custo'!B$2:B$45)</f>
        <v>Investimentos</v>
      </c>
      <c r="E269" s="39">
        <v>-13000</v>
      </c>
      <c r="F269" s="40" t="s">
        <v>10</v>
      </c>
      <c r="G269" s="41">
        <v>45357</v>
      </c>
      <c r="H269" s="42">
        <f>YEAR(Tabela3[[#This Row],[Data]])</f>
        <v>2024</v>
      </c>
      <c r="I269" s="42" t="str">
        <f>_xlfn.XLOOKUP(J269,'Centro de Custo'!J$2:J$13,'Centro de Custo'!K$2:K$13)</f>
        <v>Março</v>
      </c>
      <c r="J269" s="43">
        <f>MONTH(Tabela3[[#This Row],[Data]])</f>
        <v>3</v>
      </c>
      <c r="K269" s="39">
        <f>SUM(E$3:Tabela3[[#This Row],[Valor]])</f>
        <v>259457.5599999997</v>
      </c>
      <c r="L269" s="40">
        <f t="shared" si="4"/>
        <v>2.22375</v>
      </c>
      <c r="M269" s="40"/>
      <c r="N269" s="40"/>
      <c r="O269" s="40"/>
      <c r="P269" s="39"/>
      <c r="Q269" s="39"/>
      <c r="R269" s="39"/>
      <c r="S269" s="39"/>
      <c r="T269" s="39"/>
      <c r="V269">
        <f>IF(Tabela3[[#This Row],[Pago]]&lt;&gt;"",IF(F270="",Tabela3[[#This Row],[Saldo]],0))</f>
        <v>0</v>
      </c>
    </row>
    <row r="270" spans="1:22" x14ac:dyDescent="0.25">
      <c r="A270" t="s">
        <v>91</v>
      </c>
      <c r="B270" s="37">
        <v>10</v>
      </c>
      <c r="C270" t="str">
        <f>_xlfn.XLOOKUP(B270,'Centro de Custo'!A$2:A$45,'Centro de Custo'!B$2:B$45)</f>
        <v>Retirada Mensal</v>
      </c>
      <c r="E270" s="39">
        <v>-14000</v>
      </c>
      <c r="F270" s="40" t="s">
        <v>10</v>
      </c>
      <c r="G270" s="41">
        <v>45357</v>
      </c>
      <c r="H270" s="42">
        <f>YEAR(Tabela3[[#This Row],[Data]])</f>
        <v>2024</v>
      </c>
      <c r="I270" s="42" t="str">
        <f>_xlfn.XLOOKUP(J270,'Centro de Custo'!J$2:J$13,'Centro de Custo'!K$2:K$13)</f>
        <v>Março</v>
      </c>
      <c r="J270" s="43">
        <f>MONTH(Tabela3[[#This Row],[Data]])</f>
        <v>3</v>
      </c>
      <c r="K270" s="39">
        <f>SUM(E$3:Tabela3[[#This Row],[Valor]])</f>
        <v>245457.5599999997</v>
      </c>
      <c r="L270" s="40">
        <f t="shared" si="4"/>
        <v>2.22375</v>
      </c>
      <c r="M270" s="40"/>
      <c r="N270" s="40"/>
      <c r="O270" s="40"/>
      <c r="P270" s="39"/>
      <c r="Q270" s="39"/>
      <c r="R270" s="39"/>
      <c r="S270" s="39"/>
      <c r="T270" s="39"/>
      <c r="V270">
        <f>IF(Tabela3[[#This Row],[Pago]]&lt;&gt;"",IF(F271="",Tabela3[[#This Row],[Saldo]],0))</f>
        <v>0</v>
      </c>
    </row>
    <row r="271" spans="1:22" x14ac:dyDescent="0.25">
      <c r="A271" t="s">
        <v>182</v>
      </c>
      <c r="B271" s="37">
        <v>10</v>
      </c>
      <c r="C271" t="str">
        <f>_xlfn.XLOOKUP(B271,'Centro de Custo'!A$2:A$45,'Centro de Custo'!B$2:B$45)</f>
        <v>Retirada Mensal</v>
      </c>
      <c r="E271" s="39">
        <v>-17000</v>
      </c>
      <c r="F271" s="40" t="s">
        <v>10</v>
      </c>
      <c r="G271" s="41">
        <v>45357</v>
      </c>
      <c r="H271" s="42">
        <f>YEAR(Tabela3[[#This Row],[Data]])</f>
        <v>2024</v>
      </c>
      <c r="I271" s="42" t="str">
        <f>_xlfn.XLOOKUP(J271,'Centro de Custo'!J$2:J$13,'Centro de Custo'!K$2:K$13)</f>
        <v>Março</v>
      </c>
      <c r="J271" s="43">
        <f>MONTH(Tabela3[[#This Row],[Data]])</f>
        <v>3</v>
      </c>
      <c r="K271" s="39">
        <f>SUM(E$3:Tabela3[[#This Row],[Valor]])</f>
        <v>228457.5599999997</v>
      </c>
      <c r="L271" s="40">
        <f t="shared" si="4"/>
        <v>2.22375</v>
      </c>
      <c r="M271" s="40"/>
      <c r="N271" s="40"/>
      <c r="O271" s="40"/>
      <c r="P271" s="39"/>
      <c r="Q271" s="39"/>
      <c r="R271" s="39"/>
      <c r="S271" s="39"/>
      <c r="T271" s="39"/>
      <c r="V271">
        <f>IF(Tabela3[[#This Row],[Pago]]&lt;&gt;"",IF(F272="",Tabela3[[#This Row],[Saldo]],0))</f>
        <v>0</v>
      </c>
    </row>
    <row r="272" spans="1:22" x14ac:dyDescent="0.25">
      <c r="A272" t="s">
        <v>183</v>
      </c>
      <c r="B272" s="37">
        <v>10</v>
      </c>
      <c r="C272" t="str">
        <f>_xlfn.XLOOKUP(B272,'Centro de Custo'!A$2:A$45,'Centro de Custo'!B$2:B$45)</f>
        <v>Retirada Mensal</v>
      </c>
      <c r="E272" s="39">
        <v>-30000</v>
      </c>
      <c r="F272" s="40" t="s">
        <v>10</v>
      </c>
      <c r="G272" s="41">
        <v>45357</v>
      </c>
      <c r="H272" s="42">
        <f>YEAR(Tabela3[[#This Row],[Data]])</f>
        <v>2024</v>
      </c>
      <c r="I272" s="42" t="str">
        <f>_xlfn.XLOOKUP(J272,'Centro de Custo'!J$2:J$13,'Centro de Custo'!K$2:K$13)</f>
        <v>Março</v>
      </c>
      <c r="J272" s="43">
        <f>MONTH(Tabela3[[#This Row],[Data]])</f>
        <v>3</v>
      </c>
      <c r="K272" s="39">
        <f>SUM(E$3:Tabela3[[#This Row],[Valor]])</f>
        <v>198457.5599999997</v>
      </c>
      <c r="L272" s="40">
        <f t="shared" si="4"/>
        <v>2.22375</v>
      </c>
      <c r="M272" s="40"/>
      <c r="N272" s="40"/>
      <c r="O272" s="40"/>
      <c r="P272" s="39"/>
      <c r="Q272" s="39"/>
      <c r="R272" s="39"/>
      <c r="S272" s="39"/>
      <c r="T272" s="39"/>
      <c r="V272">
        <f>IF(Tabela3[[#This Row],[Pago]]&lt;&gt;"",IF(F273="",Tabela3[[#This Row],[Saldo]],0))</f>
        <v>0</v>
      </c>
    </row>
    <row r="273" spans="1:22" x14ac:dyDescent="0.25">
      <c r="A273" t="s">
        <v>184</v>
      </c>
      <c r="B273" s="37">
        <v>10</v>
      </c>
      <c r="C273" t="str">
        <f>_xlfn.XLOOKUP(B273,'Centro de Custo'!A$2:A$45,'Centro de Custo'!B$2:B$45)</f>
        <v>Retirada Mensal</v>
      </c>
      <c r="E273" s="39">
        <v>-49000</v>
      </c>
      <c r="F273" s="40" t="s">
        <v>10</v>
      </c>
      <c r="G273" s="41">
        <v>45357</v>
      </c>
      <c r="H273" s="42">
        <f>YEAR(Tabela3[[#This Row],[Data]])</f>
        <v>2024</v>
      </c>
      <c r="I273" s="42" t="str">
        <f>_xlfn.XLOOKUP(J273,'Centro de Custo'!J$2:J$13,'Centro de Custo'!K$2:K$13)</f>
        <v>Março</v>
      </c>
      <c r="J273" s="43">
        <f>MONTH(Tabela3[[#This Row],[Data]])</f>
        <v>3</v>
      </c>
      <c r="K273" s="39">
        <f>SUM(E$3:Tabela3[[#This Row],[Valor]])</f>
        <v>149457.5599999997</v>
      </c>
      <c r="L273" s="40">
        <f t="shared" si="4"/>
        <v>2.22375</v>
      </c>
      <c r="M273" s="40"/>
      <c r="N273" s="40"/>
      <c r="O273" s="40"/>
      <c r="P273" s="39"/>
      <c r="Q273" s="39"/>
      <c r="R273" s="39"/>
      <c r="S273" s="39"/>
      <c r="T273" s="39"/>
      <c r="V273">
        <f>IF(Tabela3[[#This Row],[Pago]]&lt;&gt;"",IF(F274="",Tabela3[[#This Row],[Saldo]],0))</f>
        <v>0</v>
      </c>
    </row>
    <row r="274" spans="1:22" x14ac:dyDescent="0.25">
      <c r="A274" t="s">
        <v>185</v>
      </c>
      <c r="B274" s="37">
        <v>12</v>
      </c>
      <c r="C274" t="str">
        <f>_xlfn.XLOOKUP(B274,'Centro de Custo'!A$2:A$45,'Centro de Custo'!B$2:B$45)</f>
        <v>Direitos Autorais Terceiros</v>
      </c>
      <c r="E274" s="39">
        <v>-50000</v>
      </c>
      <c r="F274" s="40" t="s">
        <v>10</v>
      </c>
      <c r="G274" s="41">
        <v>45357</v>
      </c>
      <c r="H274" s="42">
        <f>YEAR(Tabela3[[#This Row],[Data]])</f>
        <v>2024</v>
      </c>
      <c r="I274" s="42" t="str">
        <f>_xlfn.XLOOKUP(J274,'Centro de Custo'!J$2:J$13,'Centro de Custo'!K$2:K$13)</f>
        <v>Março</v>
      </c>
      <c r="J274" s="43">
        <f>MONTH(Tabela3[[#This Row],[Data]])</f>
        <v>3</v>
      </c>
      <c r="K274" s="39">
        <f>SUM(E$3:Tabela3[[#This Row],[Valor]])</f>
        <v>99457.5599999997</v>
      </c>
      <c r="L274" s="40">
        <f t="shared" si="4"/>
        <v>2.22375</v>
      </c>
      <c r="M274" s="40"/>
      <c r="N274" s="40"/>
      <c r="O274" s="40"/>
      <c r="P274" s="39"/>
      <c r="Q274" s="39"/>
      <c r="R274" s="39"/>
      <c r="S274" s="39"/>
      <c r="T274" s="39"/>
      <c r="V274">
        <f>IF(Tabela3[[#This Row],[Pago]]&lt;&gt;"",IF(F275="",Tabela3[[#This Row],[Saldo]],0))</f>
        <v>0</v>
      </c>
    </row>
    <row r="275" spans="1:22" x14ac:dyDescent="0.25">
      <c r="A275" t="s">
        <v>134</v>
      </c>
      <c r="B275" s="37">
        <v>13</v>
      </c>
      <c r="C275" t="str">
        <f>_xlfn.XLOOKUP(B275,'Centro de Custo'!A$2:A$45,'Centro de Custo'!B$2:B$45)</f>
        <v>Terceirizados</v>
      </c>
      <c r="E275" s="39">
        <v>-5000</v>
      </c>
      <c r="F275" s="40" t="s">
        <v>10</v>
      </c>
      <c r="G275" s="41">
        <v>45358</v>
      </c>
      <c r="H275" s="42">
        <f>YEAR(Tabela3[[#This Row],[Data]])</f>
        <v>2024</v>
      </c>
      <c r="I275" s="42" t="str">
        <f>_xlfn.XLOOKUP(J275,'Centro de Custo'!J$2:J$13,'Centro de Custo'!K$2:K$13)</f>
        <v>Março</v>
      </c>
      <c r="J275" s="43">
        <f>MONTH(Tabela3[[#This Row],[Data]])</f>
        <v>3</v>
      </c>
      <c r="K275" s="39">
        <f>SUM(E$3:Tabela3[[#This Row],[Valor]])</f>
        <v>94457.5599999997</v>
      </c>
      <c r="L275" s="40">
        <f t="shared" si="4"/>
        <v>2.22375</v>
      </c>
      <c r="M275" s="40"/>
      <c r="N275" s="40"/>
      <c r="O275" s="40"/>
      <c r="P275" s="39"/>
      <c r="Q275" s="39"/>
      <c r="R275" s="39"/>
      <c r="S275" s="39"/>
      <c r="T275" s="39"/>
      <c r="V275">
        <f>IF(Tabela3[[#This Row],[Pago]]&lt;&gt;"",IF(F276="",Tabela3[[#This Row],[Saldo]],0))</f>
        <v>0</v>
      </c>
    </row>
    <row r="276" spans="1:22" x14ac:dyDescent="0.25">
      <c r="A276" t="s">
        <v>123</v>
      </c>
      <c r="B276" s="37">
        <v>13</v>
      </c>
      <c r="C276" t="str">
        <f>_xlfn.XLOOKUP(B276,'Centro de Custo'!A$2:A$45,'Centro de Custo'!B$2:B$45)</f>
        <v>Terceirizados</v>
      </c>
      <c r="E276" s="39">
        <v>-6055</v>
      </c>
      <c r="F276" s="40" t="s">
        <v>10</v>
      </c>
      <c r="G276" s="41">
        <v>45358</v>
      </c>
      <c r="H276" s="42">
        <f>YEAR(Tabela3[[#This Row],[Data]])</f>
        <v>2024</v>
      </c>
      <c r="I276" s="42" t="str">
        <f>_xlfn.XLOOKUP(J276,'Centro de Custo'!J$2:J$13,'Centro de Custo'!K$2:K$13)</f>
        <v>Março</v>
      </c>
      <c r="J276" s="43">
        <f>MONTH(Tabela3[[#This Row],[Data]])</f>
        <v>3</v>
      </c>
      <c r="K276" s="39">
        <f>SUM(E$3:Tabela3[[#This Row],[Valor]])</f>
        <v>88402.5599999997</v>
      </c>
      <c r="L276" s="40">
        <f t="shared" si="4"/>
        <v>2.22375</v>
      </c>
      <c r="M276" s="40"/>
      <c r="N276" s="40"/>
      <c r="O276" s="40"/>
      <c r="P276" s="39"/>
      <c r="Q276" s="39"/>
      <c r="R276" s="39"/>
      <c r="S276" s="39"/>
      <c r="T276" s="39"/>
      <c r="V276">
        <f>IF(Tabela3[[#This Row],[Pago]]&lt;&gt;"",IF(F277="",Tabela3[[#This Row],[Saldo]],0))</f>
        <v>0</v>
      </c>
    </row>
    <row r="277" spans="1:22" x14ac:dyDescent="0.25">
      <c r="A277" t="s">
        <v>186</v>
      </c>
      <c r="B277" s="37">
        <v>10</v>
      </c>
      <c r="C277" t="str">
        <f>_xlfn.XLOOKUP(B277,'Centro de Custo'!A$2:A$45,'Centro de Custo'!B$2:B$45)</f>
        <v>Retirada Mensal</v>
      </c>
      <c r="E277" s="39">
        <v>-10000</v>
      </c>
      <c r="F277" s="40" t="s">
        <v>10</v>
      </c>
      <c r="G277" s="41">
        <v>45358</v>
      </c>
      <c r="H277" s="42">
        <f>YEAR(Tabela3[[#This Row],[Data]])</f>
        <v>2024</v>
      </c>
      <c r="I277" s="42" t="str">
        <f>_xlfn.XLOOKUP(J277,'Centro de Custo'!J$2:J$13,'Centro de Custo'!K$2:K$13)</f>
        <v>Março</v>
      </c>
      <c r="J277" s="43">
        <f>MONTH(Tabela3[[#This Row],[Data]])</f>
        <v>3</v>
      </c>
      <c r="K277" s="39">
        <f>SUM(E$3:Tabela3[[#This Row],[Valor]])</f>
        <v>78402.5599999997</v>
      </c>
      <c r="L277" s="40">
        <f t="shared" si="4"/>
        <v>2.22375</v>
      </c>
      <c r="M277" s="40"/>
      <c r="N277" s="40"/>
      <c r="O277" s="40"/>
      <c r="P277" s="39"/>
      <c r="Q277" s="39"/>
      <c r="R277" s="39"/>
      <c r="S277" s="39"/>
      <c r="T277" s="39"/>
      <c r="V277">
        <f>IF(Tabela3[[#This Row],[Pago]]&lt;&gt;"",IF(F278="",Tabela3[[#This Row],[Saldo]],0))</f>
        <v>0</v>
      </c>
    </row>
    <row r="278" spans="1:22" x14ac:dyDescent="0.25">
      <c r="A278" t="s">
        <v>108</v>
      </c>
      <c r="B278" s="37">
        <v>10</v>
      </c>
      <c r="C278" t="str">
        <f>_xlfn.XLOOKUP(B278,'Centro de Custo'!A$2:A$45,'Centro de Custo'!B$2:B$45)</f>
        <v>Retirada Mensal</v>
      </c>
      <c r="E278" s="39">
        <v>-11000</v>
      </c>
      <c r="F278" s="40" t="s">
        <v>10</v>
      </c>
      <c r="G278" s="41">
        <v>45358</v>
      </c>
      <c r="H278" s="42">
        <f>YEAR(Tabela3[[#This Row],[Data]])</f>
        <v>2024</v>
      </c>
      <c r="I278" s="42" t="str">
        <f>_xlfn.XLOOKUP(J278,'Centro de Custo'!J$2:J$13,'Centro de Custo'!K$2:K$13)</f>
        <v>Março</v>
      </c>
      <c r="J278" s="43">
        <f>MONTH(Tabela3[[#This Row],[Data]])</f>
        <v>3</v>
      </c>
      <c r="K278" s="39">
        <f>SUM(E$3:Tabela3[[#This Row],[Valor]])</f>
        <v>67402.5599999997</v>
      </c>
      <c r="L278" s="40">
        <f t="shared" si="4"/>
        <v>2.22375</v>
      </c>
      <c r="M278" s="40"/>
      <c r="N278" s="40"/>
      <c r="O278" s="40"/>
      <c r="P278" s="39"/>
      <c r="Q278" s="39"/>
      <c r="R278" s="39"/>
      <c r="S278" s="39"/>
      <c r="T278" s="39"/>
      <c r="V278">
        <f>IF(Tabela3[[#This Row],[Pago]]&lt;&gt;"",IF(F279="",Tabela3[[#This Row],[Saldo]],0))</f>
        <v>0</v>
      </c>
    </row>
    <row r="279" spans="1:22" x14ac:dyDescent="0.25">
      <c r="A279" t="s">
        <v>92</v>
      </c>
      <c r="B279" s="37">
        <v>10</v>
      </c>
      <c r="C279" t="str">
        <f>_xlfn.XLOOKUP(B279,'Centro de Custo'!A$2:A$45,'Centro de Custo'!B$2:B$45)</f>
        <v>Retirada Mensal</v>
      </c>
      <c r="E279" s="39">
        <v>-20000.55</v>
      </c>
      <c r="F279" s="40" t="s">
        <v>10</v>
      </c>
      <c r="G279" s="41">
        <v>45358</v>
      </c>
      <c r="H279" s="42">
        <f>YEAR(Tabela3[[#This Row],[Data]])</f>
        <v>2024</v>
      </c>
      <c r="I279" s="42" t="str">
        <f>_xlfn.XLOOKUP(J279,'Centro de Custo'!J$2:J$13,'Centro de Custo'!K$2:K$13)</f>
        <v>Março</v>
      </c>
      <c r="J279" s="43">
        <f>MONTH(Tabela3[[#This Row],[Data]])</f>
        <v>3</v>
      </c>
      <c r="K279" s="39">
        <f>SUM(E$3:Tabela3[[#This Row],[Valor]])</f>
        <v>47402.009999999704</v>
      </c>
      <c r="L279" s="40">
        <f t="shared" si="4"/>
        <v>2.22375</v>
      </c>
      <c r="M279" s="40"/>
      <c r="N279" s="40"/>
      <c r="O279" s="40"/>
      <c r="P279" s="39"/>
      <c r="Q279" s="39"/>
      <c r="R279" s="39"/>
      <c r="S279" s="39"/>
      <c r="T279" s="39"/>
      <c r="V279">
        <f>IF(Tabela3[[#This Row],[Pago]]&lt;&gt;"",IF(F280="",Tabela3[[#This Row],[Saldo]],0))</f>
        <v>0</v>
      </c>
    </row>
    <row r="280" spans="1:22" x14ac:dyDescent="0.25">
      <c r="A280" t="s">
        <v>187</v>
      </c>
      <c r="B280" s="37">
        <v>10</v>
      </c>
      <c r="C280" t="str">
        <f>_xlfn.XLOOKUP(B280,'Centro de Custo'!A$2:A$45,'Centro de Custo'!B$2:B$45)</f>
        <v>Retirada Mensal</v>
      </c>
      <c r="E280" s="39">
        <v>-6600</v>
      </c>
      <c r="F280" s="40" t="s">
        <v>10</v>
      </c>
      <c r="G280" s="41">
        <v>45359</v>
      </c>
      <c r="H280" s="42">
        <f>YEAR(Tabela3[[#This Row],[Data]])</f>
        <v>2024</v>
      </c>
      <c r="I280" s="42" t="str">
        <f>_xlfn.XLOOKUP(J280,'Centro de Custo'!J$2:J$13,'Centro de Custo'!K$2:K$13)</f>
        <v>Março</v>
      </c>
      <c r="J280" s="43">
        <f>MONTH(Tabela3[[#This Row],[Data]])</f>
        <v>3</v>
      </c>
      <c r="K280" s="39">
        <f>SUM(E$3:Tabela3[[#This Row],[Valor]])</f>
        <v>40802.009999999704</v>
      </c>
      <c r="L280" s="40">
        <f t="shared" si="4"/>
        <v>2.22375</v>
      </c>
      <c r="M280" s="40"/>
      <c r="N280" s="40"/>
      <c r="O280" s="40"/>
      <c r="P280" s="39"/>
      <c r="Q280" s="39"/>
      <c r="R280" s="39"/>
      <c r="S280" s="39"/>
      <c r="T280" s="39"/>
      <c r="V280">
        <f>IF(Tabela3[[#This Row],[Pago]]&lt;&gt;"",IF(F281="",Tabela3[[#This Row],[Saldo]],0))</f>
        <v>0</v>
      </c>
    </row>
    <row r="281" spans="1:22" x14ac:dyDescent="0.25">
      <c r="A281" t="s">
        <v>188</v>
      </c>
      <c r="B281" s="37">
        <v>10</v>
      </c>
      <c r="C281" t="str">
        <f>_xlfn.XLOOKUP(B281,'Centro de Custo'!A$2:A$45,'Centro de Custo'!B$2:B$45)</f>
        <v>Retirada Mensal</v>
      </c>
      <c r="E281" s="39">
        <v>-16088</v>
      </c>
      <c r="F281" s="40" t="s">
        <v>10</v>
      </c>
      <c r="G281" s="41">
        <v>45362</v>
      </c>
      <c r="H281" s="42">
        <f>YEAR(Tabela3[[#This Row],[Data]])</f>
        <v>2024</v>
      </c>
      <c r="I281" s="42" t="str">
        <f>_xlfn.XLOOKUP(J281,'Centro de Custo'!J$2:J$13,'Centro de Custo'!K$2:K$13)</f>
        <v>Março</v>
      </c>
      <c r="J281" s="43">
        <f>MONTH(Tabela3[[#This Row],[Data]])</f>
        <v>3</v>
      </c>
      <c r="K281" s="39">
        <f>SUM(E$3:Tabela3[[#This Row],[Valor]])</f>
        <v>24714.009999999704</v>
      </c>
      <c r="L281" s="40">
        <f t="shared" si="4"/>
        <v>2.22375</v>
      </c>
      <c r="M281" s="40"/>
      <c r="N281" s="40"/>
      <c r="O281" s="40"/>
      <c r="P281" s="39"/>
      <c r="Q281" s="39"/>
      <c r="R281" s="39"/>
      <c r="S281" s="39"/>
      <c r="T281" s="39"/>
      <c r="V281">
        <f>IF(Tabela3[[#This Row],[Pago]]&lt;&gt;"",IF(F282="",Tabela3[[#This Row],[Saldo]],0))</f>
        <v>0</v>
      </c>
    </row>
    <row r="282" spans="1:22" x14ac:dyDescent="0.25">
      <c r="A282" t="s">
        <v>189</v>
      </c>
      <c r="B282" s="37">
        <v>1</v>
      </c>
      <c r="C282" t="str">
        <f>_xlfn.XLOOKUP(B282,'Centro de Custo'!A$2:A$45,'Centro de Custo'!B$2:B$45)</f>
        <v>Receita de Produto</v>
      </c>
      <c r="E282" s="39">
        <v>350000</v>
      </c>
      <c r="F282" s="40" t="s">
        <v>10</v>
      </c>
      <c r="G282" s="41">
        <v>45363</v>
      </c>
      <c r="H282" s="42">
        <f>YEAR(Tabela3[[#This Row],[Data]])</f>
        <v>2024</v>
      </c>
      <c r="I282" s="42" t="str">
        <f>_xlfn.XLOOKUP(J282,'Centro de Custo'!J$2:J$13,'Centro de Custo'!K$2:K$13)</f>
        <v>Março</v>
      </c>
      <c r="J282" s="43">
        <f>MONTH(Tabela3[[#This Row],[Data]])</f>
        <v>3</v>
      </c>
      <c r="K282" s="39">
        <f>SUM(E$3:Tabela3[[#This Row],[Valor]])</f>
        <v>374714.0099999997</v>
      </c>
      <c r="L282" s="40">
        <f t="shared" si="4"/>
        <v>2.22375</v>
      </c>
      <c r="M282" s="40"/>
      <c r="N282" s="40"/>
      <c r="O282" s="40"/>
      <c r="P282" s="39"/>
      <c r="Q282" s="39"/>
      <c r="R282" s="39"/>
      <c r="S282" s="39"/>
      <c r="T282" s="39"/>
      <c r="V282">
        <f>IF(Tabela3[[#This Row],[Pago]]&lt;&gt;"",IF(F283="",Tabela3[[#This Row],[Saldo]],0))</f>
        <v>0</v>
      </c>
    </row>
    <row r="283" spans="1:22" x14ac:dyDescent="0.25">
      <c r="A283" t="s">
        <v>190</v>
      </c>
      <c r="B283" s="37">
        <v>13</v>
      </c>
      <c r="C283" t="str">
        <f>_xlfn.XLOOKUP(B283,'Centro de Custo'!A$2:A$45,'Centro de Custo'!B$2:B$45)</f>
        <v>Terceirizados</v>
      </c>
      <c r="E283" s="39">
        <v>-4886.44</v>
      </c>
      <c r="F283" s="40" t="s">
        <v>10</v>
      </c>
      <c r="G283" s="41">
        <v>45364</v>
      </c>
      <c r="H283" s="42">
        <f>YEAR(Tabela3[[#This Row],[Data]])</f>
        <v>2024</v>
      </c>
      <c r="I283" s="42" t="str">
        <f>_xlfn.XLOOKUP(J283,'Centro de Custo'!J$2:J$13,'Centro de Custo'!K$2:K$13)</f>
        <v>Março</v>
      </c>
      <c r="J283" s="43">
        <f>MONTH(Tabela3[[#This Row],[Data]])</f>
        <v>3</v>
      </c>
      <c r="K283" s="39">
        <f>SUM(E$3:Tabela3[[#This Row],[Valor]])</f>
        <v>369827.5699999997</v>
      </c>
      <c r="L283" s="40">
        <f t="shared" si="4"/>
        <v>2.22375</v>
      </c>
      <c r="M283" s="40"/>
      <c r="N283" s="40"/>
      <c r="O283" s="40"/>
      <c r="P283" s="39"/>
      <c r="Q283" s="39"/>
      <c r="R283" s="39"/>
      <c r="S283" s="39"/>
      <c r="T283" s="39"/>
      <c r="V283">
        <f>IF(Tabela3[[#This Row],[Pago]]&lt;&gt;"",IF(F284="",Tabela3[[#This Row],[Saldo]],0))</f>
        <v>0</v>
      </c>
    </row>
    <row r="284" spans="1:22" x14ac:dyDescent="0.25">
      <c r="A284" t="s">
        <v>191</v>
      </c>
      <c r="B284" s="37">
        <v>22</v>
      </c>
      <c r="C284" t="str">
        <f>_xlfn.XLOOKUP(B284,'Centro de Custo'!A$2:A$45,'Centro de Custo'!B$2:B$45)</f>
        <v>Doação</v>
      </c>
      <c r="E284" s="39">
        <v>-14300</v>
      </c>
      <c r="F284" s="40" t="s">
        <v>10</v>
      </c>
      <c r="G284" s="41">
        <v>45364</v>
      </c>
      <c r="H284" s="42">
        <f>YEAR(Tabela3[[#This Row],[Data]])</f>
        <v>2024</v>
      </c>
      <c r="I284" s="42" t="str">
        <f>_xlfn.XLOOKUP(J284,'Centro de Custo'!J$2:J$13,'Centro de Custo'!K$2:K$13)</f>
        <v>Março</v>
      </c>
      <c r="J284" s="43">
        <f>MONTH(Tabela3[[#This Row],[Data]])</f>
        <v>3</v>
      </c>
      <c r="K284" s="39">
        <f>SUM(E$3:Tabela3[[#This Row],[Valor]])</f>
        <v>355527.5699999997</v>
      </c>
      <c r="L284" s="40">
        <f t="shared" si="4"/>
        <v>2.22375</v>
      </c>
      <c r="M284" s="40"/>
      <c r="N284" s="40"/>
      <c r="O284" s="40"/>
      <c r="P284" s="39"/>
      <c r="Q284" s="39"/>
      <c r="R284" s="39"/>
      <c r="S284" s="39"/>
      <c r="T284" s="39"/>
      <c r="V284">
        <f>IF(Tabela3[[#This Row],[Pago]]&lt;&gt;"",IF(F285="",Tabela3[[#This Row],[Saldo]],0))</f>
        <v>0</v>
      </c>
    </row>
    <row r="285" spans="1:22" x14ac:dyDescent="0.25">
      <c r="A285" t="s">
        <v>192</v>
      </c>
      <c r="B285" s="37">
        <v>22</v>
      </c>
      <c r="C285" t="str">
        <f>_xlfn.XLOOKUP(B285,'Centro de Custo'!A$2:A$45,'Centro de Custo'!B$2:B$45)</f>
        <v>Doação</v>
      </c>
      <c r="E285" s="39">
        <v>-18000</v>
      </c>
      <c r="F285" s="40" t="s">
        <v>10</v>
      </c>
      <c r="G285" s="41">
        <v>45364</v>
      </c>
      <c r="H285" s="42">
        <f>YEAR(Tabela3[[#This Row],[Data]])</f>
        <v>2024</v>
      </c>
      <c r="I285" s="42" t="str">
        <f>_xlfn.XLOOKUP(J285,'Centro de Custo'!J$2:J$13,'Centro de Custo'!K$2:K$13)</f>
        <v>Março</v>
      </c>
      <c r="J285" s="43">
        <f>MONTH(Tabela3[[#This Row],[Data]])</f>
        <v>3</v>
      </c>
      <c r="K285" s="39">
        <f>SUM(E$3:Tabela3[[#This Row],[Valor]])</f>
        <v>337527.5699999997</v>
      </c>
      <c r="L285" s="40">
        <f t="shared" si="4"/>
        <v>2.22375</v>
      </c>
      <c r="M285" s="40"/>
      <c r="N285" s="40"/>
      <c r="O285" s="40"/>
      <c r="P285" s="39"/>
      <c r="Q285" s="39"/>
      <c r="R285" s="39"/>
      <c r="S285" s="39"/>
      <c r="T285" s="39"/>
      <c r="V285">
        <f>IF(Tabela3[[#This Row],[Pago]]&lt;&gt;"",IF(F286="",Tabela3[[#This Row],[Saldo]],0))</f>
        <v>0</v>
      </c>
    </row>
    <row r="286" spans="1:22" x14ac:dyDescent="0.25">
      <c r="A286" t="s">
        <v>98</v>
      </c>
      <c r="B286" s="37">
        <v>20</v>
      </c>
      <c r="C286" t="str">
        <f>_xlfn.XLOOKUP(B286,'Centro de Custo'!A$2:A$45,'Centro de Custo'!B$2:B$45)</f>
        <v>Desp. ADM</v>
      </c>
      <c r="E286" s="39">
        <v>-149.06</v>
      </c>
      <c r="F286" s="40" t="s">
        <v>10</v>
      </c>
      <c r="G286" s="41">
        <v>45366</v>
      </c>
      <c r="H286" s="42">
        <f>YEAR(Tabela3[[#This Row],[Data]])</f>
        <v>2024</v>
      </c>
      <c r="I286" s="42" t="str">
        <f>_xlfn.XLOOKUP(J286,'Centro de Custo'!J$2:J$13,'Centro de Custo'!K$2:K$13)</f>
        <v>Março</v>
      </c>
      <c r="J286" s="43">
        <f>MONTH(Tabela3[[#This Row],[Data]])</f>
        <v>3</v>
      </c>
      <c r="K286" s="39">
        <f>SUM(E$3:Tabela3[[#This Row],[Valor]])</f>
        <v>337378.5099999997</v>
      </c>
      <c r="L286" s="40">
        <f t="shared" si="4"/>
        <v>2.22375</v>
      </c>
      <c r="M286" s="40"/>
      <c r="N286" s="40"/>
      <c r="O286" s="40"/>
      <c r="P286" s="39"/>
      <c r="Q286" s="39"/>
      <c r="R286" s="39"/>
      <c r="S286" s="39"/>
      <c r="T286" s="39"/>
      <c r="V286">
        <f>IF(Tabela3[[#This Row],[Pago]]&lt;&gt;"",IF(F287="",Tabela3[[#This Row],[Saldo]],0))</f>
        <v>0</v>
      </c>
    </row>
    <row r="287" spans="1:22" x14ac:dyDescent="0.25">
      <c r="A287" t="s">
        <v>193</v>
      </c>
      <c r="B287" s="37">
        <v>20</v>
      </c>
      <c r="C287" t="str">
        <f>_xlfn.XLOOKUP(B287,'Centro de Custo'!A$2:A$45,'Centro de Custo'!B$2:B$45)</f>
        <v>Desp. ADM</v>
      </c>
      <c r="E287" s="39">
        <v>-1750</v>
      </c>
      <c r="F287" s="40" t="s">
        <v>10</v>
      </c>
      <c r="G287" s="41">
        <v>45366</v>
      </c>
      <c r="H287" s="42">
        <f>YEAR(Tabela3[[#This Row],[Data]])</f>
        <v>2024</v>
      </c>
      <c r="I287" s="42" t="str">
        <f>_xlfn.XLOOKUP(J287,'Centro de Custo'!J$2:J$13,'Centro de Custo'!K$2:K$13)</f>
        <v>Março</v>
      </c>
      <c r="J287" s="43">
        <f>MONTH(Tabela3[[#This Row],[Data]])</f>
        <v>3</v>
      </c>
      <c r="K287" s="39">
        <f>SUM(E$3:Tabela3[[#This Row],[Valor]])</f>
        <v>335628.5099999997</v>
      </c>
      <c r="L287" s="40">
        <f t="shared" si="4"/>
        <v>2.22375</v>
      </c>
      <c r="M287" s="40"/>
      <c r="N287" s="40"/>
      <c r="O287" s="40"/>
      <c r="P287" s="39"/>
      <c r="Q287" s="39"/>
      <c r="R287" s="39"/>
      <c r="S287" s="39"/>
      <c r="T287" s="39"/>
      <c r="V287">
        <f>IF(Tabela3[[#This Row],[Pago]]&lt;&gt;"",IF(F288="",Tabela3[[#This Row],[Saldo]],0))</f>
        <v>0</v>
      </c>
    </row>
    <row r="288" spans="1:22" x14ac:dyDescent="0.25">
      <c r="A288" t="s">
        <v>194</v>
      </c>
      <c r="B288" s="37">
        <v>13</v>
      </c>
      <c r="C288" t="str">
        <f>_xlfn.XLOOKUP(B288,'Centro de Custo'!A$2:A$45,'Centro de Custo'!B$2:B$45)</f>
        <v>Terceirizados</v>
      </c>
      <c r="E288" s="39">
        <v>-300</v>
      </c>
      <c r="F288" s="40" t="s">
        <v>10</v>
      </c>
      <c r="G288" s="41">
        <v>45371</v>
      </c>
      <c r="H288" s="42">
        <f>YEAR(Tabela3[[#This Row],[Data]])</f>
        <v>2024</v>
      </c>
      <c r="I288" s="42" t="str">
        <f>_xlfn.XLOOKUP(J288,'Centro de Custo'!J$2:J$13,'Centro de Custo'!K$2:K$13)</f>
        <v>Março</v>
      </c>
      <c r="J288" s="43">
        <f>MONTH(Tabela3[[#This Row],[Data]])</f>
        <v>3</v>
      </c>
      <c r="K288" s="39">
        <f>SUM(E$3:Tabela3[[#This Row],[Valor]])</f>
        <v>335328.5099999997</v>
      </c>
      <c r="L288" s="40">
        <f t="shared" si="4"/>
        <v>2.22375</v>
      </c>
      <c r="M288" s="40"/>
      <c r="N288" s="40"/>
      <c r="O288" s="40"/>
      <c r="P288" s="39"/>
      <c r="Q288" s="39"/>
      <c r="R288" s="39"/>
      <c r="S288" s="39"/>
      <c r="T288" s="39"/>
      <c r="V288">
        <f>IF(Tabela3[[#This Row],[Pago]]&lt;&gt;"",IF(F289="",Tabela3[[#This Row],[Saldo]],0))</f>
        <v>0</v>
      </c>
    </row>
    <row r="289" spans="1:22" x14ac:dyDescent="0.25">
      <c r="A289" t="s">
        <v>195</v>
      </c>
      <c r="B289" s="37">
        <v>30</v>
      </c>
      <c r="C289" t="str">
        <f>_xlfn.XLOOKUP(B289,'Centro de Custo'!A$2:A$45,'Centro de Custo'!B$2:B$45)</f>
        <v>Impostos</v>
      </c>
      <c r="E289" s="39">
        <v>-273.96</v>
      </c>
      <c r="F289" s="40" t="s">
        <v>10</v>
      </c>
      <c r="G289" s="41">
        <v>45373</v>
      </c>
      <c r="H289" s="42">
        <f>YEAR(Tabela3[[#This Row],[Data]])</f>
        <v>2024</v>
      </c>
      <c r="I289" s="42" t="str">
        <f>_xlfn.XLOOKUP(J289,'Centro de Custo'!J$2:J$13,'Centro de Custo'!K$2:K$13)</f>
        <v>Março</v>
      </c>
      <c r="J289" s="43">
        <f>MONTH(Tabela3[[#This Row],[Data]])</f>
        <v>3</v>
      </c>
      <c r="K289" s="39">
        <f>SUM(E$3:Tabela3[[#This Row],[Valor]])</f>
        <v>335054.5499999997</v>
      </c>
      <c r="L289" s="40">
        <f t="shared" si="4"/>
        <v>2.22375</v>
      </c>
      <c r="M289" s="40"/>
      <c r="N289" s="40"/>
      <c r="O289" s="40"/>
      <c r="P289" s="39"/>
      <c r="Q289" s="39"/>
      <c r="R289" s="39"/>
      <c r="S289" s="39"/>
      <c r="T289" s="39"/>
      <c r="V289">
        <f>IF(Tabela3[[#This Row],[Pago]]&lt;&gt;"",IF(F290="",Tabela3[[#This Row],[Saldo]],0))</f>
        <v>0</v>
      </c>
    </row>
    <row r="290" spans="1:22" x14ac:dyDescent="0.25">
      <c r="A290" t="s">
        <v>45</v>
      </c>
      <c r="B290" s="37">
        <v>20</v>
      </c>
      <c r="C290" t="str">
        <f>_xlfn.XLOOKUP(B290,'Centro de Custo'!A$2:A$45,'Centro de Custo'!B$2:B$45)</f>
        <v>Desp. ADM</v>
      </c>
      <c r="E290" s="39">
        <v>-25.85</v>
      </c>
      <c r="F290" s="40" t="s">
        <v>10</v>
      </c>
      <c r="G290" s="41">
        <v>45376</v>
      </c>
      <c r="H290" s="42">
        <f>YEAR(Tabela3[[#This Row],[Data]])</f>
        <v>2024</v>
      </c>
      <c r="I290" s="42" t="str">
        <f>_xlfn.XLOOKUP(J290,'Centro de Custo'!J$2:J$13,'Centro de Custo'!K$2:K$13)</f>
        <v>Março</v>
      </c>
      <c r="J290" s="43">
        <f>MONTH(Tabela3[[#This Row],[Data]])</f>
        <v>3</v>
      </c>
      <c r="K290" s="39">
        <f>SUM(E$3:Tabela3[[#This Row],[Valor]])</f>
        <v>335028.6999999997</v>
      </c>
      <c r="L290" s="40">
        <f t="shared" si="4"/>
        <v>2.22375</v>
      </c>
      <c r="M290" s="40"/>
      <c r="N290" s="40"/>
      <c r="O290" s="40"/>
      <c r="P290" s="39"/>
      <c r="Q290" s="39"/>
      <c r="R290" s="39"/>
      <c r="S290" s="39"/>
      <c r="T290" s="39"/>
      <c r="V290">
        <f>IF(Tabela3[[#This Row],[Pago]]&lt;&gt;"",IF(F291="",Tabela3[[#This Row],[Saldo]],0))</f>
        <v>0</v>
      </c>
    </row>
    <row r="291" spans="1:22" x14ac:dyDescent="0.25">
      <c r="A291" t="s">
        <v>196</v>
      </c>
      <c r="B291" s="37">
        <v>15</v>
      </c>
      <c r="C291" t="str">
        <f>_xlfn.XLOOKUP(B291,'Centro de Custo'!A$2:A$45,'Centro de Custo'!B$2:B$45)</f>
        <v>Viagens</v>
      </c>
      <c r="E291" s="39">
        <v>-25.6</v>
      </c>
      <c r="F291" s="40" t="s">
        <v>10</v>
      </c>
      <c r="G291" s="41">
        <v>45377</v>
      </c>
      <c r="H291" s="42">
        <f>YEAR(Tabela3[[#This Row],[Data]])</f>
        <v>2024</v>
      </c>
      <c r="I291" s="42" t="str">
        <f>_xlfn.XLOOKUP(J291,'Centro de Custo'!J$2:J$13,'Centro de Custo'!K$2:K$13)</f>
        <v>Março</v>
      </c>
      <c r="J291" s="43">
        <f>MONTH(Tabela3[[#This Row],[Data]])</f>
        <v>3</v>
      </c>
      <c r="K291" s="39">
        <f>SUM(E$3:Tabela3[[#This Row],[Valor]])</f>
        <v>335003.09999999974</v>
      </c>
      <c r="L291" s="40">
        <f t="shared" si="4"/>
        <v>2.22375</v>
      </c>
      <c r="M291" s="40"/>
      <c r="N291" s="40"/>
      <c r="O291" s="40"/>
      <c r="P291" s="39"/>
      <c r="Q291" s="39"/>
      <c r="R291" s="39"/>
      <c r="S291" s="39"/>
      <c r="T291" s="39"/>
      <c r="V291">
        <f>IF(Tabela3[[#This Row],[Pago]]&lt;&gt;"",IF(F292="",Tabela3[[#This Row],[Saldo]],0))</f>
        <v>0</v>
      </c>
    </row>
    <row r="292" spans="1:22" x14ac:dyDescent="0.25">
      <c r="A292" t="s">
        <v>178</v>
      </c>
      <c r="B292" s="37">
        <v>20</v>
      </c>
      <c r="C292" t="str">
        <f>_xlfn.XLOOKUP(B292,'Centro de Custo'!A$2:A$45,'Centro de Custo'!B$2:B$45)</f>
        <v>Desp. ADM</v>
      </c>
      <c r="E292" s="39">
        <v>-110.41</v>
      </c>
      <c r="F292" s="40" t="s">
        <v>10</v>
      </c>
      <c r="G292" s="41">
        <v>45377</v>
      </c>
      <c r="H292" s="42">
        <f>YEAR(Tabela3[[#This Row],[Data]])</f>
        <v>2024</v>
      </c>
      <c r="I292" s="42" t="str">
        <f>_xlfn.XLOOKUP(J292,'Centro de Custo'!J$2:J$13,'Centro de Custo'!K$2:K$13)</f>
        <v>Março</v>
      </c>
      <c r="J292" s="43">
        <f>MONTH(Tabela3[[#This Row],[Data]])</f>
        <v>3</v>
      </c>
      <c r="K292" s="39">
        <f>SUM(E$3:Tabela3[[#This Row],[Valor]])</f>
        <v>334892.68999999977</v>
      </c>
      <c r="L292" s="40">
        <f t="shared" si="4"/>
        <v>2.22375</v>
      </c>
      <c r="M292" s="40"/>
      <c r="N292" s="40"/>
      <c r="O292" s="40"/>
      <c r="P292" s="39"/>
      <c r="Q292" s="39"/>
      <c r="R292" s="39"/>
      <c r="S292" s="39"/>
      <c r="T292" s="39"/>
      <c r="V292">
        <f>IF(Tabela3[[#This Row],[Pago]]&lt;&gt;"",IF(F293="",Tabela3[[#This Row],[Saldo]],0))</f>
        <v>0</v>
      </c>
    </row>
    <row r="293" spans="1:22" x14ac:dyDescent="0.25">
      <c r="A293" t="s">
        <v>196</v>
      </c>
      <c r="B293" s="37">
        <v>15</v>
      </c>
      <c r="C293" t="str">
        <f>_xlfn.XLOOKUP(B293,'Centro de Custo'!A$2:A$45,'Centro de Custo'!B$2:B$45)</f>
        <v>Viagens</v>
      </c>
      <c r="E293" s="39">
        <v>-1254.4</v>
      </c>
      <c r="F293" s="40" t="s">
        <v>10</v>
      </c>
      <c r="G293" s="41">
        <v>45377</v>
      </c>
      <c r="H293" s="42">
        <f>YEAR(Tabela3[[#This Row],[Data]])</f>
        <v>2024</v>
      </c>
      <c r="I293" s="42" t="str">
        <f>_xlfn.XLOOKUP(J293,'Centro de Custo'!J$2:J$13,'Centro de Custo'!K$2:K$13)</f>
        <v>Março</v>
      </c>
      <c r="J293" s="43">
        <f>MONTH(Tabela3[[#This Row],[Data]])</f>
        <v>3</v>
      </c>
      <c r="K293" s="39">
        <f>SUM(E$3:Tabela3[[#This Row],[Valor]])</f>
        <v>333638.28999999975</v>
      </c>
      <c r="L293" s="40">
        <f t="shared" si="4"/>
        <v>2.22375</v>
      </c>
      <c r="M293" s="40"/>
      <c r="N293" s="40"/>
      <c r="O293" s="40"/>
      <c r="P293" s="39"/>
      <c r="Q293" s="39"/>
      <c r="R293" s="39"/>
      <c r="S293" s="39"/>
      <c r="T293" s="39"/>
      <c r="V293">
        <f>IF(Tabela3[[#This Row],[Pago]]&lt;&gt;"",IF(F294="",Tabela3[[#This Row],[Saldo]],0))</f>
        <v>0</v>
      </c>
    </row>
    <row r="294" spans="1:22" x14ac:dyDescent="0.25">
      <c r="A294" t="s">
        <v>197</v>
      </c>
      <c r="B294" s="37">
        <v>13</v>
      </c>
      <c r="C294" t="str">
        <f>_xlfn.XLOOKUP(B294,'Centro de Custo'!A$2:A$45,'Centro de Custo'!B$2:B$45)</f>
        <v>Terceirizados</v>
      </c>
      <c r="E294" s="39">
        <v>-2500</v>
      </c>
      <c r="F294" s="40" t="s">
        <v>10</v>
      </c>
      <c r="G294" s="41">
        <v>45385</v>
      </c>
      <c r="H294" s="42">
        <f>YEAR(Tabela3[[#This Row],[Data]])</f>
        <v>2024</v>
      </c>
      <c r="I294" s="42" t="str">
        <f>_xlfn.XLOOKUP(J294,'Centro de Custo'!J$2:J$13,'Centro de Custo'!K$2:K$13)</f>
        <v>Abril</v>
      </c>
      <c r="J294" s="43">
        <f>MONTH(Tabela3[[#This Row],[Data]])</f>
        <v>4</v>
      </c>
      <c r="K294" s="39">
        <f>SUM(E$3:Tabela3[[#This Row],[Valor]])</f>
        <v>331138.28999999975</v>
      </c>
      <c r="L294" s="40">
        <f t="shared" si="4"/>
        <v>2.22375</v>
      </c>
      <c r="M294" s="40"/>
      <c r="N294" s="40"/>
      <c r="O294" s="40"/>
      <c r="P294" s="39"/>
      <c r="Q294" s="39"/>
      <c r="R294" s="39"/>
      <c r="S294" s="39"/>
      <c r="T294" s="39"/>
      <c r="V294">
        <f>IF(Tabela3[[#This Row],[Pago]]&lt;&gt;"",IF(F295="",Tabela3[[#This Row],[Saldo]],0))</f>
        <v>0</v>
      </c>
    </row>
    <row r="295" spans="1:22" x14ac:dyDescent="0.25">
      <c r="A295" t="s">
        <v>198</v>
      </c>
      <c r="B295" s="37">
        <v>20</v>
      </c>
      <c r="C295" t="str">
        <f>_xlfn.XLOOKUP(B295,'Centro de Custo'!A$2:A$45,'Centro de Custo'!B$2:B$45)</f>
        <v>Desp. ADM</v>
      </c>
      <c r="E295" s="39">
        <v>-4075.28</v>
      </c>
      <c r="F295" s="40" t="s">
        <v>10</v>
      </c>
      <c r="G295" s="41">
        <v>45385</v>
      </c>
      <c r="H295" s="42">
        <f>YEAR(Tabela3[[#This Row],[Data]])</f>
        <v>2024</v>
      </c>
      <c r="I295" s="42" t="str">
        <f>_xlfn.XLOOKUP(J295,'Centro de Custo'!J$2:J$13,'Centro de Custo'!K$2:K$13)</f>
        <v>Abril</v>
      </c>
      <c r="J295" s="43">
        <f>MONTH(Tabela3[[#This Row],[Data]])</f>
        <v>4</v>
      </c>
      <c r="K295" s="39">
        <f>SUM(E$3:Tabela3[[#This Row],[Valor]])</f>
        <v>327063.0099999997</v>
      </c>
      <c r="L295" s="40">
        <f t="shared" si="4"/>
        <v>2.22375</v>
      </c>
      <c r="M295" s="40"/>
      <c r="N295" s="40"/>
      <c r="O295" s="40"/>
      <c r="P295" s="39"/>
      <c r="Q295" s="39"/>
      <c r="R295" s="39"/>
      <c r="S295" s="39"/>
      <c r="T295" s="39"/>
      <c r="V295">
        <f>IF(Tabela3[[#This Row],[Pago]]&lt;&gt;"",IF(F296="",Tabela3[[#This Row],[Saldo]],0))</f>
        <v>0</v>
      </c>
    </row>
    <row r="296" spans="1:22" x14ac:dyDescent="0.25">
      <c r="A296" t="s">
        <v>134</v>
      </c>
      <c r="B296" s="37">
        <v>13</v>
      </c>
      <c r="C296" t="str">
        <f>_xlfn.XLOOKUP(B296,'Centro de Custo'!A$2:A$45,'Centro de Custo'!B$2:B$45)</f>
        <v>Terceirizados</v>
      </c>
      <c r="E296" s="39">
        <v>-5000</v>
      </c>
      <c r="F296" s="40" t="s">
        <v>10</v>
      </c>
      <c r="G296" s="41">
        <v>45385</v>
      </c>
      <c r="H296" s="42">
        <f>YEAR(Tabela3[[#This Row],[Data]])</f>
        <v>2024</v>
      </c>
      <c r="I296" s="42" t="str">
        <f>_xlfn.XLOOKUP(J296,'Centro de Custo'!J$2:J$13,'Centro de Custo'!K$2:K$13)</f>
        <v>Abril</v>
      </c>
      <c r="J296" s="43">
        <f>MONTH(Tabela3[[#This Row],[Data]])</f>
        <v>4</v>
      </c>
      <c r="K296" s="39">
        <f>SUM(E$3:Tabela3[[#This Row],[Valor]])</f>
        <v>322063.0099999997</v>
      </c>
      <c r="L296" s="40">
        <f t="shared" si="4"/>
        <v>2.22375</v>
      </c>
      <c r="M296" s="40"/>
      <c r="N296" s="40"/>
      <c r="O296" s="40"/>
      <c r="P296" s="39"/>
      <c r="Q296" s="39"/>
      <c r="R296" s="39"/>
      <c r="S296" s="39"/>
      <c r="T296" s="39"/>
      <c r="V296">
        <f>IF(Tabela3[[#This Row],[Pago]]&lt;&gt;"",IF(F297="",Tabela3[[#This Row],[Saldo]],0))</f>
        <v>0</v>
      </c>
    </row>
    <row r="297" spans="1:22" x14ac:dyDescent="0.25">
      <c r="A297" t="s">
        <v>199</v>
      </c>
      <c r="B297" s="37">
        <v>13</v>
      </c>
      <c r="C297" t="str">
        <f>_xlfn.XLOOKUP(B297,'Centro de Custo'!A$2:A$45,'Centro de Custo'!B$2:B$45)</f>
        <v>Terceirizados</v>
      </c>
      <c r="E297" s="39">
        <v>-6950</v>
      </c>
      <c r="F297" s="40" t="s">
        <v>10</v>
      </c>
      <c r="G297" s="41">
        <v>45385</v>
      </c>
      <c r="H297" s="42">
        <f>YEAR(Tabela3[[#This Row],[Data]])</f>
        <v>2024</v>
      </c>
      <c r="I297" s="42" t="str">
        <f>_xlfn.XLOOKUP(J297,'Centro de Custo'!J$2:J$13,'Centro de Custo'!K$2:K$13)</f>
        <v>Abril</v>
      </c>
      <c r="J297" s="43">
        <f>MONTH(Tabela3[[#This Row],[Data]])</f>
        <v>4</v>
      </c>
      <c r="K297" s="39">
        <f>SUM(E$3:Tabela3[[#This Row],[Valor]])</f>
        <v>315113.0099999997</v>
      </c>
      <c r="L297" s="40">
        <f t="shared" si="4"/>
        <v>2.22375</v>
      </c>
      <c r="M297" s="40"/>
      <c r="N297" s="40"/>
      <c r="O297" s="40"/>
      <c r="P297" s="39"/>
      <c r="Q297" s="39"/>
      <c r="R297" s="39"/>
      <c r="S297" s="39"/>
      <c r="T297" s="39"/>
      <c r="V297">
        <f>IF(Tabela3[[#This Row],[Pago]]&lt;&gt;"",IF(F298="",Tabela3[[#This Row],[Saldo]],0))</f>
        <v>0</v>
      </c>
    </row>
    <row r="298" spans="1:22" x14ac:dyDescent="0.25">
      <c r="A298" t="s">
        <v>55</v>
      </c>
      <c r="B298" s="37">
        <v>10</v>
      </c>
      <c r="C298" t="str">
        <f>_xlfn.XLOOKUP(B298,'Centro de Custo'!A$2:A$45,'Centro de Custo'!B$2:B$45)</f>
        <v>Retirada Mensal</v>
      </c>
      <c r="E298" s="39">
        <v>-9600</v>
      </c>
      <c r="F298" s="40" t="s">
        <v>10</v>
      </c>
      <c r="G298" s="41">
        <v>45385</v>
      </c>
      <c r="H298" s="42">
        <f>YEAR(Tabela3[[#This Row],[Data]])</f>
        <v>2024</v>
      </c>
      <c r="I298" s="42" t="str">
        <f>_xlfn.XLOOKUP(J298,'Centro de Custo'!J$2:J$13,'Centro de Custo'!K$2:K$13)</f>
        <v>Abril</v>
      </c>
      <c r="J298" s="43">
        <f>MONTH(Tabela3[[#This Row],[Data]])</f>
        <v>4</v>
      </c>
      <c r="K298" s="39">
        <f>SUM(E$3:Tabela3[[#This Row],[Valor]])</f>
        <v>305513.0099999997</v>
      </c>
      <c r="L298" s="40">
        <f t="shared" si="4"/>
        <v>2.22375</v>
      </c>
      <c r="M298" s="40"/>
      <c r="N298" s="40"/>
      <c r="O298" s="40"/>
      <c r="P298" s="39"/>
      <c r="Q298" s="39"/>
      <c r="R298" s="39"/>
      <c r="S298" s="39"/>
      <c r="T298" s="39"/>
      <c r="V298">
        <f>IF(Tabela3[[#This Row],[Pago]]&lt;&gt;"",IF(F299="",Tabela3[[#This Row],[Saldo]],0))</f>
        <v>0</v>
      </c>
    </row>
    <row r="299" spans="1:22" x14ac:dyDescent="0.25">
      <c r="A299" t="s">
        <v>104</v>
      </c>
      <c r="B299" s="37">
        <v>10</v>
      </c>
      <c r="C299" t="str">
        <f>_xlfn.XLOOKUP(B299,'Centro de Custo'!A$2:A$45,'Centro de Custo'!B$2:B$45)</f>
        <v>Retirada Mensal</v>
      </c>
      <c r="E299" s="39">
        <v>-10000</v>
      </c>
      <c r="F299" s="40" t="s">
        <v>10</v>
      </c>
      <c r="G299" s="41">
        <v>45385</v>
      </c>
      <c r="H299" s="42">
        <f>YEAR(Tabela3[[#This Row],[Data]])</f>
        <v>2024</v>
      </c>
      <c r="I299" s="42" t="str">
        <f>_xlfn.XLOOKUP(J299,'Centro de Custo'!J$2:J$13,'Centro de Custo'!K$2:K$13)</f>
        <v>Abril</v>
      </c>
      <c r="J299" s="43">
        <f>MONTH(Tabela3[[#This Row],[Data]])</f>
        <v>4</v>
      </c>
      <c r="K299" s="39">
        <f>SUM(E$3:Tabela3[[#This Row],[Valor]])</f>
        <v>295513.0099999997</v>
      </c>
      <c r="L299" s="40">
        <f t="shared" si="4"/>
        <v>2.22375</v>
      </c>
      <c r="M299" s="40"/>
      <c r="N299" s="40"/>
      <c r="O299" s="40"/>
      <c r="P299" s="39"/>
      <c r="Q299" s="39"/>
      <c r="R299" s="39"/>
      <c r="S299" s="39"/>
      <c r="T299" s="39"/>
      <c r="V299">
        <f>IF(Tabela3[[#This Row],[Pago]]&lt;&gt;"",IF(F300="",Tabela3[[#This Row],[Saldo]],0))</f>
        <v>0</v>
      </c>
    </row>
    <row r="300" spans="1:22" x14ac:dyDescent="0.25">
      <c r="A300" t="s">
        <v>58</v>
      </c>
      <c r="B300" s="37">
        <v>10</v>
      </c>
      <c r="C300" t="str">
        <f>_xlfn.XLOOKUP(B300,'Centro de Custo'!A$2:A$45,'Centro de Custo'!B$2:B$45)</f>
        <v>Retirada Mensal</v>
      </c>
      <c r="E300" s="39">
        <v>-10200</v>
      </c>
      <c r="F300" s="40" t="s">
        <v>10</v>
      </c>
      <c r="G300" s="41">
        <v>45385</v>
      </c>
      <c r="H300" s="42">
        <f>YEAR(Tabela3[[#This Row],[Data]])</f>
        <v>2024</v>
      </c>
      <c r="I300" s="42" t="str">
        <f>_xlfn.XLOOKUP(J300,'Centro de Custo'!J$2:J$13,'Centro de Custo'!K$2:K$13)</f>
        <v>Abril</v>
      </c>
      <c r="J300" s="43">
        <f>MONTH(Tabela3[[#This Row],[Data]])</f>
        <v>4</v>
      </c>
      <c r="K300" s="39">
        <f>SUM(E$3:Tabela3[[#This Row],[Valor]])</f>
        <v>285313.0099999997</v>
      </c>
      <c r="L300" s="40">
        <f t="shared" si="4"/>
        <v>2.22375</v>
      </c>
      <c r="M300" s="40"/>
      <c r="N300" s="40"/>
      <c r="O300" s="40"/>
      <c r="P300" s="39"/>
      <c r="Q300" s="39"/>
      <c r="R300" s="39"/>
      <c r="S300" s="39"/>
      <c r="T300" s="39"/>
      <c r="V300">
        <f>IF(Tabela3[[#This Row],[Pago]]&lt;&gt;"",IF(F301="",Tabela3[[#This Row],[Saldo]],0))</f>
        <v>0</v>
      </c>
    </row>
    <row r="301" spans="1:22" x14ac:dyDescent="0.25">
      <c r="A301" t="s">
        <v>91</v>
      </c>
      <c r="B301" s="37">
        <v>10</v>
      </c>
      <c r="C301" t="str">
        <f>_xlfn.XLOOKUP(B301,'Centro de Custo'!A$2:A$45,'Centro de Custo'!B$2:B$45)</f>
        <v>Retirada Mensal</v>
      </c>
      <c r="E301" s="39">
        <v>-13000</v>
      </c>
      <c r="F301" s="40" t="s">
        <v>10</v>
      </c>
      <c r="G301" s="41">
        <v>45385</v>
      </c>
      <c r="H301" s="42">
        <f>YEAR(Tabela3[[#This Row],[Data]])</f>
        <v>2024</v>
      </c>
      <c r="I301" s="42" t="str">
        <f>_xlfn.XLOOKUP(J301,'Centro de Custo'!J$2:J$13,'Centro de Custo'!K$2:K$13)</f>
        <v>Abril</v>
      </c>
      <c r="J301" s="43">
        <f>MONTH(Tabela3[[#This Row],[Data]])</f>
        <v>4</v>
      </c>
      <c r="K301" s="39">
        <f>SUM(E$3:Tabela3[[#This Row],[Valor]])</f>
        <v>272313.0099999997</v>
      </c>
      <c r="L301" s="40">
        <f t="shared" si="4"/>
        <v>2.22375</v>
      </c>
      <c r="M301" s="40"/>
      <c r="N301" s="40"/>
      <c r="O301" s="40"/>
      <c r="P301" s="39"/>
      <c r="Q301" s="39"/>
      <c r="R301" s="39"/>
      <c r="S301" s="39"/>
      <c r="T301" s="39"/>
      <c r="V301">
        <f>IF(Tabela3[[#This Row],[Pago]]&lt;&gt;"",IF(F302="",Tabela3[[#This Row],[Saldo]],0))</f>
        <v>0</v>
      </c>
    </row>
    <row r="302" spans="1:22" x14ac:dyDescent="0.25">
      <c r="A302" t="s">
        <v>92</v>
      </c>
      <c r="B302" s="37">
        <v>10</v>
      </c>
      <c r="C302" t="str">
        <f>_xlfn.XLOOKUP(B302,'Centro de Custo'!A$2:A$45,'Centro de Custo'!B$2:B$45)</f>
        <v>Retirada Mensal</v>
      </c>
      <c r="E302" s="39">
        <v>-15500</v>
      </c>
      <c r="F302" s="40" t="s">
        <v>10</v>
      </c>
      <c r="G302" s="41">
        <v>45385</v>
      </c>
      <c r="H302" s="42">
        <f>YEAR(Tabela3[[#This Row],[Data]])</f>
        <v>2024</v>
      </c>
      <c r="I302" s="42" t="str">
        <f>_xlfn.XLOOKUP(J302,'Centro de Custo'!J$2:J$13,'Centro de Custo'!K$2:K$13)</f>
        <v>Abril</v>
      </c>
      <c r="J302" s="43">
        <f>MONTH(Tabela3[[#This Row],[Data]])</f>
        <v>4</v>
      </c>
      <c r="K302" s="39">
        <f>SUM(E$3:Tabela3[[#This Row],[Valor]])</f>
        <v>256813.00999999972</v>
      </c>
      <c r="L302" s="40">
        <f t="shared" si="4"/>
        <v>2.22375</v>
      </c>
      <c r="M302" s="40"/>
      <c r="N302" s="40"/>
      <c r="O302" s="40"/>
      <c r="P302" s="39"/>
      <c r="Q302" s="39"/>
      <c r="R302" s="39"/>
      <c r="S302" s="39"/>
      <c r="T302" s="39"/>
      <c r="V302">
        <f>IF(Tabela3[[#This Row],[Pago]]&lt;&gt;"",IF(F303="",Tabela3[[#This Row],[Saldo]],0))</f>
        <v>0</v>
      </c>
    </row>
    <row r="303" spans="1:22" x14ac:dyDescent="0.25">
      <c r="A303" t="s">
        <v>200</v>
      </c>
      <c r="B303" s="37">
        <v>1</v>
      </c>
      <c r="C303" t="str">
        <f>_xlfn.XLOOKUP(B303,'Centro de Custo'!A$2:A$45,'Centro de Custo'!B$2:B$45)</f>
        <v>Receita de Produto</v>
      </c>
      <c r="E303" s="39">
        <v>7195371</v>
      </c>
      <c r="F303" s="40" t="s">
        <v>10</v>
      </c>
      <c r="G303" s="41">
        <v>45387</v>
      </c>
      <c r="H303" s="42">
        <f>YEAR(Tabela3[[#This Row],[Data]])</f>
        <v>2024</v>
      </c>
      <c r="I303" s="42" t="str">
        <f>_xlfn.XLOOKUP(J303,'Centro de Custo'!J$2:J$13,'Centro de Custo'!K$2:K$13)</f>
        <v>Abril</v>
      </c>
      <c r="J303" s="43">
        <f>MONTH(Tabela3[[#This Row],[Data]])</f>
        <v>4</v>
      </c>
      <c r="K303" s="39">
        <f>SUM(E$3:Tabela3[[#This Row],[Valor]])</f>
        <v>7452184.01</v>
      </c>
      <c r="L303" s="40">
        <f t="shared" si="4"/>
        <v>2.22375</v>
      </c>
      <c r="M303" s="40"/>
      <c r="N303" s="40"/>
      <c r="O303" s="40"/>
      <c r="P303" s="39"/>
      <c r="Q303" s="39"/>
      <c r="R303" s="39"/>
      <c r="S303" s="39"/>
      <c r="T303" s="39"/>
      <c r="V303">
        <f>IF(Tabela3[[#This Row],[Pago]]&lt;&gt;"",IF(F304="",Tabela3[[#This Row],[Saldo]],0))</f>
        <v>0</v>
      </c>
    </row>
    <row r="304" spans="1:22" x14ac:dyDescent="0.25">
      <c r="A304" t="s">
        <v>51</v>
      </c>
      <c r="B304" s="37">
        <v>40</v>
      </c>
      <c r="C304" t="str">
        <f>_xlfn.XLOOKUP(B304,'Centro de Custo'!A$2:A$45,'Centro de Custo'!B$2:B$45)</f>
        <v>Aplicação Financeira</v>
      </c>
      <c r="E304" s="39">
        <v>-7200000</v>
      </c>
      <c r="F304" s="40" t="s">
        <v>10</v>
      </c>
      <c r="G304" s="41">
        <v>45387</v>
      </c>
      <c r="H304" s="42">
        <f>YEAR(Tabela3[[#This Row],[Data]])</f>
        <v>2024</v>
      </c>
      <c r="I304" s="42" t="str">
        <f>_xlfn.XLOOKUP(J304,'Centro de Custo'!J$2:J$13,'Centro de Custo'!K$2:K$13)</f>
        <v>Abril</v>
      </c>
      <c r="J304" s="43">
        <f>MONTH(Tabela3[[#This Row],[Data]])</f>
        <v>4</v>
      </c>
      <c r="K304" s="39">
        <f>SUM(E$3:Tabela3[[#This Row],[Valor]])</f>
        <v>252184.00999999978</v>
      </c>
      <c r="L304" s="40">
        <f t="shared" si="4"/>
        <v>2.22375</v>
      </c>
      <c r="M304" s="40"/>
      <c r="N304" s="40"/>
      <c r="O304" s="40"/>
      <c r="P304" s="39"/>
      <c r="Q304" s="39"/>
      <c r="R304" s="39"/>
      <c r="S304" s="39"/>
      <c r="T304" s="39"/>
      <c r="V304">
        <f>IF(Tabela3[[#This Row],[Pago]]&lt;&gt;"",IF(F305="",Tabela3[[#This Row],[Saldo]],0))</f>
        <v>0</v>
      </c>
    </row>
    <row r="305" spans="1:22" x14ac:dyDescent="0.25">
      <c r="A305" t="s">
        <v>201</v>
      </c>
      <c r="B305" s="37">
        <v>30</v>
      </c>
      <c r="C305" t="str">
        <f>_xlfn.XLOOKUP(B305,'Centro de Custo'!A$2:A$45,'Centro de Custo'!B$2:B$45)</f>
        <v>Impostos</v>
      </c>
      <c r="E305" s="39">
        <v>-25.6</v>
      </c>
      <c r="F305" s="40" t="s">
        <v>10</v>
      </c>
      <c r="G305" s="41">
        <v>45392</v>
      </c>
      <c r="H305" s="42">
        <f>YEAR(Tabela3[[#This Row],[Data]])</f>
        <v>2024</v>
      </c>
      <c r="I305" s="42" t="str">
        <f>_xlfn.XLOOKUP(J305,'Centro de Custo'!J$2:J$13,'Centro de Custo'!K$2:K$13)</f>
        <v>Abril</v>
      </c>
      <c r="J305" s="43">
        <f>MONTH(Tabela3[[#This Row],[Data]])</f>
        <v>4</v>
      </c>
      <c r="K305" s="39">
        <f>SUM(E$3:Tabela3[[#This Row],[Valor]])</f>
        <v>252158.40999999977</v>
      </c>
      <c r="L305" s="40">
        <f t="shared" si="4"/>
        <v>2.22375</v>
      </c>
      <c r="M305" s="40"/>
      <c r="N305" s="40"/>
      <c r="O305" s="40"/>
      <c r="P305" s="39"/>
      <c r="Q305" s="39"/>
      <c r="R305" s="39"/>
      <c r="S305" s="39"/>
      <c r="T305" s="39"/>
      <c r="V305">
        <f>IF(Tabela3[[#This Row],[Pago]]&lt;&gt;"",IF(F306="",Tabela3[[#This Row],[Saldo]],0))</f>
        <v>0</v>
      </c>
    </row>
    <row r="306" spans="1:22" x14ac:dyDescent="0.25">
      <c r="A306" t="s">
        <v>202</v>
      </c>
      <c r="B306" s="37">
        <v>20</v>
      </c>
      <c r="C306" t="str">
        <f>_xlfn.XLOOKUP(B306,'Centro de Custo'!A$2:A$45,'Centro de Custo'!B$2:B$45)</f>
        <v>Desp. ADM</v>
      </c>
      <c r="E306" s="39">
        <v>-46</v>
      </c>
      <c r="F306" s="40" t="s">
        <v>10</v>
      </c>
      <c r="G306" s="41">
        <v>45392</v>
      </c>
      <c r="H306" s="42">
        <f>YEAR(Tabela3[[#This Row],[Data]])</f>
        <v>2024</v>
      </c>
      <c r="I306" s="42" t="str">
        <f>_xlfn.XLOOKUP(J306,'Centro de Custo'!J$2:J$13,'Centro de Custo'!K$2:K$13)</f>
        <v>Abril</v>
      </c>
      <c r="J306" s="43">
        <f>MONTH(Tabela3[[#This Row],[Data]])</f>
        <v>4</v>
      </c>
      <c r="K306" s="39">
        <f>SUM(E$3:Tabela3[[#This Row],[Valor]])</f>
        <v>252112.40999999977</v>
      </c>
      <c r="L306" s="40">
        <f t="shared" si="4"/>
        <v>2.22375</v>
      </c>
      <c r="M306" s="40"/>
      <c r="N306" s="40"/>
      <c r="O306" s="40"/>
      <c r="P306" s="39"/>
      <c r="Q306" s="39"/>
      <c r="R306" s="39"/>
      <c r="S306" s="39"/>
      <c r="T306" s="39"/>
      <c r="V306">
        <f>IF(Tabela3[[#This Row],[Pago]]&lt;&gt;"",IF(F307="",Tabela3[[#This Row],[Saldo]],0))</f>
        <v>0</v>
      </c>
    </row>
    <row r="307" spans="1:22" x14ac:dyDescent="0.25">
      <c r="A307" t="s">
        <v>167</v>
      </c>
      <c r="B307" s="37">
        <v>20</v>
      </c>
      <c r="C307" t="str">
        <f>_xlfn.XLOOKUP(B307,'Centro de Custo'!A$2:A$45,'Centro de Custo'!B$2:B$45)</f>
        <v>Desp. ADM</v>
      </c>
      <c r="E307" s="39">
        <v>-539.49</v>
      </c>
      <c r="F307" s="40" t="s">
        <v>10</v>
      </c>
      <c r="G307" s="41">
        <v>45392</v>
      </c>
      <c r="H307" s="42">
        <f>YEAR(Tabela3[[#This Row],[Data]])</f>
        <v>2024</v>
      </c>
      <c r="I307" s="42" t="str">
        <f>_xlfn.XLOOKUP(J307,'Centro de Custo'!J$2:J$13,'Centro de Custo'!K$2:K$13)</f>
        <v>Abril</v>
      </c>
      <c r="J307" s="43">
        <f>MONTH(Tabela3[[#This Row],[Data]])</f>
        <v>4</v>
      </c>
      <c r="K307" s="39">
        <f>SUM(E$3:Tabela3[[#This Row],[Valor]])</f>
        <v>251572.91999999978</v>
      </c>
      <c r="L307" s="40">
        <f t="shared" si="4"/>
        <v>2.22375</v>
      </c>
      <c r="M307" s="40"/>
      <c r="N307" s="40"/>
      <c r="O307" s="40"/>
      <c r="P307" s="39"/>
      <c r="Q307" s="39"/>
      <c r="R307" s="39"/>
      <c r="S307" s="39"/>
      <c r="T307" s="39"/>
      <c r="V307">
        <f>IF(Tabela3[[#This Row],[Pago]]&lt;&gt;"",IF(F308="",Tabela3[[#This Row],[Saldo]],0))</f>
        <v>0</v>
      </c>
    </row>
    <row r="308" spans="1:22" x14ac:dyDescent="0.25">
      <c r="A308" t="s">
        <v>115</v>
      </c>
      <c r="B308" s="37">
        <v>10</v>
      </c>
      <c r="C308" t="str">
        <f>_xlfn.XLOOKUP(B308,'Centro de Custo'!A$2:A$45,'Centro de Custo'!B$2:B$45)</f>
        <v>Retirada Mensal</v>
      </c>
      <c r="E308" s="39">
        <v>-20000</v>
      </c>
      <c r="F308" s="40" t="s">
        <v>10</v>
      </c>
      <c r="G308" s="41">
        <v>45392</v>
      </c>
      <c r="H308" s="42">
        <f>YEAR(Tabela3[[#This Row],[Data]])</f>
        <v>2024</v>
      </c>
      <c r="I308" s="42" t="str">
        <f>_xlfn.XLOOKUP(J308,'Centro de Custo'!J$2:J$13,'Centro de Custo'!K$2:K$13)</f>
        <v>Abril</v>
      </c>
      <c r="J308" s="43">
        <f>MONTH(Tabela3[[#This Row],[Data]])</f>
        <v>4</v>
      </c>
      <c r="K308" s="39">
        <f>SUM(E$3:Tabela3[[#This Row],[Valor]])</f>
        <v>231572.91999999978</v>
      </c>
      <c r="L308" s="40">
        <f t="shared" si="4"/>
        <v>2.22375</v>
      </c>
      <c r="M308" s="40"/>
      <c r="N308" s="40"/>
      <c r="O308" s="40"/>
      <c r="P308" s="39"/>
      <c r="Q308" s="39"/>
      <c r="R308" s="39"/>
      <c r="S308" s="39"/>
      <c r="T308" s="39"/>
      <c r="V308">
        <f>IF(Tabela3[[#This Row],[Pago]]&lt;&gt;"",IF(F309="",Tabela3[[#This Row],[Saldo]],0))</f>
        <v>0</v>
      </c>
    </row>
    <row r="309" spans="1:22" x14ac:dyDescent="0.25">
      <c r="A309" t="s">
        <v>203</v>
      </c>
      <c r="B309" s="37">
        <v>15</v>
      </c>
      <c r="C309" t="str">
        <f>_xlfn.XLOOKUP(B309,'Centro de Custo'!A$2:A$45,'Centro de Custo'!B$2:B$45)</f>
        <v>Viagens</v>
      </c>
      <c r="E309" s="39">
        <v>-1682</v>
      </c>
      <c r="F309" s="40" t="s">
        <v>10</v>
      </c>
      <c r="G309" s="41">
        <v>45394</v>
      </c>
      <c r="H309" s="42">
        <f>YEAR(Tabela3[[#This Row],[Data]])</f>
        <v>2024</v>
      </c>
      <c r="I309" s="42" t="str">
        <f>_xlfn.XLOOKUP(J309,'Centro de Custo'!J$2:J$13,'Centro de Custo'!K$2:K$13)</f>
        <v>Abril</v>
      </c>
      <c r="J309" s="43">
        <f>MONTH(Tabela3[[#This Row],[Data]])</f>
        <v>4</v>
      </c>
      <c r="K309" s="39">
        <f>SUM(E$3:Tabela3[[#This Row],[Valor]])</f>
        <v>229890.91999999978</v>
      </c>
      <c r="L309" s="40">
        <f t="shared" si="4"/>
        <v>2.22375</v>
      </c>
      <c r="M309" s="40"/>
      <c r="N309" s="40"/>
      <c r="O309" s="40"/>
      <c r="P309" s="39"/>
      <c r="Q309" s="39"/>
      <c r="R309" s="39"/>
      <c r="S309" s="39"/>
      <c r="T309" s="39"/>
      <c r="V309">
        <f>IF(Tabela3[[#This Row],[Pago]]&lt;&gt;"",IF(F310="",Tabela3[[#This Row],[Saldo]],0))</f>
        <v>0</v>
      </c>
    </row>
    <row r="310" spans="1:22" x14ac:dyDescent="0.25">
      <c r="A310" t="s">
        <v>190</v>
      </c>
      <c r="B310" s="37">
        <v>13</v>
      </c>
      <c r="C310" t="str">
        <f>_xlfn.XLOOKUP(B310,'Centro de Custo'!A$2:A$45,'Centro de Custo'!B$2:B$45)</f>
        <v>Terceirizados</v>
      </c>
      <c r="E310" s="39">
        <v>-4886.44</v>
      </c>
      <c r="F310" s="40" t="s">
        <v>10</v>
      </c>
      <c r="G310" s="41">
        <v>45397</v>
      </c>
      <c r="H310" s="42">
        <f>YEAR(Tabela3[[#This Row],[Data]])</f>
        <v>2024</v>
      </c>
      <c r="I310" s="42" t="str">
        <f>_xlfn.XLOOKUP(J310,'Centro de Custo'!J$2:J$13,'Centro de Custo'!K$2:K$13)</f>
        <v>Abril</v>
      </c>
      <c r="J310" s="43">
        <f>MONTH(Tabela3[[#This Row],[Data]])</f>
        <v>4</v>
      </c>
      <c r="K310" s="39">
        <f>SUM(E$3:Tabela3[[#This Row],[Valor]])</f>
        <v>225004.47999999978</v>
      </c>
      <c r="L310" s="40">
        <f t="shared" si="4"/>
        <v>2.22375</v>
      </c>
      <c r="M310" s="40"/>
      <c r="N310" s="40"/>
      <c r="O310" s="40"/>
      <c r="P310" s="39"/>
      <c r="Q310" s="39"/>
      <c r="R310" s="39"/>
      <c r="S310" s="39"/>
      <c r="T310" s="39"/>
      <c r="V310">
        <f>IF(Tabela3[[#This Row],[Pago]]&lt;&gt;"",IF(F311="",Tabela3[[#This Row],[Saldo]],0))</f>
        <v>0</v>
      </c>
    </row>
    <row r="311" spans="1:22" x14ac:dyDescent="0.25">
      <c r="A311" t="s">
        <v>204</v>
      </c>
      <c r="B311" s="37">
        <v>20</v>
      </c>
      <c r="C311" t="str">
        <f>_xlfn.XLOOKUP(B311,'Centro de Custo'!A$2:A$45,'Centro de Custo'!B$2:B$45)</f>
        <v>Desp. ADM</v>
      </c>
      <c r="E311" s="39">
        <v>-113.81</v>
      </c>
      <c r="F311" s="40" t="s">
        <v>10</v>
      </c>
      <c r="G311" s="41">
        <v>45398</v>
      </c>
      <c r="H311" s="42">
        <f>YEAR(Tabela3[[#This Row],[Data]])</f>
        <v>2024</v>
      </c>
      <c r="I311" s="42" t="str">
        <f>_xlfn.XLOOKUP(J311,'Centro de Custo'!J$2:J$13,'Centro de Custo'!K$2:K$13)</f>
        <v>Abril</v>
      </c>
      <c r="J311" s="43">
        <f>MONTH(Tabela3[[#This Row],[Data]])</f>
        <v>4</v>
      </c>
      <c r="K311" s="39">
        <f>SUM(E$3:Tabela3[[#This Row],[Valor]])</f>
        <v>224890.66999999978</v>
      </c>
      <c r="L311" s="40">
        <f t="shared" si="4"/>
        <v>2.22375</v>
      </c>
      <c r="M311" s="40"/>
      <c r="N311" s="40"/>
      <c r="O311" s="40"/>
      <c r="P311" s="39"/>
      <c r="Q311" s="39"/>
      <c r="R311" s="39"/>
      <c r="S311" s="39"/>
      <c r="T311" s="39"/>
      <c r="V311">
        <f>IF(Tabela3[[#This Row],[Pago]]&lt;&gt;"",IF(F312="",Tabela3[[#This Row],[Saldo]],0))</f>
        <v>0</v>
      </c>
    </row>
    <row r="312" spans="1:22" x14ac:dyDescent="0.25">
      <c r="A312" t="s">
        <v>205</v>
      </c>
      <c r="B312" s="37">
        <v>20</v>
      </c>
      <c r="C312" t="str">
        <f>_xlfn.XLOOKUP(B312,'Centro de Custo'!A$2:A$45,'Centro de Custo'!B$2:B$45)</f>
        <v>Desp. ADM</v>
      </c>
      <c r="E312" s="39">
        <v>-854.71</v>
      </c>
      <c r="F312" s="40" t="s">
        <v>10</v>
      </c>
      <c r="G312" s="41">
        <v>45398</v>
      </c>
      <c r="H312" s="42">
        <f>YEAR(Tabela3[[#This Row],[Data]])</f>
        <v>2024</v>
      </c>
      <c r="I312" s="42" t="str">
        <f>_xlfn.XLOOKUP(J312,'Centro de Custo'!J$2:J$13,'Centro de Custo'!K$2:K$13)</f>
        <v>Abril</v>
      </c>
      <c r="J312" s="43">
        <f>MONTH(Tabela3[[#This Row],[Data]])</f>
        <v>4</v>
      </c>
      <c r="K312" s="39">
        <f>SUM(E$3:Tabela3[[#This Row],[Valor]])</f>
        <v>224035.9599999998</v>
      </c>
      <c r="L312" s="40">
        <f t="shared" si="4"/>
        <v>2.22375</v>
      </c>
      <c r="M312" s="40"/>
      <c r="N312" s="40"/>
      <c r="O312" s="40"/>
      <c r="P312" s="39"/>
      <c r="Q312" s="39"/>
      <c r="R312" s="39"/>
      <c r="S312" s="39"/>
      <c r="T312" s="39"/>
      <c r="V312">
        <f>IF(Tabela3[[#This Row],[Pago]]&lt;&gt;"",IF(F313="",Tabela3[[#This Row],[Saldo]],0))</f>
        <v>0</v>
      </c>
    </row>
    <row r="313" spans="1:22" x14ac:dyDescent="0.25">
      <c r="A313" t="s">
        <v>206</v>
      </c>
      <c r="B313" s="37">
        <v>15</v>
      </c>
      <c r="C313" t="str">
        <f>_xlfn.XLOOKUP(B313,'Centro de Custo'!A$2:A$45,'Centro de Custo'!B$2:B$45)</f>
        <v>Viagens</v>
      </c>
      <c r="E313" s="39">
        <v>-1225</v>
      </c>
      <c r="F313" s="40" t="s">
        <v>10</v>
      </c>
      <c r="G313" s="41">
        <v>45399</v>
      </c>
      <c r="H313" s="42">
        <f>YEAR(Tabela3[[#This Row],[Data]])</f>
        <v>2024</v>
      </c>
      <c r="I313" s="42" t="str">
        <f>_xlfn.XLOOKUP(J313,'Centro de Custo'!J$2:J$13,'Centro de Custo'!K$2:K$13)</f>
        <v>Abril</v>
      </c>
      <c r="J313" s="43">
        <f>MONTH(Tabela3[[#This Row],[Data]])</f>
        <v>4</v>
      </c>
      <c r="K313" s="39">
        <f>SUM(E$3:Tabela3[[#This Row],[Valor]])</f>
        <v>222810.9599999998</v>
      </c>
      <c r="L313" s="40">
        <f t="shared" si="4"/>
        <v>2.22375</v>
      </c>
      <c r="M313" s="40"/>
      <c r="N313" s="40"/>
      <c r="O313" s="40"/>
      <c r="P313" s="39"/>
      <c r="Q313" s="39"/>
      <c r="R313" s="39"/>
      <c r="S313" s="39"/>
      <c r="T313" s="39"/>
      <c r="V313">
        <f>IF(Tabela3[[#This Row],[Pago]]&lt;&gt;"",IF(F314="",Tabela3[[#This Row],[Saldo]],0))</f>
        <v>0</v>
      </c>
    </row>
    <row r="314" spans="1:22" x14ac:dyDescent="0.25">
      <c r="A314" t="s">
        <v>207</v>
      </c>
      <c r="B314" s="37">
        <v>50</v>
      </c>
      <c r="C314" t="str">
        <f>_xlfn.XLOOKUP(B314,'Centro de Custo'!A$2:A$45,'Centro de Custo'!B$2:B$45)</f>
        <v>Empréstimos</v>
      </c>
      <c r="E314" s="39">
        <v>311500</v>
      </c>
      <c r="F314" s="40" t="s">
        <v>10</v>
      </c>
      <c r="G314" s="41">
        <v>45400</v>
      </c>
      <c r="H314" s="42">
        <f>YEAR(Tabela3[[#This Row],[Data]])</f>
        <v>2024</v>
      </c>
      <c r="I314" s="42" t="str">
        <f>_xlfn.XLOOKUP(J314,'Centro de Custo'!J$2:J$13,'Centro de Custo'!K$2:K$13)</f>
        <v>Abril</v>
      </c>
      <c r="J314" s="43">
        <f>MONTH(Tabela3[[#This Row],[Data]])</f>
        <v>4</v>
      </c>
      <c r="K314" s="39">
        <f>SUM(E$3:Tabela3[[#This Row],[Valor]])</f>
        <v>534310.9599999997</v>
      </c>
      <c r="L314" s="40">
        <f t="shared" si="4"/>
        <v>2.22375</v>
      </c>
      <c r="M314" s="40"/>
      <c r="N314" s="40"/>
      <c r="O314" s="40"/>
      <c r="P314" s="39"/>
      <c r="Q314" s="39"/>
      <c r="R314" s="39"/>
      <c r="S314" s="39"/>
      <c r="T314" s="39"/>
      <c r="V314">
        <f>IF(Tabela3[[#This Row],[Pago]]&lt;&gt;"",IF(F315="",Tabela3[[#This Row],[Saldo]],0))</f>
        <v>0</v>
      </c>
    </row>
    <row r="315" spans="1:22" x14ac:dyDescent="0.25">
      <c r="A315" t="s">
        <v>208</v>
      </c>
      <c r="B315" s="37">
        <v>2</v>
      </c>
      <c r="C315" t="str">
        <f>_xlfn.XLOOKUP(B315,'Centro de Custo'!A$2:A$45,'Centro de Custo'!B$2:B$45)</f>
        <v>Outras Receitas</v>
      </c>
      <c r="E315" s="39">
        <v>200000</v>
      </c>
      <c r="F315" s="40" t="s">
        <v>10</v>
      </c>
      <c r="G315" s="41">
        <v>45400</v>
      </c>
      <c r="H315" s="42">
        <f>YEAR(Tabela3[[#This Row],[Data]])</f>
        <v>2024</v>
      </c>
      <c r="I315" s="42" t="str">
        <f>_xlfn.XLOOKUP(J315,'Centro de Custo'!J$2:J$13,'Centro de Custo'!K$2:K$13)</f>
        <v>Abril</v>
      </c>
      <c r="J315" s="43">
        <f>MONTH(Tabela3[[#This Row],[Data]])</f>
        <v>4</v>
      </c>
      <c r="K315" s="39">
        <f>SUM(E$3:Tabela3[[#This Row],[Valor]])</f>
        <v>734310.9599999997</v>
      </c>
      <c r="L315" s="40">
        <f t="shared" si="4"/>
        <v>2.22375</v>
      </c>
      <c r="M315" s="40"/>
      <c r="N315" s="40"/>
      <c r="O315" s="40"/>
      <c r="P315" s="39"/>
      <c r="Q315" s="39"/>
      <c r="R315" s="39"/>
      <c r="S315" s="39"/>
      <c r="T315" s="39"/>
      <c r="V315">
        <f>IF(Tabela3[[#This Row],[Pago]]&lt;&gt;"",IF(F316="",Tabela3[[#This Row],[Saldo]],0))</f>
        <v>0</v>
      </c>
    </row>
    <row r="316" spans="1:22" x14ac:dyDescent="0.25">
      <c r="A316" t="s">
        <v>209</v>
      </c>
      <c r="B316" s="37">
        <v>50</v>
      </c>
      <c r="C316" t="str">
        <f>_xlfn.XLOOKUP(B316,'Centro de Custo'!A$2:A$45,'Centro de Custo'!B$2:B$45)</f>
        <v>Empréstimos</v>
      </c>
      <c r="E316" s="39">
        <v>35500</v>
      </c>
      <c r="F316" s="40" t="s">
        <v>10</v>
      </c>
      <c r="G316" s="41">
        <v>45400</v>
      </c>
      <c r="H316" s="42">
        <f>YEAR(Tabela3[[#This Row],[Data]])</f>
        <v>2024</v>
      </c>
      <c r="I316" s="42" t="str">
        <f>_xlfn.XLOOKUP(J316,'Centro de Custo'!J$2:J$13,'Centro de Custo'!K$2:K$13)</f>
        <v>Abril</v>
      </c>
      <c r="J316" s="43">
        <f>MONTH(Tabela3[[#This Row],[Data]])</f>
        <v>4</v>
      </c>
      <c r="K316" s="39">
        <f>SUM(E$3:Tabela3[[#This Row],[Valor]])</f>
        <v>769810.9599999997</v>
      </c>
      <c r="L316" s="40">
        <f t="shared" si="4"/>
        <v>2.22375</v>
      </c>
      <c r="M316" s="40"/>
      <c r="N316" s="40"/>
      <c r="O316" s="40"/>
      <c r="P316" s="39"/>
      <c r="Q316" s="39"/>
      <c r="R316" s="39"/>
      <c r="S316" s="39"/>
      <c r="T316" s="39"/>
      <c r="V316">
        <f>IF(Tabela3[[#This Row],[Pago]]&lt;&gt;"",IF(F317="",Tabela3[[#This Row],[Saldo]],0))</f>
        <v>0</v>
      </c>
    </row>
    <row r="317" spans="1:22" x14ac:dyDescent="0.25">
      <c r="A317" t="s">
        <v>210</v>
      </c>
      <c r="B317" s="37">
        <v>20</v>
      </c>
      <c r="C317" t="str">
        <f>_xlfn.XLOOKUP(B317,'Centro de Custo'!A$2:A$45,'Centro de Custo'!B$2:B$45)</f>
        <v>Desp. ADM</v>
      </c>
      <c r="E317" s="39">
        <v>-148.34</v>
      </c>
      <c r="F317" s="40" t="s">
        <v>10</v>
      </c>
      <c r="G317" s="41">
        <v>45400</v>
      </c>
      <c r="H317" s="42">
        <f>YEAR(Tabela3[[#This Row],[Data]])</f>
        <v>2024</v>
      </c>
      <c r="I317" s="42" t="str">
        <f>_xlfn.XLOOKUP(J317,'Centro de Custo'!J$2:J$13,'Centro de Custo'!K$2:K$13)</f>
        <v>Abril</v>
      </c>
      <c r="J317" s="43">
        <f>MONTH(Tabela3[[#This Row],[Data]])</f>
        <v>4</v>
      </c>
      <c r="K317" s="39">
        <f>SUM(E$3:Tabela3[[#This Row],[Valor]])</f>
        <v>769662.6199999998</v>
      </c>
      <c r="L317" s="40">
        <f t="shared" si="4"/>
        <v>2.22375</v>
      </c>
      <c r="M317" s="40"/>
      <c r="N317" s="40"/>
      <c r="O317" s="40"/>
      <c r="P317" s="39"/>
      <c r="Q317" s="39"/>
      <c r="R317" s="39"/>
      <c r="S317" s="39"/>
      <c r="T317" s="39"/>
      <c r="V317">
        <f>IF(Tabela3[[#This Row],[Pago]]&lt;&gt;"",IF(F318="",Tabela3[[#This Row],[Saldo]],0))</f>
        <v>0</v>
      </c>
    </row>
    <row r="318" spans="1:22" x14ac:dyDescent="0.25">
      <c r="A318" t="s">
        <v>154</v>
      </c>
      <c r="B318" s="37">
        <v>13</v>
      </c>
      <c r="C318" t="str">
        <f>_xlfn.XLOOKUP(B318,'Centro de Custo'!A$2:A$45,'Centro de Custo'!B$2:B$45)</f>
        <v>Terceirizados</v>
      </c>
      <c r="E318" s="39">
        <v>-13000</v>
      </c>
      <c r="F318" s="40" t="s">
        <v>10</v>
      </c>
      <c r="G318" s="41">
        <v>45400</v>
      </c>
      <c r="H318" s="42">
        <f>YEAR(Tabela3[[#This Row],[Data]])</f>
        <v>2024</v>
      </c>
      <c r="I318" s="42" t="str">
        <f>_xlfn.XLOOKUP(J318,'Centro de Custo'!J$2:J$13,'Centro de Custo'!K$2:K$13)</f>
        <v>Abril</v>
      </c>
      <c r="J318" s="43">
        <f>MONTH(Tabela3[[#This Row],[Data]])</f>
        <v>4</v>
      </c>
      <c r="K318" s="39">
        <f>SUM(E$3:Tabela3[[#This Row],[Valor]])</f>
        <v>756662.6199999998</v>
      </c>
      <c r="L318" s="40">
        <f t="shared" si="4"/>
        <v>2.22375</v>
      </c>
      <c r="M318" s="40"/>
      <c r="N318" s="40"/>
      <c r="O318" s="40"/>
      <c r="P318" s="39"/>
      <c r="Q318" s="39"/>
      <c r="R318" s="39"/>
      <c r="S318" s="39"/>
      <c r="T318" s="39"/>
      <c r="V318">
        <f>IF(Tabela3[[#This Row],[Pago]]&lt;&gt;"",IF(F319="",Tabela3[[#This Row],[Saldo]],0))</f>
        <v>0</v>
      </c>
    </row>
    <row r="319" spans="1:22" x14ac:dyDescent="0.25">
      <c r="A319" t="s">
        <v>211</v>
      </c>
      <c r="B319" s="37">
        <v>11</v>
      </c>
      <c r="C319" t="str">
        <f>_xlfn.XLOOKUP(B319,'Centro de Custo'!A$2:A$45,'Centro de Custo'!B$2:B$45)</f>
        <v>Distribuição de Lucro</v>
      </c>
      <c r="E319" s="39">
        <v>-35500</v>
      </c>
      <c r="F319" s="40" t="s">
        <v>10</v>
      </c>
      <c r="G319" s="41">
        <v>45400</v>
      </c>
      <c r="H319" s="42">
        <f>YEAR(Tabela3[[#This Row],[Data]])</f>
        <v>2024</v>
      </c>
      <c r="I319" s="42" t="str">
        <f>_xlfn.XLOOKUP(J319,'Centro de Custo'!J$2:J$13,'Centro de Custo'!K$2:K$13)</f>
        <v>Abril</v>
      </c>
      <c r="J319" s="43">
        <f>MONTH(Tabela3[[#This Row],[Data]])</f>
        <v>4</v>
      </c>
      <c r="K319" s="39">
        <f>SUM(E$3:Tabela3[[#This Row],[Valor]])</f>
        <v>721162.6199999998</v>
      </c>
      <c r="L319" s="40">
        <f t="shared" si="4"/>
        <v>2.22375</v>
      </c>
      <c r="M319" s="40"/>
      <c r="N319" s="40"/>
      <c r="O319" s="40"/>
      <c r="P319" s="39"/>
      <c r="Q319" s="39"/>
      <c r="R319" s="39"/>
      <c r="S319" s="39"/>
      <c r="T319" s="39"/>
      <c r="V319">
        <f>IF(Tabela3[[#This Row],[Pago]]&lt;&gt;"",IF(F320="",Tabela3[[#This Row],[Saldo]],0))</f>
        <v>0</v>
      </c>
    </row>
    <row r="320" spans="1:22" x14ac:dyDescent="0.25">
      <c r="A320" t="s">
        <v>212</v>
      </c>
      <c r="B320" s="37">
        <v>11</v>
      </c>
      <c r="C320" t="str">
        <f>_xlfn.XLOOKUP(B320,'Centro de Custo'!A$2:A$45,'Centro de Custo'!B$2:B$45)</f>
        <v>Distribuição de Lucro</v>
      </c>
      <c r="E320" s="39">
        <v>-200000</v>
      </c>
      <c r="F320" s="40" t="s">
        <v>10</v>
      </c>
      <c r="G320" s="41">
        <v>45400</v>
      </c>
      <c r="H320" s="42">
        <f>YEAR(Tabela3[[#This Row],[Data]])</f>
        <v>2024</v>
      </c>
      <c r="I320" s="42" t="str">
        <f>_xlfn.XLOOKUP(J320,'Centro de Custo'!J$2:J$13,'Centro de Custo'!K$2:K$13)</f>
        <v>Abril</v>
      </c>
      <c r="J320" s="43">
        <f>MONTH(Tabela3[[#This Row],[Data]])</f>
        <v>4</v>
      </c>
      <c r="K320" s="39">
        <f>SUM(E$3:Tabela3[[#This Row],[Valor]])</f>
        <v>521162.61999999976</v>
      </c>
      <c r="L320" s="40">
        <f t="shared" si="4"/>
        <v>2.22375</v>
      </c>
      <c r="M320" s="40"/>
      <c r="N320" s="40"/>
      <c r="O320" s="40"/>
      <c r="P320" s="39"/>
      <c r="Q320" s="39"/>
      <c r="R320" s="39"/>
      <c r="S320" s="39"/>
      <c r="T320" s="39"/>
      <c r="V320">
        <f>IF(Tabela3[[#This Row],[Pago]]&lt;&gt;"",IF(F321="",Tabela3[[#This Row],[Saldo]],0))</f>
        <v>0</v>
      </c>
    </row>
    <row r="321" spans="1:22" x14ac:dyDescent="0.25">
      <c r="A321" t="s">
        <v>213</v>
      </c>
      <c r="B321" s="37">
        <v>11</v>
      </c>
      <c r="C321" t="str">
        <f>_xlfn.XLOOKUP(B321,'Centro de Custo'!A$2:A$45,'Centro de Custo'!B$2:B$45)</f>
        <v>Distribuição de Lucro</v>
      </c>
      <c r="E321" s="39">
        <v>-311500</v>
      </c>
      <c r="F321" s="40" t="s">
        <v>10</v>
      </c>
      <c r="G321" s="41">
        <v>45400</v>
      </c>
      <c r="H321" s="42">
        <f>YEAR(Tabela3[[#This Row],[Data]])</f>
        <v>2024</v>
      </c>
      <c r="I321" s="42" t="str">
        <f>_xlfn.XLOOKUP(J321,'Centro de Custo'!J$2:J$13,'Centro de Custo'!K$2:K$13)</f>
        <v>Abril</v>
      </c>
      <c r="J321" s="43">
        <f>MONTH(Tabela3[[#This Row],[Data]])</f>
        <v>4</v>
      </c>
      <c r="K321" s="39">
        <f>SUM(E$3:Tabela3[[#This Row],[Valor]])</f>
        <v>209662.61999999976</v>
      </c>
      <c r="L321" s="40">
        <f t="shared" si="4"/>
        <v>2.22375</v>
      </c>
      <c r="M321" s="40"/>
      <c r="N321" s="40"/>
      <c r="O321" s="40"/>
      <c r="P321" s="39"/>
      <c r="Q321" s="39"/>
      <c r="R321" s="39"/>
      <c r="S321" s="39"/>
      <c r="T321" s="39"/>
      <c r="V321">
        <f>IF(Tabela3[[#This Row],[Pago]]&lt;&gt;"",IF(F322="",Tabela3[[#This Row],[Saldo]],0))</f>
        <v>0</v>
      </c>
    </row>
    <row r="322" spans="1:22" x14ac:dyDescent="0.25">
      <c r="A322" t="s">
        <v>51</v>
      </c>
      <c r="B322" s="37">
        <v>41</v>
      </c>
      <c r="C322" t="str">
        <f>_xlfn.XLOOKUP(B322,'Centro de Custo'!A$2:A$45,'Centro de Custo'!B$2:B$45)</f>
        <v>Resgate Financeiro</v>
      </c>
      <c r="E322" s="39">
        <v>5800000</v>
      </c>
      <c r="F322" s="40" t="s">
        <v>10</v>
      </c>
      <c r="G322" s="41">
        <v>45401</v>
      </c>
      <c r="H322" s="42">
        <f>YEAR(Tabela3[[#This Row],[Data]])</f>
        <v>2024</v>
      </c>
      <c r="I322" s="42" t="str">
        <f>_xlfn.XLOOKUP(J322,'Centro de Custo'!J$2:J$13,'Centro de Custo'!K$2:K$13)</f>
        <v>Abril</v>
      </c>
      <c r="J322" s="43">
        <f>MONTH(Tabela3[[#This Row],[Data]])</f>
        <v>4</v>
      </c>
      <c r="K322" s="39">
        <f>SUM(E$3:Tabela3[[#This Row],[Valor]])</f>
        <v>6009662.62</v>
      </c>
      <c r="L322" s="40">
        <f t="shared" si="4"/>
        <v>2.22375</v>
      </c>
      <c r="M322" s="40"/>
      <c r="N322" s="40"/>
      <c r="O322" s="40"/>
      <c r="P322" s="39"/>
      <c r="Q322" s="39"/>
      <c r="R322" s="39"/>
      <c r="S322" s="39"/>
      <c r="T322" s="39"/>
      <c r="V322">
        <f>IF(Tabela3[[#This Row],[Pago]]&lt;&gt;"",IF(F323="",Tabela3[[#This Row],[Saldo]],0))</f>
        <v>0</v>
      </c>
    </row>
    <row r="323" spans="1:22" x14ac:dyDescent="0.25">
      <c r="A323" t="s">
        <v>208</v>
      </c>
      <c r="B323" s="37">
        <v>2</v>
      </c>
      <c r="C323" t="str">
        <f>_xlfn.XLOOKUP(B323,'Centro de Custo'!A$2:A$45,'Centro de Custo'!B$2:B$45)</f>
        <v>Outras Receitas</v>
      </c>
      <c r="E323" s="39">
        <v>300000</v>
      </c>
      <c r="F323" s="40" t="s">
        <v>10</v>
      </c>
      <c r="G323" s="41">
        <v>45401</v>
      </c>
      <c r="H323" s="42">
        <f>YEAR(Tabela3[[#This Row],[Data]])</f>
        <v>2024</v>
      </c>
      <c r="I323" s="42" t="str">
        <f>_xlfn.XLOOKUP(J323,'Centro de Custo'!J$2:J$13,'Centro de Custo'!K$2:K$13)</f>
        <v>Abril</v>
      </c>
      <c r="J323" s="43">
        <f>MONTH(Tabela3[[#This Row],[Data]])</f>
        <v>4</v>
      </c>
      <c r="K323" s="39">
        <f>SUM(E$3:Tabela3[[#This Row],[Valor]])</f>
        <v>6309662.62</v>
      </c>
      <c r="L323" s="40">
        <f t="shared" ref="L323:L386" si="5">17.79/8</f>
        <v>2.22375</v>
      </c>
      <c r="M323" s="40"/>
      <c r="N323" s="40"/>
      <c r="O323" s="40"/>
      <c r="P323" s="39"/>
      <c r="Q323" s="39"/>
      <c r="R323" s="39"/>
      <c r="S323" s="39"/>
      <c r="T323" s="39"/>
      <c r="V323">
        <f>IF(Tabela3[[#This Row],[Pago]]&lt;&gt;"",IF(F324="",Tabela3[[#This Row],[Saldo]],0))</f>
        <v>0</v>
      </c>
    </row>
    <row r="324" spans="1:22" x14ac:dyDescent="0.25">
      <c r="A324" t="s">
        <v>208</v>
      </c>
      <c r="B324" s="37">
        <v>2</v>
      </c>
      <c r="C324" t="str">
        <f>_xlfn.XLOOKUP(B324,'Centro de Custo'!A$2:A$45,'Centro de Custo'!B$2:B$45)</f>
        <v>Outras Receitas</v>
      </c>
      <c r="E324" s="39">
        <v>200000</v>
      </c>
      <c r="F324" s="40" t="s">
        <v>10</v>
      </c>
      <c r="G324" s="41">
        <v>45401</v>
      </c>
      <c r="H324" s="42">
        <f>YEAR(Tabela3[[#This Row],[Data]])</f>
        <v>2024</v>
      </c>
      <c r="I324" s="42" t="str">
        <f>_xlfn.XLOOKUP(J324,'Centro de Custo'!J$2:J$13,'Centro de Custo'!K$2:K$13)</f>
        <v>Abril</v>
      </c>
      <c r="J324" s="43">
        <f>MONTH(Tabela3[[#This Row],[Data]])</f>
        <v>4</v>
      </c>
      <c r="K324" s="39">
        <f>SUM(E$3:Tabela3[[#This Row],[Valor]])</f>
        <v>6509662.62</v>
      </c>
      <c r="L324" s="40">
        <f t="shared" si="5"/>
        <v>2.22375</v>
      </c>
      <c r="M324" s="40"/>
      <c r="N324" s="40"/>
      <c r="O324" s="40"/>
      <c r="P324" s="39"/>
      <c r="Q324" s="39"/>
      <c r="R324" s="39"/>
      <c r="S324" s="39"/>
      <c r="T324" s="39"/>
      <c r="V324">
        <f>IF(Tabela3[[#This Row],[Pago]]&lt;&gt;"",IF(F325="",Tabela3[[#This Row],[Saldo]],0))</f>
        <v>0</v>
      </c>
    </row>
    <row r="325" spans="1:22" x14ac:dyDescent="0.25">
      <c r="A325" t="s">
        <v>214</v>
      </c>
      <c r="B325" s="37">
        <v>50</v>
      </c>
      <c r="C325" t="str">
        <f>_xlfn.XLOOKUP(B325,'Centro de Custo'!A$2:A$45,'Centro de Custo'!B$2:B$45)</f>
        <v>Empréstimos</v>
      </c>
      <c r="E325" s="45">
        <v>125000</v>
      </c>
      <c r="F325" s="40" t="s">
        <v>10</v>
      </c>
      <c r="G325" s="41">
        <v>45401</v>
      </c>
      <c r="H325" s="42">
        <f>YEAR(Tabela3[[#This Row],[Data]])</f>
        <v>2024</v>
      </c>
      <c r="I325" s="42" t="str">
        <f>_xlfn.XLOOKUP(J325,'Centro de Custo'!J$2:J$13,'Centro de Custo'!K$2:K$13)</f>
        <v>Abril</v>
      </c>
      <c r="J325" s="43">
        <f>MONTH(Tabela3[[#This Row],[Data]])</f>
        <v>4</v>
      </c>
      <c r="K325" s="39">
        <f>SUM(E$3:Tabela3[[#This Row],[Valor]])</f>
        <v>6634662.62</v>
      </c>
      <c r="L325" s="40">
        <f t="shared" si="5"/>
        <v>2.22375</v>
      </c>
      <c r="M325" s="40"/>
      <c r="N325" s="40"/>
      <c r="O325" s="40"/>
      <c r="P325" s="39"/>
      <c r="Q325" s="39"/>
      <c r="R325" s="39"/>
      <c r="S325" s="39"/>
      <c r="T325" s="39"/>
      <c r="V325">
        <f>IF(Tabela3[[#This Row],[Pago]]&lt;&gt;"",IF(F326="",Tabela3[[#This Row],[Saldo]],0))</f>
        <v>0</v>
      </c>
    </row>
    <row r="326" spans="1:22" x14ac:dyDescent="0.25">
      <c r="A326" t="s">
        <v>214</v>
      </c>
      <c r="B326" s="37">
        <v>50</v>
      </c>
      <c r="C326" t="str">
        <f>_xlfn.XLOOKUP(B326,'Centro de Custo'!A$2:A$45,'Centro de Custo'!B$2:B$45)</f>
        <v>Empréstimos</v>
      </c>
      <c r="E326" s="39">
        <v>30000</v>
      </c>
      <c r="F326" s="40" t="s">
        <v>10</v>
      </c>
      <c r="G326" s="41">
        <v>45401</v>
      </c>
      <c r="H326" s="42">
        <f>YEAR(Tabela3[[#This Row],[Data]])</f>
        <v>2024</v>
      </c>
      <c r="I326" s="42" t="str">
        <f>_xlfn.XLOOKUP(J326,'Centro de Custo'!J$2:J$13,'Centro de Custo'!K$2:K$13)</f>
        <v>Abril</v>
      </c>
      <c r="J326" s="43">
        <f>MONTH(Tabela3[[#This Row],[Data]])</f>
        <v>4</v>
      </c>
      <c r="K326" s="39">
        <f>SUM(E$3:Tabela3[[#This Row],[Valor]])</f>
        <v>6664662.62</v>
      </c>
      <c r="L326" s="40">
        <f t="shared" si="5"/>
        <v>2.22375</v>
      </c>
      <c r="M326" s="40"/>
      <c r="N326" s="40"/>
      <c r="O326" s="40"/>
      <c r="P326" s="39"/>
      <c r="Q326" s="39"/>
      <c r="R326" s="39"/>
      <c r="S326" s="39"/>
      <c r="T326" s="39"/>
      <c r="V326">
        <f>IF(Tabela3[[#This Row],[Pago]]&lt;&gt;"",IF(F327="",Tabela3[[#This Row],[Saldo]],0))</f>
        <v>0</v>
      </c>
    </row>
    <row r="327" spans="1:22" x14ac:dyDescent="0.25">
      <c r="A327" t="s">
        <v>215</v>
      </c>
      <c r="B327" s="37">
        <v>20</v>
      </c>
      <c r="C327" t="str">
        <f>_xlfn.XLOOKUP(B327,'Centro de Custo'!A$2:A$45,'Centro de Custo'!B$2:B$45)</f>
        <v>Desp. ADM</v>
      </c>
      <c r="E327" s="39">
        <v>-311</v>
      </c>
      <c r="F327" s="40" t="s">
        <v>10</v>
      </c>
      <c r="G327" s="41">
        <v>45401</v>
      </c>
      <c r="H327" s="42">
        <f>YEAR(Tabela3[[#This Row],[Data]])</f>
        <v>2024</v>
      </c>
      <c r="I327" s="42" t="str">
        <f>_xlfn.XLOOKUP(J327,'Centro de Custo'!J$2:J$13,'Centro de Custo'!K$2:K$13)</f>
        <v>Abril</v>
      </c>
      <c r="J327" s="43">
        <f>MONTH(Tabela3[[#This Row],[Data]])</f>
        <v>4</v>
      </c>
      <c r="K327" s="39">
        <f>SUM(E$3:Tabela3[[#This Row],[Valor]])</f>
        <v>6664351.62</v>
      </c>
      <c r="L327" s="40">
        <f t="shared" si="5"/>
        <v>2.22375</v>
      </c>
      <c r="M327" s="40"/>
      <c r="N327" s="40"/>
      <c r="O327" s="40"/>
      <c r="P327" s="39"/>
      <c r="Q327" s="39"/>
      <c r="R327" s="39"/>
      <c r="S327" s="39"/>
      <c r="T327" s="39"/>
      <c r="V327">
        <f>IF(Tabela3[[#This Row],[Pago]]&lt;&gt;"",IF(F328="",Tabela3[[#This Row],[Saldo]],0))</f>
        <v>0</v>
      </c>
    </row>
    <row r="328" spans="1:22" x14ac:dyDescent="0.25">
      <c r="A328" t="s">
        <v>216</v>
      </c>
      <c r="B328" s="37">
        <v>11</v>
      </c>
      <c r="C328" t="str">
        <f>_xlfn.XLOOKUP(B328,'Centro de Custo'!A$2:A$45,'Centro de Custo'!B$2:B$45)</f>
        <v>Distribuição de Lucro</v>
      </c>
      <c r="E328" s="39">
        <v>-30000</v>
      </c>
      <c r="F328" s="40" t="s">
        <v>10</v>
      </c>
      <c r="G328" s="41">
        <v>45401</v>
      </c>
      <c r="H328" s="42">
        <f>YEAR(Tabela3[[#This Row],[Data]])</f>
        <v>2024</v>
      </c>
      <c r="I328" s="42" t="str">
        <f>_xlfn.XLOOKUP(J328,'Centro de Custo'!J$2:J$13,'Centro de Custo'!K$2:K$13)</f>
        <v>Abril</v>
      </c>
      <c r="J328" s="43">
        <f>MONTH(Tabela3[[#This Row],[Data]])</f>
        <v>4</v>
      </c>
      <c r="K328" s="39">
        <f>SUM(E$3:Tabela3[[#This Row],[Valor]])</f>
        <v>6634351.62</v>
      </c>
      <c r="L328" s="40">
        <f t="shared" si="5"/>
        <v>2.22375</v>
      </c>
      <c r="M328" s="40"/>
      <c r="N328" s="40"/>
      <c r="O328" s="40"/>
      <c r="P328" s="39"/>
      <c r="Q328" s="39"/>
      <c r="R328" s="39"/>
      <c r="S328" s="39"/>
      <c r="T328" s="39"/>
      <c r="V328">
        <f>IF(Tabela3[[#This Row],[Pago]]&lt;&gt;"",IF(F329="",Tabela3[[#This Row],[Saldo]],0))</f>
        <v>0</v>
      </c>
    </row>
    <row r="329" spans="1:22" x14ac:dyDescent="0.25">
      <c r="A329" t="s">
        <v>217</v>
      </c>
      <c r="B329" s="37">
        <v>11</v>
      </c>
      <c r="C329" t="str">
        <f>_xlfn.XLOOKUP(B329,'Centro de Custo'!A$2:A$45,'Centro de Custo'!B$2:B$45)</f>
        <v>Distribuição de Lucro</v>
      </c>
      <c r="E329" s="45">
        <v>-125000</v>
      </c>
      <c r="F329" s="40" t="s">
        <v>10</v>
      </c>
      <c r="G329" s="41">
        <v>45401</v>
      </c>
      <c r="H329" s="42">
        <f>YEAR(Tabela3[[#This Row],[Data]])</f>
        <v>2024</v>
      </c>
      <c r="I329" s="42" t="str">
        <f>_xlfn.XLOOKUP(J329,'Centro de Custo'!J$2:J$13,'Centro de Custo'!K$2:K$13)</f>
        <v>Abril</v>
      </c>
      <c r="J329" s="43">
        <f>MONTH(Tabela3[[#This Row],[Data]])</f>
        <v>4</v>
      </c>
      <c r="K329" s="39">
        <f>SUM(E$3:Tabela3[[#This Row],[Valor]])</f>
        <v>6509351.62</v>
      </c>
      <c r="L329" s="40">
        <f t="shared" si="5"/>
        <v>2.22375</v>
      </c>
      <c r="M329" s="40"/>
      <c r="N329" s="40"/>
      <c r="O329" s="40"/>
      <c r="P329" s="39"/>
      <c r="Q329" s="39"/>
      <c r="R329" s="39"/>
      <c r="S329" s="39"/>
      <c r="T329" s="39"/>
      <c r="V329">
        <f>IF(Tabela3[[#This Row],[Pago]]&lt;&gt;"",IF(F330="",Tabela3[[#This Row],[Saldo]],0))</f>
        <v>0</v>
      </c>
    </row>
    <row r="330" spans="1:22" x14ac:dyDescent="0.25">
      <c r="A330" t="s">
        <v>216</v>
      </c>
      <c r="B330" s="37">
        <v>11</v>
      </c>
      <c r="C330" t="str">
        <f>_xlfn.XLOOKUP(B330,'Centro de Custo'!A$2:A$45,'Centro de Custo'!B$2:B$45)</f>
        <v>Distribuição de Lucro</v>
      </c>
      <c r="E330" s="39">
        <v>-200000</v>
      </c>
      <c r="F330" s="40" t="s">
        <v>10</v>
      </c>
      <c r="G330" s="41">
        <v>45401</v>
      </c>
      <c r="H330" s="42">
        <f>YEAR(Tabela3[[#This Row],[Data]])</f>
        <v>2024</v>
      </c>
      <c r="I330" s="42" t="str">
        <f>_xlfn.XLOOKUP(J330,'Centro de Custo'!J$2:J$13,'Centro de Custo'!K$2:K$13)</f>
        <v>Abril</v>
      </c>
      <c r="J330" s="43">
        <f>MONTH(Tabela3[[#This Row],[Data]])</f>
        <v>4</v>
      </c>
      <c r="K330" s="39">
        <f>SUM(E$3:Tabela3[[#This Row],[Valor]])</f>
        <v>6309351.62</v>
      </c>
      <c r="L330" s="40">
        <f t="shared" si="5"/>
        <v>2.22375</v>
      </c>
      <c r="M330" s="40"/>
      <c r="N330" s="40"/>
      <c r="O330" s="40"/>
      <c r="P330" s="39"/>
      <c r="Q330" s="39"/>
      <c r="R330" s="39"/>
      <c r="S330" s="39"/>
      <c r="T330" s="39"/>
      <c r="V330">
        <f>IF(Tabela3[[#This Row],[Pago]]&lt;&gt;"",IF(F331="",Tabela3[[#This Row],[Saldo]],0))</f>
        <v>0</v>
      </c>
    </row>
    <row r="331" spans="1:22" x14ac:dyDescent="0.25">
      <c r="A331" t="s">
        <v>218</v>
      </c>
      <c r="B331" s="37">
        <v>11</v>
      </c>
      <c r="C331" t="str">
        <f>_xlfn.XLOOKUP(B331,'Centro de Custo'!A$2:A$45,'Centro de Custo'!B$2:B$45)</f>
        <v>Distribuição de Lucro</v>
      </c>
      <c r="E331" s="39">
        <v>-250000</v>
      </c>
      <c r="F331" s="40" t="s">
        <v>10</v>
      </c>
      <c r="G331" s="41">
        <v>45401</v>
      </c>
      <c r="H331" s="42">
        <f>YEAR(Tabela3[[#This Row],[Data]])</f>
        <v>2024</v>
      </c>
      <c r="I331" s="42" t="str">
        <f>_xlfn.XLOOKUP(J331,'Centro de Custo'!J$2:J$13,'Centro de Custo'!K$2:K$13)</f>
        <v>Abril</v>
      </c>
      <c r="J331" s="43">
        <f>MONTH(Tabela3[[#This Row],[Data]])</f>
        <v>4</v>
      </c>
      <c r="K331" s="39">
        <f>SUM(E$3:Tabela3[[#This Row],[Valor]])</f>
        <v>6059351.62</v>
      </c>
      <c r="L331" s="40">
        <f t="shared" si="5"/>
        <v>2.22375</v>
      </c>
      <c r="M331" s="40"/>
      <c r="N331" s="40"/>
      <c r="O331" s="40"/>
      <c r="P331" s="39"/>
      <c r="Q331" s="39"/>
      <c r="R331" s="39"/>
      <c r="S331" s="39"/>
      <c r="T331" s="39"/>
      <c r="V331">
        <f>IF(Tabela3[[#This Row],[Pago]]&lt;&gt;"",IF(F332="",Tabela3[[#This Row],[Saldo]],0))</f>
        <v>0</v>
      </c>
    </row>
    <row r="332" spans="1:22" x14ac:dyDescent="0.25">
      <c r="A332" t="s">
        <v>212</v>
      </c>
      <c r="B332" s="37">
        <v>11</v>
      </c>
      <c r="C332" t="str">
        <f>_xlfn.XLOOKUP(B332,'Centro de Custo'!A$2:A$45,'Centro de Custo'!B$2:B$45)</f>
        <v>Distribuição de Lucro</v>
      </c>
      <c r="E332" s="39">
        <v>-300000</v>
      </c>
      <c r="F332" s="40" t="s">
        <v>10</v>
      </c>
      <c r="G332" s="41">
        <v>45401</v>
      </c>
      <c r="H332" s="42">
        <f>YEAR(Tabela3[[#This Row],[Data]])</f>
        <v>2024</v>
      </c>
      <c r="I332" s="42" t="str">
        <f>_xlfn.XLOOKUP(J332,'Centro de Custo'!J$2:J$13,'Centro de Custo'!K$2:K$13)</f>
        <v>Abril</v>
      </c>
      <c r="J332" s="43">
        <f>MONTH(Tabela3[[#This Row],[Data]])</f>
        <v>4</v>
      </c>
      <c r="K332" s="39">
        <f>SUM(E$3:Tabela3[[#This Row],[Valor]])</f>
        <v>5759351.62</v>
      </c>
      <c r="L332" s="40">
        <f t="shared" si="5"/>
        <v>2.22375</v>
      </c>
      <c r="M332" s="40"/>
      <c r="N332" s="40"/>
      <c r="O332" s="40"/>
      <c r="P332" s="39"/>
      <c r="Q332" s="39"/>
      <c r="R332" s="39"/>
      <c r="S332" s="39"/>
      <c r="T332" s="39"/>
      <c r="V332">
        <f>IF(Tabela3[[#This Row],[Pago]]&lt;&gt;"",IF(F333="",Tabela3[[#This Row],[Saldo]],0))</f>
        <v>0</v>
      </c>
    </row>
    <row r="333" spans="1:22" x14ac:dyDescent="0.25">
      <c r="A333" t="s">
        <v>219</v>
      </c>
      <c r="B333" s="37">
        <v>11</v>
      </c>
      <c r="C333" t="str">
        <f>_xlfn.XLOOKUP(B333,'Centro de Custo'!A$2:A$45,'Centro de Custo'!B$2:B$45)</f>
        <v>Distribuição de Lucro</v>
      </c>
      <c r="E333" s="39">
        <v>-820000</v>
      </c>
      <c r="F333" s="40" t="s">
        <v>10</v>
      </c>
      <c r="G333" s="41">
        <v>45401</v>
      </c>
      <c r="H333" s="42">
        <f>YEAR(Tabela3[[#This Row],[Data]])</f>
        <v>2024</v>
      </c>
      <c r="I333" s="42" t="str">
        <f>_xlfn.XLOOKUP(J333,'Centro de Custo'!J$2:J$13,'Centro de Custo'!K$2:K$13)</f>
        <v>Abril</v>
      </c>
      <c r="J333" s="43">
        <f>MONTH(Tabela3[[#This Row],[Data]])</f>
        <v>4</v>
      </c>
      <c r="K333" s="39">
        <f>SUM(E$3:Tabela3[[#This Row],[Valor]])</f>
        <v>4939351.62</v>
      </c>
      <c r="L333" s="40">
        <f t="shared" si="5"/>
        <v>2.22375</v>
      </c>
      <c r="M333" s="40"/>
      <c r="N333" s="40"/>
      <c r="O333" s="40"/>
      <c r="P333" s="39"/>
      <c r="Q333" s="39"/>
      <c r="R333" s="39"/>
      <c r="S333" s="39"/>
      <c r="T333" s="39"/>
      <c r="V333">
        <f>IF(Tabela3[[#This Row],[Pago]]&lt;&gt;"",IF(F334="",Tabela3[[#This Row],[Saldo]],0))</f>
        <v>0</v>
      </c>
    </row>
    <row r="334" spans="1:22" x14ac:dyDescent="0.25">
      <c r="A334" t="s">
        <v>220</v>
      </c>
      <c r="B334" s="37">
        <v>11</v>
      </c>
      <c r="C334" t="str">
        <f>_xlfn.XLOOKUP(B334,'Centro de Custo'!A$2:A$45,'Centro de Custo'!B$2:B$45)</f>
        <v>Distribuição de Lucro</v>
      </c>
      <c r="E334" s="39">
        <v>-1100000</v>
      </c>
      <c r="F334" s="40" t="s">
        <v>10</v>
      </c>
      <c r="G334" s="41">
        <v>45401</v>
      </c>
      <c r="H334" s="42">
        <f>YEAR(Tabela3[[#This Row],[Data]])</f>
        <v>2024</v>
      </c>
      <c r="I334" s="42" t="str">
        <f>_xlfn.XLOOKUP(J334,'Centro de Custo'!J$2:J$13,'Centro de Custo'!K$2:K$13)</f>
        <v>Abril</v>
      </c>
      <c r="J334" s="43">
        <f>MONTH(Tabela3[[#This Row],[Data]])</f>
        <v>4</v>
      </c>
      <c r="K334" s="39">
        <f>SUM(E$3:Tabela3[[#This Row],[Valor]])</f>
        <v>3839351.62</v>
      </c>
      <c r="L334" s="40">
        <f t="shared" si="5"/>
        <v>2.22375</v>
      </c>
      <c r="M334" s="40"/>
      <c r="N334" s="40"/>
      <c r="O334" s="40"/>
      <c r="P334" s="39"/>
      <c r="Q334" s="39"/>
      <c r="R334" s="39"/>
      <c r="S334" s="39"/>
      <c r="T334" s="39"/>
      <c r="V334">
        <f>IF(Tabela3[[#This Row],[Pago]]&lt;&gt;"",IF(F335="",Tabela3[[#This Row],[Saldo]],0))</f>
        <v>0</v>
      </c>
    </row>
    <row r="335" spans="1:22" x14ac:dyDescent="0.25">
      <c r="A335" t="s">
        <v>221</v>
      </c>
      <c r="B335" s="37">
        <v>11</v>
      </c>
      <c r="C335" t="str">
        <f>_xlfn.XLOOKUP(B335,'Centro de Custo'!A$2:A$45,'Centro de Custo'!B$2:B$45)</f>
        <v>Distribuição de Lucro</v>
      </c>
      <c r="E335" s="39">
        <v>-1275000</v>
      </c>
      <c r="F335" s="40" t="s">
        <v>10</v>
      </c>
      <c r="G335" s="41">
        <v>45401</v>
      </c>
      <c r="H335" s="42">
        <f>YEAR(Tabela3[[#This Row],[Data]])</f>
        <v>2024</v>
      </c>
      <c r="I335" s="42" t="str">
        <f>_xlfn.XLOOKUP(J335,'Centro de Custo'!J$2:J$13,'Centro de Custo'!K$2:K$13)</f>
        <v>Abril</v>
      </c>
      <c r="J335" s="43">
        <f>MONTH(Tabela3[[#This Row],[Data]])</f>
        <v>4</v>
      </c>
      <c r="K335" s="39">
        <f>SUM(E$3:Tabela3[[#This Row],[Valor]])</f>
        <v>2564351.62</v>
      </c>
      <c r="L335" s="40">
        <f t="shared" si="5"/>
        <v>2.22375</v>
      </c>
      <c r="M335" s="40"/>
      <c r="N335" s="40"/>
      <c r="O335" s="40"/>
      <c r="P335" s="39"/>
      <c r="Q335" s="39"/>
      <c r="R335" s="39"/>
      <c r="S335" s="39"/>
      <c r="T335" s="39"/>
      <c r="V335">
        <f>IF(Tabela3[[#This Row],[Pago]]&lt;&gt;"",IF(F336="",Tabela3[[#This Row],[Saldo]],0))</f>
        <v>0</v>
      </c>
    </row>
    <row r="336" spans="1:22" x14ac:dyDescent="0.25">
      <c r="A336" t="s">
        <v>222</v>
      </c>
      <c r="B336" s="37">
        <v>11</v>
      </c>
      <c r="C336" t="str">
        <f>_xlfn.XLOOKUP(B336,'Centro de Custo'!A$2:A$45,'Centro de Custo'!B$2:B$45)</f>
        <v>Distribuição de Lucro</v>
      </c>
      <c r="E336" s="39">
        <v>-1400000</v>
      </c>
      <c r="F336" s="40" t="s">
        <v>10</v>
      </c>
      <c r="G336" s="41">
        <v>45401</v>
      </c>
      <c r="H336" s="42">
        <f>YEAR(Tabela3[[#This Row],[Data]])</f>
        <v>2024</v>
      </c>
      <c r="I336" s="42" t="str">
        <f>_xlfn.XLOOKUP(J336,'Centro de Custo'!J$2:J$13,'Centro de Custo'!K$2:K$13)</f>
        <v>Abril</v>
      </c>
      <c r="J336" s="43">
        <f>MONTH(Tabela3[[#This Row],[Data]])</f>
        <v>4</v>
      </c>
      <c r="K336" s="39">
        <f>SUM(E$3:Tabela3[[#This Row],[Valor]])</f>
        <v>1164351.62</v>
      </c>
      <c r="L336" s="40">
        <f t="shared" si="5"/>
        <v>2.22375</v>
      </c>
      <c r="M336" s="40"/>
      <c r="N336" s="40"/>
      <c r="O336" s="40"/>
      <c r="P336" s="39"/>
      <c r="Q336" s="39"/>
      <c r="R336" s="39"/>
      <c r="S336" s="39"/>
      <c r="T336" s="39"/>
      <c r="V336">
        <f>IF(Tabela3[[#This Row],[Pago]]&lt;&gt;"",IF(F337="",Tabela3[[#This Row],[Saldo]],0))</f>
        <v>0</v>
      </c>
    </row>
    <row r="337" spans="1:22" x14ac:dyDescent="0.25">
      <c r="A337" t="s">
        <v>223</v>
      </c>
      <c r="B337" s="37">
        <v>20</v>
      </c>
      <c r="C337" t="str">
        <f>_xlfn.XLOOKUP(B337,'Centro de Custo'!A$2:A$45,'Centro de Custo'!B$2:B$45)</f>
        <v>Desp. ADM</v>
      </c>
      <c r="E337" s="39">
        <v>-14</v>
      </c>
      <c r="F337" s="40" t="s">
        <v>10</v>
      </c>
      <c r="G337" s="41">
        <v>45404</v>
      </c>
      <c r="H337" s="42">
        <f>YEAR(Tabela3[[#This Row],[Data]])</f>
        <v>2024</v>
      </c>
      <c r="I337" s="42" t="str">
        <f>_xlfn.XLOOKUP(J337,'Centro de Custo'!J$2:J$13,'Centro de Custo'!K$2:K$13)</f>
        <v>Abril</v>
      </c>
      <c r="J337" s="43">
        <f>MONTH(Tabela3[[#This Row],[Data]])</f>
        <v>4</v>
      </c>
      <c r="K337" s="39">
        <f>SUM(E$3:Tabela3[[#This Row],[Valor]])</f>
        <v>1164337.62</v>
      </c>
      <c r="L337" s="40">
        <f t="shared" si="5"/>
        <v>2.22375</v>
      </c>
      <c r="M337" s="40"/>
      <c r="N337" s="40"/>
      <c r="O337" s="40"/>
      <c r="P337" s="39"/>
      <c r="Q337" s="39"/>
      <c r="R337" s="39"/>
      <c r="S337" s="39"/>
      <c r="T337" s="39"/>
      <c r="V337">
        <f>IF(Tabela3[[#This Row],[Pago]]&lt;&gt;"",IF(F338="",Tabela3[[#This Row],[Saldo]],0))</f>
        <v>0</v>
      </c>
    </row>
    <row r="338" spans="1:22" x14ac:dyDescent="0.25">
      <c r="A338" t="s">
        <v>223</v>
      </c>
      <c r="B338" s="37">
        <v>20</v>
      </c>
      <c r="C338" t="str">
        <f>_xlfn.XLOOKUP(B338,'Centro de Custo'!A$2:A$45,'Centro de Custo'!B$2:B$45)</f>
        <v>Desp. ADM</v>
      </c>
      <c r="E338" s="39">
        <v>-7</v>
      </c>
      <c r="F338" s="40" t="s">
        <v>10</v>
      </c>
      <c r="G338" s="41">
        <v>45405</v>
      </c>
      <c r="H338" s="42">
        <f>YEAR(Tabela3[[#This Row],[Data]])</f>
        <v>2024</v>
      </c>
      <c r="I338" s="42" t="str">
        <f>_xlfn.XLOOKUP(J338,'Centro de Custo'!J$2:J$13,'Centro de Custo'!K$2:K$13)</f>
        <v>Abril</v>
      </c>
      <c r="J338" s="43">
        <f>MONTH(Tabela3[[#This Row],[Data]])</f>
        <v>4</v>
      </c>
      <c r="K338" s="39">
        <f>SUM(E$3:Tabela3[[#This Row],[Valor]])</f>
        <v>1164330.62</v>
      </c>
      <c r="L338" s="40">
        <f t="shared" si="5"/>
        <v>2.22375</v>
      </c>
      <c r="M338" s="40"/>
      <c r="N338" s="40"/>
      <c r="O338" s="40"/>
      <c r="P338" s="39"/>
      <c r="Q338" s="39"/>
      <c r="R338" s="39"/>
      <c r="S338" s="39"/>
      <c r="T338" s="39"/>
      <c r="V338">
        <f>IF(Tabela3[[#This Row],[Pago]]&lt;&gt;"",IF(F339="",Tabela3[[#This Row],[Saldo]],0))</f>
        <v>0</v>
      </c>
    </row>
    <row r="339" spans="1:22" x14ac:dyDescent="0.25">
      <c r="A339" t="s">
        <v>63</v>
      </c>
      <c r="B339" s="37">
        <v>11</v>
      </c>
      <c r="C339" t="str">
        <f>_xlfn.XLOOKUP(B339,'Centro de Custo'!A$2:A$45,'Centro de Custo'!B$2:B$45)</f>
        <v>Distribuição de Lucro</v>
      </c>
      <c r="E339" s="39">
        <v>-1000000</v>
      </c>
      <c r="F339" s="40" t="s">
        <v>10</v>
      </c>
      <c r="G339" s="41">
        <v>45406</v>
      </c>
      <c r="H339" s="42">
        <f>YEAR(Tabela3[[#This Row],[Data]])</f>
        <v>2024</v>
      </c>
      <c r="I339" s="42" t="str">
        <f>_xlfn.XLOOKUP(J339,'Centro de Custo'!J$2:J$13,'Centro de Custo'!K$2:K$13)</f>
        <v>Abril</v>
      </c>
      <c r="J339" s="43">
        <f>MONTH(Tabela3[[#This Row],[Data]])</f>
        <v>4</v>
      </c>
      <c r="K339" s="39">
        <f>SUM(E$3:Tabela3[[#This Row],[Valor]])</f>
        <v>164330.6200000001</v>
      </c>
      <c r="L339" s="40">
        <f t="shared" si="5"/>
        <v>2.22375</v>
      </c>
      <c r="M339" s="40"/>
      <c r="N339" s="40"/>
      <c r="O339" s="40"/>
      <c r="P339" s="39"/>
      <c r="Q339" s="39"/>
      <c r="R339" s="39"/>
      <c r="S339" s="39"/>
      <c r="T339" s="39"/>
      <c r="V339">
        <f>IF(Tabela3[[#This Row],[Pago]]&lt;&gt;"",IF(F340="",Tabela3[[#This Row],[Saldo]],0))</f>
        <v>0</v>
      </c>
    </row>
    <row r="340" spans="1:22" x14ac:dyDescent="0.25">
      <c r="A340" t="s">
        <v>223</v>
      </c>
      <c r="B340" s="37">
        <v>20</v>
      </c>
      <c r="C340" t="str">
        <f>_xlfn.XLOOKUP(B340,'Centro de Custo'!A$2:A$45,'Centro de Custo'!B$2:B$45)</f>
        <v>Desp. ADM</v>
      </c>
      <c r="E340" s="39">
        <v>-7</v>
      </c>
      <c r="F340" s="40" t="s">
        <v>10</v>
      </c>
      <c r="G340" s="41">
        <v>45407</v>
      </c>
      <c r="H340" s="42">
        <f>YEAR(Tabela3[[#This Row],[Data]])</f>
        <v>2024</v>
      </c>
      <c r="I340" s="42" t="str">
        <f>_xlfn.XLOOKUP(J340,'Centro de Custo'!J$2:J$13,'Centro de Custo'!K$2:K$13)</f>
        <v>Abril</v>
      </c>
      <c r="J340" s="43">
        <f>MONTH(Tabela3[[#This Row],[Data]])</f>
        <v>4</v>
      </c>
      <c r="K340" s="39">
        <f>SUM(E$3:Tabela3[[#This Row],[Valor]])</f>
        <v>164323.6200000001</v>
      </c>
      <c r="L340" s="40">
        <f t="shared" si="5"/>
        <v>2.22375</v>
      </c>
      <c r="M340" s="40"/>
      <c r="N340" s="40"/>
      <c r="O340" s="40"/>
      <c r="P340" s="39"/>
      <c r="Q340" s="39"/>
      <c r="R340" s="39"/>
      <c r="S340" s="39"/>
      <c r="T340" s="39"/>
      <c r="V340">
        <f>IF(Tabela3[[#This Row],[Pago]]&lt;&gt;"",IF(F341="",Tabela3[[#This Row],[Saldo]],0))</f>
        <v>0</v>
      </c>
    </row>
    <row r="341" spans="1:22" x14ac:dyDescent="0.25">
      <c r="A341" t="s">
        <v>224</v>
      </c>
      <c r="B341" s="37">
        <v>20</v>
      </c>
      <c r="C341" t="str">
        <f>_xlfn.XLOOKUP(B341,'Centro de Custo'!A$2:A$45,'Centro de Custo'!B$2:B$45)</f>
        <v>Desp. ADM</v>
      </c>
      <c r="E341" s="39">
        <v>-25.85</v>
      </c>
      <c r="F341" s="40" t="s">
        <v>10</v>
      </c>
      <c r="G341" s="41">
        <v>45407</v>
      </c>
      <c r="H341" s="42">
        <f>YEAR(Tabela3[[#This Row],[Data]])</f>
        <v>2024</v>
      </c>
      <c r="I341" s="42" t="str">
        <f>_xlfn.XLOOKUP(J341,'Centro de Custo'!J$2:J$13,'Centro de Custo'!K$2:K$13)</f>
        <v>Abril</v>
      </c>
      <c r="J341" s="43">
        <f>MONTH(Tabela3[[#This Row],[Data]])</f>
        <v>4</v>
      </c>
      <c r="K341" s="39">
        <f>SUM(E$3:Tabela3[[#This Row],[Valor]])</f>
        <v>164297.7700000001</v>
      </c>
      <c r="L341" s="40">
        <f t="shared" si="5"/>
        <v>2.22375</v>
      </c>
      <c r="M341" s="40"/>
      <c r="N341" s="40"/>
      <c r="O341" s="40"/>
      <c r="P341" s="39"/>
      <c r="Q341" s="39"/>
      <c r="R341" s="39"/>
      <c r="S341" s="39"/>
      <c r="T341" s="39"/>
      <c r="V341">
        <f>IF(Tabela3[[#This Row],[Pago]]&lt;&gt;"",IF(F342="",Tabela3[[#This Row],[Saldo]],0))</f>
        <v>0</v>
      </c>
    </row>
    <row r="342" spans="1:22" x14ac:dyDescent="0.25">
      <c r="A342" t="s">
        <v>198</v>
      </c>
      <c r="B342" s="37">
        <v>20</v>
      </c>
      <c r="C342" t="str">
        <f>_xlfn.XLOOKUP(B342,'Centro de Custo'!A$2:A$45,'Centro de Custo'!B$2:B$45)</f>
        <v>Desp. ADM</v>
      </c>
      <c r="E342" s="39">
        <v>-3354.48</v>
      </c>
      <c r="F342" s="40" t="s">
        <v>10</v>
      </c>
      <c r="G342" s="41">
        <v>45415</v>
      </c>
      <c r="H342" s="42">
        <f>YEAR(Tabela3[[#This Row],[Data]])</f>
        <v>2024</v>
      </c>
      <c r="I342" s="42" t="str">
        <f>_xlfn.XLOOKUP(J342,'Centro de Custo'!J$2:J$13,'Centro de Custo'!K$2:K$13)</f>
        <v>Maio</v>
      </c>
      <c r="J342" s="43">
        <f>MONTH(Tabela3[[#This Row],[Data]])</f>
        <v>5</v>
      </c>
      <c r="K342" s="39">
        <f>SUM(E$3:Tabela3[[#This Row],[Valor]])</f>
        <v>160943.2900000001</v>
      </c>
      <c r="L342" s="40">
        <f t="shared" si="5"/>
        <v>2.22375</v>
      </c>
      <c r="M342" s="40"/>
      <c r="N342" s="40"/>
      <c r="O342" s="40"/>
      <c r="P342" s="39"/>
      <c r="Q342" s="39"/>
      <c r="R342" s="39"/>
      <c r="S342" s="39"/>
      <c r="T342" s="39"/>
      <c r="V342">
        <f>IF(Tabela3[[#This Row],[Pago]]&lt;&gt;"",IF(F343="",Tabela3[[#This Row],[Saldo]],0))</f>
        <v>0</v>
      </c>
    </row>
    <row r="343" spans="1:22" x14ac:dyDescent="0.25">
      <c r="A343" t="s">
        <v>225</v>
      </c>
      <c r="B343" s="37">
        <v>13</v>
      </c>
      <c r="C343" t="str">
        <f>_xlfn.XLOOKUP(B343,'Centro de Custo'!A$2:A$45,'Centro de Custo'!B$2:B$45)</f>
        <v>Terceirizados</v>
      </c>
      <c r="E343" s="39">
        <v>-243.75</v>
      </c>
      <c r="F343" s="40" t="s">
        <v>10</v>
      </c>
      <c r="G343" s="41">
        <v>45418</v>
      </c>
      <c r="H343" s="42">
        <f>YEAR(Tabela3[[#This Row],[Data]])</f>
        <v>2024</v>
      </c>
      <c r="I343" s="42" t="str">
        <f>_xlfn.XLOOKUP(J343,'Centro de Custo'!J$2:J$13,'Centro de Custo'!K$2:K$13)</f>
        <v>Maio</v>
      </c>
      <c r="J343" s="43">
        <f>MONTH(Tabela3[[#This Row],[Data]])</f>
        <v>5</v>
      </c>
      <c r="K343" s="39">
        <f>SUM(E$3:Tabela3[[#This Row],[Valor]])</f>
        <v>160699.5400000001</v>
      </c>
      <c r="L343" s="40">
        <f t="shared" si="5"/>
        <v>2.22375</v>
      </c>
      <c r="M343" s="40"/>
      <c r="N343" s="40"/>
      <c r="O343" s="40"/>
      <c r="P343" s="39"/>
      <c r="Q343" s="39"/>
      <c r="R343" s="39"/>
      <c r="S343" s="39"/>
      <c r="T343" s="39"/>
      <c r="V343">
        <f>IF(Tabela3[[#This Row],[Pago]]&lt;&gt;"",IF(F344="",Tabela3[[#This Row],[Saldo]],0))</f>
        <v>0</v>
      </c>
    </row>
    <row r="344" spans="1:22" x14ac:dyDescent="0.25">
      <c r="A344" t="s">
        <v>226</v>
      </c>
      <c r="B344" s="37">
        <v>15</v>
      </c>
      <c r="C344" t="str">
        <f>_xlfn.XLOOKUP(B344,'Centro de Custo'!A$2:A$45,'Centro de Custo'!B$2:B$45)</f>
        <v>Viagens</v>
      </c>
      <c r="E344" s="39">
        <v>-1068</v>
      </c>
      <c r="F344" s="40" t="s">
        <v>10</v>
      </c>
      <c r="G344" s="41">
        <v>45418</v>
      </c>
      <c r="H344" s="42">
        <f>YEAR(Tabela3[[#This Row],[Data]])</f>
        <v>2024</v>
      </c>
      <c r="I344" s="42" t="str">
        <f>_xlfn.XLOOKUP(J344,'Centro de Custo'!J$2:J$13,'Centro de Custo'!K$2:K$13)</f>
        <v>Maio</v>
      </c>
      <c r="J344" s="43">
        <f>MONTH(Tabela3[[#This Row],[Data]])</f>
        <v>5</v>
      </c>
      <c r="K344" s="39">
        <f>SUM(E$3:Tabela3[[#This Row],[Valor]])</f>
        <v>159631.5400000001</v>
      </c>
      <c r="L344" s="40">
        <f t="shared" si="5"/>
        <v>2.22375</v>
      </c>
      <c r="M344" s="40"/>
      <c r="N344" s="40"/>
      <c r="O344" s="40"/>
      <c r="P344" s="39"/>
      <c r="Q344" s="39"/>
      <c r="R344" s="39"/>
      <c r="S344" s="39"/>
      <c r="T344" s="39"/>
      <c r="V344">
        <f>IF(Tabela3[[#This Row],[Pago]]&lt;&gt;"",IF(F345="",Tabela3[[#This Row],[Saldo]],0))</f>
        <v>0</v>
      </c>
    </row>
    <row r="345" spans="1:22" x14ac:dyDescent="0.25">
      <c r="A345" t="s">
        <v>134</v>
      </c>
      <c r="B345" s="37">
        <v>13</v>
      </c>
      <c r="C345" t="str">
        <f>_xlfn.XLOOKUP(B345,'Centro de Custo'!A$2:A$45,'Centro de Custo'!B$2:B$45)</f>
        <v>Terceirizados</v>
      </c>
      <c r="E345" s="39">
        <v>-5000</v>
      </c>
      <c r="F345" s="40" t="s">
        <v>10</v>
      </c>
      <c r="G345" s="41">
        <v>45418</v>
      </c>
      <c r="H345" s="42">
        <f>YEAR(Tabela3[[#This Row],[Data]])</f>
        <v>2024</v>
      </c>
      <c r="I345" s="42" t="str">
        <f>_xlfn.XLOOKUP(J345,'Centro de Custo'!J$2:J$13,'Centro de Custo'!K$2:K$13)</f>
        <v>Maio</v>
      </c>
      <c r="J345" s="43">
        <f>MONTH(Tabela3[[#This Row],[Data]])</f>
        <v>5</v>
      </c>
      <c r="K345" s="39">
        <f>SUM(E$3:Tabela3[[#This Row],[Valor]])</f>
        <v>154631.5400000001</v>
      </c>
      <c r="L345" s="40">
        <f t="shared" si="5"/>
        <v>2.22375</v>
      </c>
      <c r="M345" s="40"/>
      <c r="N345" s="40"/>
      <c r="O345" s="40"/>
      <c r="P345" s="39"/>
      <c r="Q345" s="39"/>
      <c r="R345" s="39"/>
      <c r="S345" s="39"/>
      <c r="T345" s="39"/>
      <c r="V345">
        <f>IF(Tabela3[[#This Row],[Pago]]&lt;&gt;"",IF(F346="",Tabela3[[#This Row],[Saldo]],0))</f>
        <v>0</v>
      </c>
    </row>
    <row r="346" spans="1:22" x14ac:dyDescent="0.25">
      <c r="A346" t="s">
        <v>170</v>
      </c>
      <c r="B346" s="37">
        <v>10</v>
      </c>
      <c r="C346" t="str">
        <f>_xlfn.XLOOKUP(B346,'Centro de Custo'!A$2:A$45,'Centro de Custo'!B$2:B$45)</f>
        <v>Retirada Mensal</v>
      </c>
      <c r="E346" s="39">
        <v>-10000</v>
      </c>
      <c r="F346" s="40" t="s">
        <v>10</v>
      </c>
      <c r="G346" s="41">
        <v>45418</v>
      </c>
      <c r="H346" s="42">
        <f>YEAR(Tabela3[[#This Row],[Data]])</f>
        <v>2024</v>
      </c>
      <c r="I346" s="42" t="str">
        <f>_xlfn.XLOOKUP(J346,'Centro de Custo'!J$2:J$13,'Centro de Custo'!K$2:K$13)</f>
        <v>Maio</v>
      </c>
      <c r="J346" s="43">
        <f>MONTH(Tabela3[[#This Row],[Data]])</f>
        <v>5</v>
      </c>
      <c r="K346" s="39">
        <f>SUM(E$3:Tabela3[[#This Row],[Valor]])</f>
        <v>144631.5400000001</v>
      </c>
      <c r="L346" s="40">
        <f t="shared" si="5"/>
        <v>2.22375</v>
      </c>
      <c r="M346" s="40"/>
      <c r="N346" s="40"/>
      <c r="O346" s="40"/>
      <c r="P346" s="39"/>
      <c r="Q346" s="39"/>
      <c r="R346" s="39"/>
      <c r="S346" s="39"/>
      <c r="T346" s="39"/>
      <c r="V346">
        <f>IF(Tabela3[[#This Row],[Pago]]&lt;&gt;"",IF(F347="",Tabela3[[#This Row],[Saldo]],0))</f>
        <v>0</v>
      </c>
    </row>
    <row r="347" spans="1:22" x14ac:dyDescent="0.25">
      <c r="A347" t="s">
        <v>93</v>
      </c>
      <c r="B347" s="37">
        <v>13</v>
      </c>
      <c r="C347" t="str">
        <f>_xlfn.XLOOKUP(B347,'Centro de Custo'!A$2:A$45,'Centro de Custo'!B$2:B$45)</f>
        <v>Terceirizados</v>
      </c>
      <c r="E347" s="39">
        <v>-10000</v>
      </c>
      <c r="F347" s="40" t="s">
        <v>10</v>
      </c>
      <c r="G347" s="41">
        <v>45418</v>
      </c>
      <c r="H347" s="42">
        <f>YEAR(Tabela3[[#This Row],[Data]])</f>
        <v>2024</v>
      </c>
      <c r="I347" s="42" t="str">
        <f>_xlfn.XLOOKUP(J347,'Centro de Custo'!J$2:J$13,'Centro de Custo'!K$2:K$13)</f>
        <v>Maio</v>
      </c>
      <c r="J347" s="43">
        <f>MONTH(Tabela3[[#This Row],[Data]])</f>
        <v>5</v>
      </c>
      <c r="K347" s="39">
        <f>SUM(E$3:Tabela3[[#This Row],[Valor]])</f>
        <v>134631.5400000001</v>
      </c>
      <c r="L347" s="40">
        <f t="shared" si="5"/>
        <v>2.22375</v>
      </c>
      <c r="M347" s="40"/>
      <c r="N347" s="40"/>
      <c r="O347" s="40"/>
      <c r="P347" s="39"/>
      <c r="Q347" s="39"/>
      <c r="R347" s="39"/>
      <c r="S347" s="39"/>
      <c r="T347" s="39"/>
      <c r="V347">
        <f>IF(Tabela3[[#This Row],[Pago]]&lt;&gt;"",IF(F348="",Tabela3[[#This Row],[Saldo]],0))</f>
        <v>0</v>
      </c>
    </row>
    <row r="348" spans="1:22" x14ac:dyDescent="0.25">
      <c r="A348" t="s">
        <v>125</v>
      </c>
      <c r="B348" s="37">
        <v>13</v>
      </c>
      <c r="C348" t="str">
        <f>_xlfn.XLOOKUP(B348,'Centro de Custo'!A$2:A$45,'Centro de Custo'!B$2:B$45)</f>
        <v>Terceirizados</v>
      </c>
      <c r="E348" s="39">
        <v>-10000</v>
      </c>
      <c r="F348" s="40" t="s">
        <v>10</v>
      </c>
      <c r="G348" s="41">
        <v>45418</v>
      </c>
      <c r="H348" s="42">
        <f>YEAR(Tabela3[[#This Row],[Data]])</f>
        <v>2024</v>
      </c>
      <c r="I348" s="42" t="str">
        <f>_xlfn.XLOOKUP(J348,'Centro de Custo'!J$2:J$13,'Centro de Custo'!K$2:K$13)</f>
        <v>Maio</v>
      </c>
      <c r="J348" s="43">
        <f>MONTH(Tabela3[[#This Row],[Data]])</f>
        <v>5</v>
      </c>
      <c r="K348" s="39">
        <f>SUM(E$3:Tabela3[[#This Row],[Valor]])</f>
        <v>124631.5400000001</v>
      </c>
      <c r="L348" s="40">
        <f t="shared" si="5"/>
        <v>2.22375</v>
      </c>
      <c r="M348" s="40"/>
      <c r="N348" s="40"/>
      <c r="O348" s="40"/>
      <c r="P348" s="39"/>
      <c r="Q348" s="39"/>
      <c r="R348" s="39"/>
      <c r="S348" s="39"/>
      <c r="T348" s="39"/>
      <c r="V348">
        <f>IF(Tabela3[[#This Row],[Pago]]&lt;&gt;"",IF(F349="",Tabela3[[#This Row],[Saldo]],0))</f>
        <v>0</v>
      </c>
    </row>
    <row r="349" spans="1:22" x14ac:dyDescent="0.25">
      <c r="A349" t="s">
        <v>227</v>
      </c>
      <c r="B349" s="37">
        <v>10</v>
      </c>
      <c r="C349" t="str">
        <f>_xlfn.XLOOKUP(B349,'Centro de Custo'!A$2:A$45,'Centro de Custo'!B$2:B$45)</f>
        <v>Retirada Mensal</v>
      </c>
      <c r="E349" s="39">
        <v>-13000</v>
      </c>
      <c r="F349" s="40" t="s">
        <v>10</v>
      </c>
      <c r="G349" s="41">
        <v>45418</v>
      </c>
      <c r="H349" s="42">
        <f>YEAR(Tabela3[[#This Row],[Data]])</f>
        <v>2024</v>
      </c>
      <c r="I349" s="42" t="str">
        <f>_xlfn.XLOOKUP(J349,'Centro de Custo'!J$2:J$13,'Centro de Custo'!K$2:K$13)</f>
        <v>Maio</v>
      </c>
      <c r="J349" s="43">
        <f>MONTH(Tabela3[[#This Row],[Data]])</f>
        <v>5</v>
      </c>
      <c r="K349" s="39">
        <f>SUM(E$3:Tabela3[[#This Row],[Valor]])</f>
        <v>111631.5400000001</v>
      </c>
      <c r="L349" s="40">
        <f t="shared" si="5"/>
        <v>2.22375</v>
      </c>
      <c r="M349" s="40"/>
      <c r="N349" s="40"/>
      <c r="O349" s="40"/>
      <c r="P349" s="39"/>
      <c r="Q349" s="39"/>
      <c r="R349" s="39"/>
      <c r="S349" s="39"/>
      <c r="T349" s="39"/>
      <c r="V349">
        <f>IF(Tabela3[[#This Row],[Pago]]&lt;&gt;"",IF(F350="",Tabela3[[#This Row],[Saldo]],0))</f>
        <v>0</v>
      </c>
    </row>
    <row r="350" spans="1:22" x14ac:dyDescent="0.25">
      <c r="A350" t="s">
        <v>91</v>
      </c>
      <c r="B350" s="37">
        <v>10</v>
      </c>
      <c r="C350" t="str">
        <f>_xlfn.XLOOKUP(B350,'Centro de Custo'!A$2:A$45,'Centro de Custo'!B$2:B$45)</f>
        <v>Retirada Mensal</v>
      </c>
      <c r="E350" s="39">
        <v>-13000</v>
      </c>
      <c r="F350" s="40" t="s">
        <v>10</v>
      </c>
      <c r="G350" s="41">
        <v>45418</v>
      </c>
      <c r="H350" s="42">
        <f>YEAR(Tabela3[[#This Row],[Data]])</f>
        <v>2024</v>
      </c>
      <c r="I350" s="42" t="str">
        <f>_xlfn.XLOOKUP(J350,'Centro de Custo'!J$2:J$13,'Centro de Custo'!K$2:K$13)</f>
        <v>Maio</v>
      </c>
      <c r="J350" s="43">
        <f>MONTH(Tabela3[[#This Row],[Data]])</f>
        <v>5</v>
      </c>
      <c r="K350" s="39">
        <f>SUM(E$3:Tabela3[[#This Row],[Valor]])</f>
        <v>98631.5400000001</v>
      </c>
      <c r="L350" s="40">
        <f t="shared" si="5"/>
        <v>2.22375</v>
      </c>
      <c r="M350" s="40"/>
      <c r="N350" s="40"/>
      <c r="O350" s="40"/>
      <c r="P350" s="39"/>
      <c r="Q350" s="39"/>
      <c r="R350" s="39"/>
      <c r="S350" s="39"/>
      <c r="T350" s="39"/>
      <c r="V350">
        <f>IF(Tabela3[[#This Row],[Pago]]&lt;&gt;"",IF(F351="",Tabela3[[#This Row],[Saldo]],0))</f>
        <v>0</v>
      </c>
    </row>
    <row r="351" spans="1:22" x14ac:dyDescent="0.25">
      <c r="A351" t="s">
        <v>228</v>
      </c>
      <c r="B351" s="37">
        <v>10</v>
      </c>
      <c r="C351" t="str">
        <f>_xlfn.XLOOKUP(B351,'Centro de Custo'!A$2:A$45,'Centro de Custo'!B$2:B$45)</f>
        <v>Retirada Mensal</v>
      </c>
      <c r="E351" s="39">
        <v>-15000</v>
      </c>
      <c r="F351" s="40" t="s">
        <v>10</v>
      </c>
      <c r="G351" s="41">
        <v>45418</v>
      </c>
      <c r="H351" s="42">
        <f>YEAR(Tabela3[[#This Row],[Data]])</f>
        <v>2024</v>
      </c>
      <c r="I351" s="42" t="str">
        <f>_xlfn.XLOOKUP(J351,'Centro de Custo'!J$2:J$13,'Centro de Custo'!K$2:K$13)</f>
        <v>Maio</v>
      </c>
      <c r="J351" s="43">
        <f>MONTH(Tabela3[[#This Row],[Data]])</f>
        <v>5</v>
      </c>
      <c r="K351" s="39">
        <f>SUM(E$3:Tabela3[[#This Row],[Valor]])</f>
        <v>83631.5400000001</v>
      </c>
      <c r="L351" s="40">
        <f t="shared" si="5"/>
        <v>2.22375</v>
      </c>
      <c r="M351" s="40"/>
      <c r="N351" s="40"/>
      <c r="O351" s="40"/>
      <c r="P351" s="39"/>
      <c r="Q351" s="39"/>
      <c r="R351" s="39"/>
      <c r="S351" s="39"/>
      <c r="T351" s="39"/>
      <c r="V351">
        <f>IF(Tabela3[[#This Row],[Pago]]&lt;&gt;"",IF(F352="",Tabela3[[#This Row],[Saldo]],0))</f>
        <v>0</v>
      </c>
    </row>
    <row r="352" spans="1:22" x14ac:dyDescent="0.25">
      <c r="A352" t="s">
        <v>229</v>
      </c>
      <c r="B352" s="37">
        <v>13</v>
      </c>
      <c r="C352" t="str">
        <f>_xlfn.XLOOKUP(B352,'Centro de Custo'!A$2:A$45,'Centro de Custo'!B$2:B$45)</f>
        <v>Terceirizados</v>
      </c>
      <c r="E352" s="39">
        <v>-15000</v>
      </c>
      <c r="F352" s="40" t="s">
        <v>10</v>
      </c>
      <c r="G352" s="41">
        <v>45418</v>
      </c>
      <c r="H352" s="42">
        <f>YEAR(Tabela3[[#This Row],[Data]])</f>
        <v>2024</v>
      </c>
      <c r="I352" s="42" t="str">
        <f>_xlfn.XLOOKUP(J352,'Centro de Custo'!J$2:J$13,'Centro de Custo'!K$2:K$13)</f>
        <v>Maio</v>
      </c>
      <c r="J352" s="43">
        <f>MONTH(Tabela3[[#This Row],[Data]])</f>
        <v>5</v>
      </c>
      <c r="K352" s="39">
        <f>SUM(E$3:Tabela3[[#This Row],[Valor]])</f>
        <v>68631.5400000001</v>
      </c>
      <c r="L352" s="40">
        <f t="shared" si="5"/>
        <v>2.22375</v>
      </c>
      <c r="M352" s="40"/>
      <c r="N352" s="40"/>
      <c r="O352" s="40"/>
      <c r="P352" s="39"/>
      <c r="Q352" s="39"/>
      <c r="R352" s="39"/>
      <c r="S352" s="39"/>
      <c r="T352" s="39"/>
      <c r="V352">
        <f>IF(Tabela3[[#This Row],[Pago]]&lt;&gt;"",IF(F353="",Tabela3[[#This Row],[Saldo]],0))</f>
        <v>0</v>
      </c>
    </row>
    <row r="353" spans="1:22" x14ac:dyDescent="0.25">
      <c r="A353" t="s">
        <v>230</v>
      </c>
      <c r="B353" s="37">
        <v>13</v>
      </c>
      <c r="C353" t="str">
        <f>_xlfn.XLOOKUP(B353,'Centro de Custo'!A$2:A$45,'Centro de Custo'!B$2:B$45)</f>
        <v>Terceirizados</v>
      </c>
      <c r="E353" s="39">
        <v>-15000</v>
      </c>
      <c r="F353" s="40" t="s">
        <v>10</v>
      </c>
      <c r="G353" s="41">
        <v>45418</v>
      </c>
      <c r="H353" s="42">
        <f>YEAR(Tabela3[[#This Row],[Data]])</f>
        <v>2024</v>
      </c>
      <c r="I353" s="42" t="str">
        <f>_xlfn.XLOOKUP(J353,'Centro de Custo'!J$2:J$13,'Centro de Custo'!K$2:K$13)</f>
        <v>Maio</v>
      </c>
      <c r="J353" s="43">
        <f>MONTH(Tabela3[[#This Row],[Data]])</f>
        <v>5</v>
      </c>
      <c r="K353" s="39">
        <f>SUM(E$3:Tabela3[[#This Row],[Valor]])</f>
        <v>53631.540000000095</v>
      </c>
      <c r="L353" s="40">
        <f t="shared" si="5"/>
        <v>2.22375</v>
      </c>
      <c r="M353" s="40"/>
      <c r="N353" s="40"/>
      <c r="O353" s="40"/>
      <c r="P353" s="39"/>
      <c r="Q353" s="39"/>
      <c r="R353" s="39"/>
      <c r="S353" s="39"/>
      <c r="T353" s="39"/>
      <c r="V353">
        <f>IF(Tabela3[[#This Row],[Pago]]&lt;&gt;"",IF(F354="",Tabela3[[#This Row],[Saldo]],0))</f>
        <v>0</v>
      </c>
    </row>
    <row r="354" spans="1:22" x14ac:dyDescent="0.25">
      <c r="A354" t="s">
        <v>104</v>
      </c>
      <c r="B354" s="37">
        <v>10</v>
      </c>
      <c r="C354" t="str">
        <f>_xlfn.XLOOKUP(B354,'Centro de Custo'!A$2:A$45,'Centro de Custo'!B$2:B$45)</f>
        <v>Retirada Mensal</v>
      </c>
      <c r="E354" s="39">
        <v>-20000</v>
      </c>
      <c r="F354" s="40" t="s">
        <v>10</v>
      </c>
      <c r="G354" s="41">
        <v>45418</v>
      </c>
      <c r="H354" s="42">
        <f>YEAR(Tabela3[[#This Row],[Data]])</f>
        <v>2024</v>
      </c>
      <c r="I354" s="42" t="str">
        <f>_xlfn.XLOOKUP(J354,'Centro de Custo'!J$2:J$13,'Centro de Custo'!K$2:K$13)</f>
        <v>Maio</v>
      </c>
      <c r="J354" s="43">
        <f>MONTH(Tabela3[[#This Row],[Data]])</f>
        <v>5</v>
      </c>
      <c r="K354" s="39">
        <f>SUM(E$3:Tabela3[[#This Row],[Valor]])</f>
        <v>33631.540000000095</v>
      </c>
      <c r="L354" s="40">
        <f t="shared" si="5"/>
        <v>2.22375</v>
      </c>
      <c r="M354" s="40"/>
      <c r="N354" s="40"/>
      <c r="O354" s="40"/>
      <c r="P354" s="39"/>
      <c r="Q354" s="39"/>
      <c r="R354" s="39"/>
      <c r="S354" s="39"/>
      <c r="T354" s="39"/>
      <c r="V354">
        <f>IF(Tabela3[[#This Row],[Pago]]&lt;&gt;"",IF(F355="",Tabela3[[#This Row],[Saldo]],0))</f>
        <v>0</v>
      </c>
    </row>
    <row r="355" spans="1:22" x14ac:dyDescent="0.25">
      <c r="A355" t="s">
        <v>210</v>
      </c>
      <c r="B355" s="37">
        <v>20</v>
      </c>
      <c r="C355" t="str">
        <f>_xlfn.XLOOKUP(B355,'Centro de Custo'!A$2:A$45,'Centro de Custo'!B$2:B$45)</f>
        <v>Desp. ADM</v>
      </c>
      <c r="E355" s="39">
        <v>-139.9</v>
      </c>
      <c r="F355" s="40" t="s">
        <v>10</v>
      </c>
      <c r="G355" s="41">
        <v>45419</v>
      </c>
      <c r="H355" s="42">
        <f>YEAR(Tabela3[[#This Row],[Data]])</f>
        <v>2024</v>
      </c>
      <c r="I355" s="42" t="str">
        <f>_xlfn.XLOOKUP(J355,'Centro de Custo'!J$2:J$13,'Centro de Custo'!K$2:K$13)</f>
        <v>Maio</v>
      </c>
      <c r="J355" s="43">
        <f>MONTH(Tabela3[[#This Row],[Data]])</f>
        <v>5</v>
      </c>
      <c r="K355" s="39">
        <f>SUM(E$3:Tabela3[[#This Row],[Valor]])</f>
        <v>33491.640000000094</v>
      </c>
      <c r="L355" s="40">
        <f t="shared" si="5"/>
        <v>2.22375</v>
      </c>
      <c r="M355" s="40"/>
      <c r="N355" s="40"/>
      <c r="O355" s="40"/>
      <c r="P355" s="39"/>
      <c r="Q355" s="39"/>
      <c r="R355" s="39"/>
      <c r="S355" s="39"/>
      <c r="T355" s="39"/>
      <c r="V355">
        <f>IF(Tabela3[[#This Row],[Pago]]&lt;&gt;"",IF(F356="",Tabela3[[#This Row],[Saldo]],0))</f>
        <v>0</v>
      </c>
    </row>
    <row r="356" spans="1:22" x14ac:dyDescent="0.25">
      <c r="A356" t="s">
        <v>51</v>
      </c>
      <c r="B356" s="37">
        <v>41</v>
      </c>
      <c r="C356" t="str">
        <f>_xlfn.XLOOKUP(B356,'Centro de Custo'!A$2:A$45,'Centro de Custo'!B$2:B$45)</f>
        <v>Resgate Financeiro</v>
      </c>
      <c r="E356" s="39">
        <v>150031.77</v>
      </c>
      <c r="F356" s="40" t="s">
        <v>10</v>
      </c>
      <c r="G356" s="41">
        <v>45421</v>
      </c>
      <c r="H356" s="42">
        <f>YEAR(Tabela3[[#This Row],[Data]])</f>
        <v>2024</v>
      </c>
      <c r="I356" s="42" t="str">
        <f>_xlfn.XLOOKUP(J356,'Centro de Custo'!J$2:J$13,'Centro de Custo'!K$2:K$13)</f>
        <v>Maio</v>
      </c>
      <c r="J356" s="43">
        <f>MONTH(Tabela3[[#This Row],[Data]])</f>
        <v>5</v>
      </c>
      <c r="K356" s="39">
        <f>SUM(E$3:Tabela3[[#This Row],[Valor]])</f>
        <v>183523.4100000001</v>
      </c>
      <c r="L356" s="40">
        <f t="shared" si="5"/>
        <v>2.22375</v>
      </c>
      <c r="M356" s="40"/>
      <c r="N356" s="40"/>
      <c r="O356" s="40"/>
      <c r="P356" s="39"/>
      <c r="Q356" s="39"/>
      <c r="R356" s="39"/>
      <c r="S356" s="39"/>
      <c r="T356" s="39"/>
      <c r="V356">
        <f>IF(Tabela3[[#This Row],[Pago]]&lt;&gt;"",IF(F357="",Tabela3[[#This Row],[Saldo]],0))</f>
        <v>0</v>
      </c>
    </row>
    <row r="357" spans="1:22" x14ac:dyDescent="0.25">
      <c r="A357" t="s">
        <v>113</v>
      </c>
      <c r="B357" s="37">
        <v>3</v>
      </c>
      <c r="C357" t="str">
        <f>_xlfn.XLOOKUP(B357,'Centro de Custo'!A$2:A$45,'Centro de Custo'!B$2:B$45)</f>
        <v>Investimentos</v>
      </c>
      <c r="E357" s="39">
        <v>-5482</v>
      </c>
      <c r="F357" s="40" t="s">
        <v>10</v>
      </c>
      <c r="G357" s="41">
        <v>45421</v>
      </c>
      <c r="H357" s="42">
        <f>YEAR(Tabela3[[#This Row],[Data]])</f>
        <v>2024</v>
      </c>
      <c r="I357" s="42" t="str">
        <f>_xlfn.XLOOKUP(J357,'Centro de Custo'!J$2:J$13,'Centro de Custo'!K$2:K$13)</f>
        <v>Maio</v>
      </c>
      <c r="J357" s="43">
        <f>MONTH(Tabela3[[#This Row],[Data]])</f>
        <v>5</v>
      </c>
      <c r="K357" s="39">
        <f>SUM(E$3:Tabela3[[#This Row],[Valor]])</f>
        <v>178041.4100000001</v>
      </c>
      <c r="L357" s="40">
        <f t="shared" si="5"/>
        <v>2.22375</v>
      </c>
      <c r="M357" s="40"/>
      <c r="N357" s="40"/>
      <c r="O357" s="40"/>
      <c r="P357" s="39"/>
      <c r="Q357" s="39"/>
      <c r="R357" s="39"/>
      <c r="S357" s="39"/>
      <c r="T357" s="39"/>
      <c r="V357">
        <f>IF(Tabela3[[#This Row],[Pago]]&lt;&gt;"",IF(F358="",Tabela3[[#This Row],[Saldo]],0))</f>
        <v>0</v>
      </c>
    </row>
    <row r="358" spans="1:22" x14ac:dyDescent="0.25">
      <c r="A358" t="s">
        <v>51</v>
      </c>
      <c r="B358" s="37">
        <v>40</v>
      </c>
      <c r="C358" t="str">
        <f>_xlfn.XLOOKUP(B358,'Centro de Custo'!A$2:A$45,'Centro de Custo'!B$2:B$45)</f>
        <v>Aplicação Financeira</v>
      </c>
      <c r="E358" s="39">
        <v>-150000</v>
      </c>
      <c r="F358" s="40" t="s">
        <v>10</v>
      </c>
      <c r="G358" s="41">
        <v>45421</v>
      </c>
      <c r="H358" s="42">
        <f>YEAR(Tabela3[[#This Row],[Data]])</f>
        <v>2024</v>
      </c>
      <c r="I358" s="42" t="str">
        <f>_xlfn.XLOOKUP(J358,'Centro de Custo'!J$2:J$13,'Centro de Custo'!K$2:K$13)</f>
        <v>Maio</v>
      </c>
      <c r="J358" s="43">
        <f>MONTH(Tabela3[[#This Row],[Data]])</f>
        <v>5</v>
      </c>
      <c r="K358" s="39">
        <f>SUM(E$3:Tabela3[[#This Row],[Valor]])</f>
        <v>28041.41000000009</v>
      </c>
      <c r="L358" s="40">
        <f t="shared" si="5"/>
        <v>2.22375</v>
      </c>
      <c r="M358" s="40"/>
      <c r="N358" s="40"/>
      <c r="O358" s="40"/>
      <c r="P358" s="39"/>
      <c r="Q358" s="39"/>
      <c r="R358" s="39"/>
      <c r="S358" s="39"/>
      <c r="T358" s="39"/>
      <c r="V358">
        <f>IF(Tabela3[[#This Row],[Pago]]&lt;&gt;"",IF(F359="",Tabela3[[#This Row],[Saldo]],0))</f>
        <v>0</v>
      </c>
    </row>
    <row r="359" spans="1:22" x14ac:dyDescent="0.25">
      <c r="A359" t="s">
        <v>190</v>
      </c>
      <c r="B359" s="37">
        <v>13</v>
      </c>
      <c r="C359" t="str">
        <f>_xlfn.XLOOKUP(B359,'Centro de Custo'!A$2:A$45,'Centro de Custo'!B$2:B$45)</f>
        <v>Terceirizados</v>
      </c>
      <c r="E359" s="39">
        <v>-4886.44</v>
      </c>
      <c r="F359" s="40" t="s">
        <v>10</v>
      </c>
      <c r="G359" s="41">
        <v>45422</v>
      </c>
      <c r="H359" s="42">
        <f>YEAR(Tabela3[[#This Row],[Data]])</f>
        <v>2024</v>
      </c>
      <c r="I359" s="42" t="str">
        <f>_xlfn.XLOOKUP(J359,'Centro de Custo'!J$2:J$13,'Centro de Custo'!K$2:K$13)</f>
        <v>Maio</v>
      </c>
      <c r="J359" s="43">
        <f>MONTH(Tabela3[[#This Row],[Data]])</f>
        <v>5</v>
      </c>
      <c r="K359" s="39">
        <f>SUM(E$3:Tabela3[[#This Row],[Valor]])</f>
        <v>23154.970000000092</v>
      </c>
      <c r="L359" s="40">
        <f t="shared" si="5"/>
        <v>2.22375</v>
      </c>
      <c r="M359" s="40"/>
      <c r="N359" s="40"/>
      <c r="O359" s="40"/>
      <c r="P359" s="39"/>
      <c r="Q359" s="39"/>
      <c r="R359" s="39"/>
      <c r="S359" s="39"/>
      <c r="T359" s="39"/>
      <c r="V359">
        <f>IF(Tabela3[[#This Row],[Pago]]&lt;&gt;"",IF(F360="",Tabela3[[#This Row],[Saldo]],0))</f>
        <v>0</v>
      </c>
    </row>
    <row r="360" spans="1:22" x14ac:dyDescent="0.25">
      <c r="A360" t="s">
        <v>231</v>
      </c>
      <c r="B360" s="37">
        <v>10</v>
      </c>
      <c r="C360" t="str">
        <f>_xlfn.XLOOKUP(B360,'Centro de Custo'!A$2:A$45,'Centro de Custo'!B$2:B$45)</f>
        <v>Retirada Mensal</v>
      </c>
      <c r="E360" s="39">
        <v>-1484.14</v>
      </c>
      <c r="F360" s="40" t="s">
        <v>10</v>
      </c>
      <c r="G360" s="41">
        <v>45427</v>
      </c>
      <c r="H360" s="42">
        <f>YEAR(Tabela3[[#This Row],[Data]])</f>
        <v>2024</v>
      </c>
      <c r="I360" s="42" t="str">
        <f>_xlfn.XLOOKUP(J360,'Centro de Custo'!J$2:J$13,'Centro de Custo'!K$2:K$13)</f>
        <v>Maio</v>
      </c>
      <c r="J360" s="43">
        <f>MONTH(Tabela3[[#This Row],[Data]])</f>
        <v>5</v>
      </c>
      <c r="K360" s="39">
        <f>SUM(E$3:Tabela3[[#This Row],[Valor]])</f>
        <v>21670.830000000093</v>
      </c>
      <c r="L360" s="40">
        <f t="shared" si="5"/>
        <v>2.22375</v>
      </c>
      <c r="M360" s="40"/>
      <c r="N360" s="40"/>
      <c r="O360" s="40"/>
      <c r="P360" s="39"/>
      <c r="Q360" s="39"/>
      <c r="R360" s="39"/>
      <c r="S360" s="39"/>
      <c r="T360" s="39"/>
      <c r="V360">
        <f>IF(Tabela3[[#This Row],[Pago]]&lt;&gt;"",IF(F361="",Tabela3[[#This Row],[Saldo]],0))</f>
        <v>0</v>
      </c>
    </row>
    <row r="361" spans="1:22" x14ac:dyDescent="0.25">
      <c r="A361" t="s">
        <v>171</v>
      </c>
      <c r="B361" s="37">
        <v>20</v>
      </c>
      <c r="C361" t="str">
        <f>_xlfn.XLOOKUP(B361,'Centro de Custo'!A$2:A$45,'Centro de Custo'!B$2:B$45)</f>
        <v>Desp. ADM</v>
      </c>
      <c r="E361" s="39">
        <v>-107.51</v>
      </c>
      <c r="F361" s="40" t="s">
        <v>10</v>
      </c>
      <c r="G361" s="41">
        <v>45432</v>
      </c>
      <c r="H361" s="42">
        <f>YEAR(Tabela3[[#This Row],[Data]])</f>
        <v>2024</v>
      </c>
      <c r="I361" s="42" t="str">
        <f>_xlfn.XLOOKUP(J361,'Centro de Custo'!J$2:J$13,'Centro de Custo'!K$2:K$13)</f>
        <v>Maio</v>
      </c>
      <c r="J361" s="43">
        <f>MONTH(Tabela3[[#This Row],[Data]])</f>
        <v>5</v>
      </c>
      <c r="K361" s="39">
        <f>SUM(E$3:Tabela3[[#This Row],[Valor]])</f>
        <v>21563.320000000094</v>
      </c>
      <c r="L361" s="40">
        <f t="shared" si="5"/>
        <v>2.22375</v>
      </c>
      <c r="M361" s="40"/>
      <c r="N361" s="40"/>
      <c r="O361" s="40"/>
      <c r="P361" s="39"/>
      <c r="Q361" s="39"/>
      <c r="R361" s="39"/>
      <c r="S361" s="39"/>
      <c r="T361" s="39"/>
      <c r="V361">
        <f>IF(Tabela3[[#This Row],[Pago]]&lt;&gt;"",IF(F362="",Tabela3[[#This Row],[Saldo]],0))</f>
        <v>0</v>
      </c>
    </row>
    <row r="362" spans="1:22" x14ac:dyDescent="0.25">
      <c r="A362" t="s">
        <v>205</v>
      </c>
      <c r="B362" s="37">
        <v>20</v>
      </c>
      <c r="C362" t="str">
        <f>_xlfn.XLOOKUP(B362,'Centro de Custo'!A$2:A$45,'Centro de Custo'!B$2:B$45)</f>
        <v>Desp. ADM</v>
      </c>
      <c r="E362" s="39">
        <v>-865.76</v>
      </c>
      <c r="F362" s="40" t="s">
        <v>10</v>
      </c>
      <c r="G362" s="41">
        <v>45432</v>
      </c>
      <c r="H362" s="42">
        <f>YEAR(Tabela3[[#This Row],[Data]])</f>
        <v>2024</v>
      </c>
      <c r="I362" s="42" t="str">
        <f>_xlfn.XLOOKUP(J362,'Centro de Custo'!J$2:J$13,'Centro de Custo'!K$2:K$13)</f>
        <v>Maio</v>
      </c>
      <c r="J362" s="43">
        <f>MONTH(Tabela3[[#This Row],[Data]])</f>
        <v>5</v>
      </c>
      <c r="K362" s="39">
        <f>SUM(E$3:Tabela3[[#This Row],[Valor]])</f>
        <v>20697.560000000096</v>
      </c>
      <c r="L362" s="40">
        <f t="shared" si="5"/>
        <v>2.22375</v>
      </c>
      <c r="M362" s="40"/>
      <c r="N362" s="40"/>
      <c r="O362" s="40"/>
      <c r="P362" s="39"/>
      <c r="Q362" s="39"/>
      <c r="R362" s="39"/>
      <c r="S362" s="39"/>
      <c r="T362" s="39"/>
      <c r="V362">
        <f>IF(Tabela3[[#This Row],[Pago]]&lt;&gt;"",IF(F363="",Tabela3[[#This Row],[Saldo]],0))</f>
        <v>0</v>
      </c>
    </row>
    <row r="363" spans="1:22" x14ac:dyDescent="0.25">
      <c r="A363" t="s">
        <v>70</v>
      </c>
      <c r="B363" s="37">
        <v>20</v>
      </c>
      <c r="C363" t="str">
        <f>_xlfn.XLOOKUP(B363,'Centro de Custo'!A$2:A$45,'Centro de Custo'!B$2:B$45)</f>
        <v>Desp. ADM</v>
      </c>
      <c r="E363" s="39">
        <v>-25.85</v>
      </c>
      <c r="F363" s="40" t="s">
        <v>10</v>
      </c>
      <c r="G363" s="41">
        <v>45439</v>
      </c>
      <c r="H363" s="42">
        <f>YEAR(Tabela3[[#This Row],[Data]])</f>
        <v>2024</v>
      </c>
      <c r="I363" s="42" t="str">
        <f>_xlfn.XLOOKUP(J363,'Centro de Custo'!J$2:J$13,'Centro de Custo'!K$2:K$13)</f>
        <v>Maio</v>
      </c>
      <c r="J363" s="43">
        <f>MONTH(Tabela3[[#This Row],[Data]])</f>
        <v>5</v>
      </c>
      <c r="K363" s="39">
        <f>SUM(E$3:Tabela3[[#This Row],[Valor]])</f>
        <v>20671.710000000097</v>
      </c>
      <c r="L363" s="40">
        <f t="shared" si="5"/>
        <v>2.22375</v>
      </c>
      <c r="M363" s="40"/>
      <c r="N363" s="40"/>
      <c r="O363" s="40"/>
      <c r="P363" s="39"/>
      <c r="Q363" s="39"/>
      <c r="R363" s="39"/>
      <c r="S363" s="39"/>
      <c r="T363" s="39"/>
      <c r="V363">
        <f>IF(Tabela3[[#This Row],[Pago]]&lt;&gt;"",IF(F364="",Tabela3[[#This Row],[Saldo]],0))</f>
        <v>0</v>
      </c>
    </row>
    <row r="364" spans="1:22" x14ac:dyDescent="0.25">
      <c r="A364" t="s">
        <v>232</v>
      </c>
      <c r="B364" s="37">
        <v>13</v>
      </c>
      <c r="C364" t="str">
        <f>_xlfn.XLOOKUP(B364,'Centro de Custo'!A$2:A$45,'Centro de Custo'!B$2:B$45)</f>
        <v>Terceirizados</v>
      </c>
      <c r="E364" s="39">
        <v>-120</v>
      </c>
      <c r="F364" s="40" t="s">
        <v>10</v>
      </c>
      <c r="G364" s="41">
        <v>45440</v>
      </c>
      <c r="H364" s="42">
        <f>YEAR(Tabela3[[#This Row],[Data]])</f>
        <v>2024</v>
      </c>
      <c r="I364" s="42" t="str">
        <f>_xlfn.XLOOKUP(J364,'Centro de Custo'!J$2:J$13,'Centro de Custo'!K$2:K$13)</f>
        <v>Maio</v>
      </c>
      <c r="J364" s="43">
        <f>MONTH(Tabela3[[#This Row],[Data]])</f>
        <v>5</v>
      </c>
      <c r="K364" s="39">
        <f>SUM(E$3:Tabela3[[#This Row],[Valor]])</f>
        <v>20551.710000000097</v>
      </c>
      <c r="L364" s="40">
        <f t="shared" si="5"/>
        <v>2.22375</v>
      </c>
      <c r="M364" s="40"/>
      <c r="N364" s="40"/>
      <c r="O364" s="40"/>
      <c r="P364" s="39"/>
      <c r="Q364" s="39"/>
      <c r="R364" s="39"/>
      <c r="S364" s="39"/>
      <c r="T364" s="39"/>
      <c r="V364">
        <f>IF(Tabela3[[#This Row],[Pago]]&lt;&gt;"",IF(F365="",Tabela3[[#This Row],[Saldo]],0))</f>
        <v>0</v>
      </c>
    </row>
    <row r="365" spans="1:22" x14ac:dyDescent="0.25">
      <c r="A365" t="s">
        <v>233</v>
      </c>
      <c r="B365" s="37">
        <v>10</v>
      </c>
      <c r="C365" t="str">
        <f>_xlfn.XLOOKUP(B365,'Centro de Custo'!A$2:A$45,'Centro de Custo'!B$2:B$45)</f>
        <v>Retirada Mensal</v>
      </c>
      <c r="E365" s="39">
        <v>-15150</v>
      </c>
      <c r="F365" s="40" t="s">
        <v>10</v>
      </c>
      <c r="G365" s="41">
        <v>45440</v>
      </c>
      <c r="H365" s="42">
        <f>YEAR(Tabela3[[#This Row],[Data]])</f>
        <v>2024</v>
      </c>
      <c r="I365" s="42" t="str">
        <f>_xlfn.XLOOKUP(J365,'Centro de Custo'!J$2:J$13,'Centro de Custo'!K$2:K$13)</f>
        <v>Maio</v>
      </c>
      <c r="J365" s="43">
        <f>MONTH(Tabela3[[#This Row],[Data]])</f>
        <v>5</v>
      </c>
      <c r="K365" s="39">
        <f>SUM(E$3:Tabela3[[#This Row],[Valor]])</f>
        <v>5401.710000000097</v>
      </c>
      <c r="L365" s="40">
        <f t="shared" si="5"/>
        <v>2.22375</v>
      </c>
      <c r="M365" s="40"/>
      <c r="N365" s="40"/>
      <c r="O365" s="40"/>
      <c r="P365" s="39"/>
      <c r="Q365" s="39"/>
      <c r="R365" s="39"/>
      <c r="S365" s="39"/>
      <c r="T365" s="39"/>
      <c r="V365">
        <f>IF(Tabela3[[#This Row],[Pago]]&lt;&gt;"",IF(F366="",Tabela3[[#This Row],[Saldo]],0))</f>
        <v>0</v>
      </c>
    </row>
    <row r="366" spans="1:22" x14ac:dyDescent="0.25">
      <c r="A366" t="s">
        <v>198</v>
      </c>
      <c r="B366" s="37">
        <v>20</v>
      </c>
      <c r="C366" t="str">
        <f>_xlfn.XLOOKUP(B366,'Centro de Custo'!A$2:A$45,'Centro de Custo'!B$2:B$45)</f>
        <v>Desp. ADM</v>
      </c>
      <c r="E366" s="39">
        <v>-688.77</v>
      </c>
      <c r="F366" s="40" t="s">
        <v>10</v>
      </c>
      <c r="G366" s="41">
        <v>45446</v>
      </c>
      <c r="H366" s="42">
        <f>YEAR(Tabela3[[#This Row],[Data]])</f>
        <v>2024</v>
      </c>
      <c r="I366" s="42" t="str">
        <f>_xlfn.XLOOKUP(J366,'Centro de Custo'!J$2:J$13,'Centro de Custo'!K$2:K$13)</f>
        <v>Junho</v>
      </c>
      <c r="J366" s="43">
        <f>MONTH(Tabela3[[#This Row],[Data]])</f>
        <v>6</v>
      </c>
      <c r="K366" s="39">
        <f>SUM(E$3:Tabela3[[#This Row],[Valor]])</f>
        <v>4712.940000000097</v>
      </c>
      <c r="L366" s="40">
        <f t="shared" si="5"/>
        <v>2.22375</v>
      </c>
      <c r="M366" s="40"/>
      <c r="N366" s="40"/>
      <c r="O366" s="40"/>
      <c r="P366" s="39"/>
      <c r="Q366" s="39"/>
      <c r="R366" s="39"/>
      <c r="S366" s="39"/>
      <c r="T366" s="39"/>
      <c r="V366">
        <f>IF(Tabela3[[#This Row],[Pago]]&lt;&gt;"",IF(F367="",Tabela3[[#This Row],[Saldo]],0))</f>
        <v>0</v>
      </c>
    </row>
    <row r="367" spans="1:22" x14ac:dyDescent="0.25">
      <c r="A367" t="s">
        <v>210</v>
      </c>
      <c r="B367" s="37">
        <v>20</v>
      </c>
      <c r="C367" t="str">
        <f>_xlfn.XLOOKUP(B367,'Centro de Custo'!A$2:A$45,'Centro de Custo'!B$2:B$45)</f>
        <v>Desp. ADM</v>
      </c>
      <c r="E367" s="39">
        <v>-139.9</v>
      </c>
      <c r="F367" s="40" t="s">
        <v>10</v>
      </c>
      <c r="G367" s="41">
        <v>45448</v>
      </c>
      <c r="H367" s="42">
        <f>YEAR(Tabela3[[#This Row],[Data]])</f>
        <v>2024</v>
      </c>
      <c r="I367" s="42" t="str">
        <f>_xlfn.XLOOKUP(J367,'Centro de Custo'!J$2:J$13,'Centro de Custo'!K$2:K$13)</f>
        <v>Junho</v>
      </c>
      <c r="J367" s="43">
        <f>MONTH(Tabela3[[#This Row],[Data]])</f>
        <v>6</v>
      </c>
      <c r="K367" s="39">
        <f>SUM(E$3:Tabela3[[#This Row],[Valor]])</f>
        <v>4573.040000000097</v>
      </c>
      <c r="L367" s="40">
        <f t="shared" si="5"/>
        <v>2.22375</v>
      </c>
      <c r="M367" s="40"/>
      <c r="N367" s="40"/>
      <c r="O367" s="40"/>
      <c r="P367" s="39"/>
      <c r="Q367" s="39"/>
      <c r="R367" s="39"/>
      <c r="S367" s="39"/>
      <c r="T367" s="39"/>
      <c r="V367">
        <f>IF(Tabela3[[#This Row],[Pago]]&lt;&gt;"",IF(F368="",Tabela3[[#This Row],[Saldo]],0))</f>
        <v>0</v>
      </c>
    </row>
    <row r="368" spans="1:22" x14ac:dyDescent="0.25">
      <c r="A368" t="s">
        <v>167</v>
      </c>
      <c r="B368" s="37">
        <v>20</v>
      </c>
      <c r="C368" t="str">
        <f>_xlfn.XLOOKUP(B368,'Centro de Custo'!A$2:A$45,'Centro de Custo'!B$2:B$45)</f>
        <v>Desp. ADM</v>
      </c>
      <c r="E368" s="39">
        <v>-438.11</v>
      </c>
      <c r="F368" s="40" t="s">
        <v>10</v>
      </c>
      <c r="G368" s="41">
        <v>45448</v>
      </c>
      <c r="H368" s="42">
        <f>YEAR(Tabela3[[#This Row],[Data]])</f>
        <v>2024</v>
      </c>
      <c r="I368" s="42" t="str">
        <f>_xlfn.XLOOKUP(J368,'Centro de Custo'!J$2:J$13,'Centro de Custo'!K$2:K$13)</f>
        <v>Junho</v>
      </c>
      <c r="J368" s="43">
        <f>MONTH(Tabela3[[#This Row],[Data]])</f>
        <v>6</v>
      </c>
      <c r="K368" s="39">
        <f>SUM(E$3:Tabela3[[#This Row],[Valor]])</f>
        <v>4134.930000000098</v>
      </c>
      <c r="L368" s="40">
        <f t="shared" si="5"/>
        <v>2.22375</v>
      </c>
      <c r="M368" s="40"/>
      <c r="N368" s="40"/>
      <c r="O368" s="40"/>
      <c r="P368" s="39"/>
      <c r="Q368" s="39"/>
      <c r="R368" s="39"/>
      <c r="S368" s="39"/>
      <c r="T368" s="39"/>
      <c r="V368">
        <f>IF(Tabela3[[#This Row],[Pago]]&lt;&gt;"",IF(F369="",Tabela3[[#This Row],[Saldo]],0))</f>
        <v>0</v>
      </c>
    </row>
    <row r="369" spans="1:22" x14ac:dyDescent="0.25">
      <c r="A369" t="s">
        <v>231</v>
      </c>
      <c r="B369" s="37">
        <v>10</v>
      </c>
      <c r="C369" t="str">
        <f>_xlfn.XLOOKUP(B369,'Centro de Custo'!A$2:A$45,'Centro de Custo'!B$2:B$45)</f>
        <v>Retirada Mensal</v>
      </c>
      <c r="E369" s="39">
        <v>-1484.13</v>
      </c>
      <c r="F369" s="40" t="s">
        <v>10</v>
      </c>
      <c r="G369" s="41">
        <v>45448</v>
      </c>
      <c r="H369" s="42">
        <f>YEAR(Tabela3[[#This Row],[Data]])</f>
        <v>2024</v>
      </c>
      <c r="I369" s="42" t="str">
        <f>_xlfn.XLOOKUP(J369,'Centro de Custo'!J$2:J$13,'Centro de Custo'!K$2:K$13)</f>
        <v>Junho</v>
      </c>
      <c r="J369" s="43">
        <f>MONTH(Tabela3[[#This Row],[Data]])</f>
        <v>6</v>
      </c>
      <c r="K369" s="39">
        <f>SUM(E$3:Tabela3[[#This Row],[Valor]])</f>
        <v>2650.8000000000975</v>
      </c>
      <c r="L369" s="40">
        <f t="shared" si="5"/>
        <v>2.22375</v>
      </c>
      <c r="M369" s="40"/>
      <c r="N369" s="40"/>
      <c r="O369" s="40"/>
      <c r="P369" s="39"/>
      <c r="Q369" s="39"/>
      <c r="R369" s="39"/>
      <c r="S369" s="39"/>
      <c r="T369" s="39"/>
      <c r="V369">
        <f>IF(Tabela3[[#This Row],[Pago]]&lt;&gt;"",IF(F370="",Tabela3[[#This Row],[Saldo]],0))</f>
        <v>0</v>
      </c>
    </row>
    <row r="370" spans="1:22" x14ac:dyDescent="0.25">
      <c r="A370" t="s">
        <v>208</v>
      </c>
      <c r="B370" s="37">
        <v>2</v>
      </c>
      <c r="C370" t="str">
        <f>_xlfn.XLOOKUP(B370,'Centro de Custo'!A$2:A$45,'Centro de Custo'!B$2:B$45)</f>
        <v>Outras Receitas</v>
      </c>
      <c r="E370" s="39">
        <v>65250</v>
      </c>
      <c r="F370" s="40" t="s">
        <v>10</v>
      </c>
      <c r="G370" s="41">
        <v>45449</v>
      </c>
      <c r="H370" s="42">
        <f>YEAR(Tabela3[[#This Row],[Data]])</f>
        <v>2024</v>
      </c>
      <c r="I370" s="42" t="str">
        <f>_xlfn.XLOOKUP(J370,'Centro de Custo'!J$2:J$13,'Centro de Custo'!K$2:K$13)</f>
        <v>Junho</v>
      </c>
      <c r="J370" s="43">
        <f>MONTH(Tabela3[[#This Row],[Data]])</f>
        <v>6</v>
      </c>
      <c r="K370" s="39">
        <f>SUM(E$3:Tabela3[[#This Row],[Valor]])</f>
        <v>67900.8000000001</v>
      </c>
      <c r="L370" s="40">
        <f t="shared" si="5"/>
        <v>2.22375</v>
      </c>
      <c r="M370" s="40"/>
      <c r="N370" s="40"/>
      <c r="O370" s="40"/>
      <c r="P370" s="39"/>
      <c r="Q370" s="39"/>
      <c r="R370" s="39"/>
      <c r="S370" s="39"/>
      <c r="T370" s="39"/>
      <c r="V370">
        <f>IF(Tabela3[[#This Row],[Pago]]&lt;&gt;"",IF(F371="",Tabela3[[#This Row],[Saldo]],0))</f>
        <v>0</v>
      </c>
    </row>
    <row r="371" spans="1:22" x14ac:dyDescent="0.25">
      <c r="A371" t="s">
        <v>134</v>
      </c>
      <c r="B371" s="37">
        <v>13</v>
      </c>
      <c r="C371" t="str">
        <f>_xlfn.XLOOKUP(B371,'Centro de Custo'!A$2:A$45,'Centro de Custo'!B$2:B$45)</f>
        <v>Terceirizados</v>
      </c>
      <c r="E371" s="39">
        <v>-7000</v>
      </c>
      <c r="F371" s="40" t="s">
        <v>10</v>
      </c>
      <c r="G371" s="41">
        <v>45449</v>
      </c>
      <c r="H371" s="42">
        <f>YEAR(Tabela3[[#This Row],[Data]])</f>
        <v>2024</v>
      </c>
      <c r="I371" s="42" t="str">
        <f>_xlfn.XLOOKUP(J371,'Centro de Custo'!J$2:J$13,'Centro de Custo'!K$2:K$13)</f>
        <v>Junho</v>
      </c>
      <c r="J371" s="43">
        <f>MONTH(Tabela3[[#This Row],[Data]])</f>
        <v>6</v>
      </c>
      <c r="K371" s="39">
        <f>SUM(E$3:Tabela3[[#This Row],[Valor]])</f>
        <v>60900.800000000105</v>
      </c>
      <c r="L371" s="40">
        <f t="shared" si="5"/>
        <v>2.22375</v>
      </c>
      <c r="M371" s="40"/>
      <c r="N371" s="40"/>
      <c r="O371" s="40"/>
      <c r="P371" s="39"/>
      <c r="Q371" s="39"/>
      <c r="R371" s="39"/>
      <c r="S371" s="39"/>
      <c r="T371" s="39"/>
      <c r="V371">
        <f>IF(Tabela3[[#This Row],[Pago]]&lt;&gt;"",IF(F372="",Tabela3[[#This Row],[Saldo]],0))</f>
        <v>0</v>
      </c>
    </row>
    <row r="372" spans="1:22" x14ac:dyDescent="0.25">
      <c r="A372" t="s">
        <v>234</v>
      </c>
      <c r="B372" s="37">
        <v>10</v>
      </c>
      <c r="C372" t="str">
        <f>_xlfn.XLOOKUP(B372,'Centro de Custo'!A$2:A$45,'Centro de Custo'!B$2:B$45)</f>
        <v>Retirada Mensal</v>
      </c>
      <c r="E372" s="39">
        <v>-12350</v>
      </c>
      <c r="F372" s="40" t="s">
        <v>10</v>
      </c>
      <c r="G372" s="41">
        <v>45449</v>
      </c>
      <c r="H372" s="42">
        <f>YEAR(Tabela3[[#This Row],[Data]])</f>
        <v>2024</v>
      </c>
      <c r="I372" s="42" t="str">
        <f>_xlfn.XLOOKUP(J372,'Centro de Custo'!J$2:J$13,'Centro de Custo'!K$2:K$13)</f>
        <v>Junho</v>
      </c>
      <c r="J372" s="43">
        <f>MONTH(Tabela3[[#This Row],[Data]])</f>
        <v>6</v>
      </c>
      <c r="K372" s="39">
        <f>SUM(E$3:Tabela3[[#This Row],[Valor]])</f>
        <v>48550.800000000105</v>
      </c>
      <c r="L372" s="40">
        <f t="shared" si="5"/>
        <v>2.22375</v>
      </c>
      <c r="M372" s="40"/>
      <c r="N372" s="40"/>
      <c r="O372" s="40"/>
      <c r="P372" s="39"/>
      <c r="Q372" s="39"/>
      <c r="R372" s="39"/>
      <c r="S372" s="39"/>
      <c r="T372" s="39"/>
      <c r="V372">
        <f>IF(Tabela3[[#This Row],[Pago]]&lt;&gt;"",IF(F373="",Tabela3[[#This Row],[Saldo]],0))</f>
        <v>0</v>
      </c>
    </row>
    <row r="373" spans="1:22" x14ac:dyDescent="0.25">
      <c r="A373" t="s">
        <v>235</v>
      </c>
      <c r="B373" s="37">
        <v>10</v>
      </c>
      <c r="C373" t="str">
        <f>_xlfn.XLOOKUP(B373,'Centro de Custo'!A$2:A$45,'Centro de Custo'!B$2:B$45)</f>
        <v>Retirada Mensal</v>
      </c>
      <c r="E373" s="39">
        <v>-12700</v>
      </c>
      <c r="F373" s="40" t="s">
        <v>10</v>
      </c>
      <c r="G373" s="41">
        <v>45449</v>
      </c>
      <c r="H373" s="42">
        <f>YEAR(Tabela3[[#This Row],[Data]])</f>
        <v>2024</v>
      </c>
      <c r="I373" s="42" t="str">
        <f>_xlfn.XLOOKUP(J373,'Centro de Custo'!J$2:J$13,'Centro de Custo'!K$2:K$13)</f>
        <v>Junho</v>
      </c>
      <c r="J373" s="43">
        <f>MONTH(Tabela3[[#This Row],[Data]])</f>
        <v>6</v>
      </c>
      <c r="K373" s="39">
        <f>SUM(E$3:Tabela3[[#This Row],[Valor]])</f>
        <v>35850.800000000105</v>
      </c>
      <c r="L373" s="40">
        <f t="shared" si="5"/>
        <v>2.22375</v>
      </c>
      <c r="M373" s="40"/>
      <c r="N373" s="40"/>
      <c r="O373" s="40"/>
      <c r="P373" s="39"/>
      <c r="Q373" s="39"/>
      <c r="R373" s="39"/>
      <c r="S373" s="39"/>
      <c r="T373" s="39"/>
      <c r="V373">
        <f>IF(Tabela3[[#This Row],[Pago]]&lt;&gt;"",IF(F374="",Tabela3[[#This Row],[Saldo]],0))</f>
        <v>0</v>
      </c>
    </row>
    <row r="374" spans="1:22" x14ac:dyDescent="0.25">
      <c r="A374" t="s">
        <v>236</v>
      </c>
      <c r="B374" s="37">
        <v>10</v>
      </c>
      <c r="C374" t="str">
        <f>_xlfn.XLOOKUP(B374,'Centro de Custo'!A$2:A$45,'Centro de Custo'!B$2:B$45)</f>
        <v>Retirada Mensal</v>
      </c>
      <c r="E374" s="39">
        <v>-12850</v>
      </c>
      <c r="F374" s="40" t="s">
        <v>10</v>
      </c>
      <c r="G374" s="41">
        <v>45449</v>
      </c>
      <c r="H374" s="42">
        <f>YEAR(Tabela3[[#This Row],[Data]])</f>
        <v>2024</v>
      </c>
      <c r="I374" s="42" t="str">
        <f>_xlfn.XLOOKUP(J374,'Centro de Custo'!J$2:J$13,'Centro de Custo'!K$2:K$13)</f>
        <v>Junho</v>
      </c>
      <c r="J374" s="43">
        <f>MONTH(Tabela3[[#This Row],[Data]])</f>
        <v>6</v>
      </c>
      <c r="K374" s="39">
        <f>SUM(E$3:Tabela3[[#This Row],[Valor]])</f>
        <v>23000.800000000105</v>
      </c>
      <c r="L374" s="40">
        <f t="shared" si="5"/>
        <v>2.22375</v>
      </c>
      <c r="M374" s="40"/>
      <c r="N374" s="40"/>
      <c r="O374" s="40"/>
      <c r="P374" s="39"/>
      <c r="Q374" s="39"/>
      <c r="R374" s="39"/>
      <c r="S374" s="39"/>
      <c r="T374" s="39"/>
      <c r="V374">
        <f>IF(Tabela3[[#This Row],[Pago]]&lt;&gt;"",IF(F375="",Tabela3[[#This Row],[Saldo]],0))</f>
        <v>0</v>
      </c>
    </row>
    <row r="375" spans="1:22" x14ac:dyDescent="0.25">
      <c r="A375" t="s">
        <v>237</v>
      </c>
      <c r="B375" s="37">
        <v>10</v>
      </c>
      <c r="C375" t="str">
        <f>_xlfn.XLOOKUP(B375,'Centro de Custo'!A$2:A$45,'Centro de Custo'!B$2:B$45)</f>
        <v>Retirada Mensal</v>
      </c>
      <c r="E375" s="39">
        <v>-20350</v>
      </c>
      <c r="F375" s="40" t="s">
        <v>10</v>
      </c>
      <c r="G375" s="41">
        <v>45449</v>
      </c>
      <c r="H375" s="42">
        <f>YEAR(Tabela3[[#This Row],[Data]])</f>
        <v>2024</v>
      </c>
      <c r="I375" s="42" t="str">
        <f>_xlfn.XLOOKUP(J375,'Centro de Custo'!J$2:J$13,'Centro de Custo'!K$2:K$13)</f>
        <v>Junho</v>
      </c>
      <c r="J375" s="43">
        <f>MONTH(Tabela3[[#This Row],[Data]])</f>
        <v>6</v>
      </c>
      <c r="K375" s="39">
        <f>SUM(E$3:Tabela3[[#This Row],[Valor]])</f>
        <v>2650.800000000105</v>
      </c>
      <c r="L375" s="40">
        <f t="shared" si="5"/>
        <v>2.22375</v>
      </c>
      <c r="M375" s="40"/>
      <c r="N375" s="40"/>
      <c r="O375" s="40"/>
      <c r="P375" s="39"/>
      <c r="Q375" s="39"/>
      <c r="R375" s="39"/>
      <c r="S375" s="39"/>
      <c r="T375" s="39"/>
      <c r="V375">
        <f>IF(Tabela3[[#This Row],[Pago]]&lt;&gt;"",IF(F376="",Tabela3[[#This Row],[Saldo]],0))</f>
        <v>0</v>
      </c>
    </row>
    <row r="376" spans="1:22" x14ac:dyDescent="0.25">
      <c r="A376" t="s">
        <v>208</v>
      </c>
      <c r="B376" s="37">
        <v>2</v>
      </c>
      <c r="C376" t="str">
        <f>_xlfn.XLOOKUP(B376,'Centro de Custo'!A$2:A$45,'Centro de Custo'!B$2:B$45)</f>
        <v>Outras Receitas</v>
      </c>
      <c r="E376" s="39">
        <f>14500-5000</f>
        <v>9500</v>
      </c>
      <c r="F376" s="40" t="s">
        <v>10</v>
      </c>
      <c r="G376" s="41">
        <v>45450</v>
      </c>
      <c r="H376" s="42">
        <f>YEAR(Tabela3[[#This Row],[Data]])</f>
        <v>2024</v>
      </c>
      <c r="I376" s="42" t="str">
        <f>_xlfn.XLOOKUP(J376,'Centro de Custo'!J$2:J$13,'Centro de Custo'!K$2:K$13)</f>
        <v>Junho</v>
      </c>
      <c r="J376" s="43">
        <f>MONTH(Tabela3[[#This Row],[Data]])</f>
        <v>6</v>
      </c>
      <c r="K376" s="39">
        <f>SUM(E$3:Tabela3[[#This Row],[Valor]])</f>
        <v>12150.800000000105</v>
      </c>
      <c r="L376" s="40">
        <f t="shared" si="5"/>
        <v>2.22375</v>
      </c>
      <c r="M376" s="40"/>
      <c r="N376" s="40"/>
      <c r="O376" s="40"/>
      <c r="P376" s="39"/>
      <c r="Q376" s="39"/>
      <c r="R376" s="39"/>
      <c r="S376" s="39"/>
      <c r="T376" s="39"/>
      <c r="V376">
        <f>IF(Tabela3[[#This Row],[Pago]]&lt;&gt;"",IF(F377="",Tabela3[[#This Row],[Saldo]],0))</f>
        <v>0</v>
      </c>
    </row>
    <row r="377" spans="1:22" x14ac:dyDescent="0.25">
      <c r="A377" s="46" t="s">
        <v>214</v>
      </c>
      <c r="B377" s="37">
        <v>50</v>
      </c>
      <c r="C377" t="str">
        <f>_xlfn.XLOOKUP(B377,'Centro de Custo'!A$2:A$45,'Centro de Custo'!B$2:B$45)</f>
        <v>Empréstimos</v>
      </c>
      <c r="E377" s="39">
        <v>5000</v>
      </c>
      <c r="F377" s="40" t="s">
        <v>10</v>
      </c>
      <c r="G377" s="41">
        <v>45450</v>
      </c>
      <c r="H377" s="42">
        <f>YEAR(Tabela3[[#This Row],[Data]])</f>
        <v>2024</v>
      </c>
      <c r="I377" s="42" t="str">
        <f>_xlfn.XLOOKUP(J377,'Centro de Custo'!J$2:J$13,'Centro de Custo'!K$2:K$13)</f>
        <v>Junho</v>
      </c>
      <c r="J377" s="43">
        <f>MONTH(Tabela3[[#This Row],[Data]])</f>
        <v>6</v>
      </c>
      <c r="K377" s="39">
        <f>SUM(E$3:Tabela3[[#This Row],[Valor]])</f>
        <v>17150.800000000105</v>
      </c>
      <c r="L377" s="40">
        <f t="shared" si="5"/>
        <v>2.22375</v>
      </c>
      <c r="M377" s="40"/>
      <c r="N377" s="40"/>
      <c r="O377" s="40"/>
      <c r="P377" s="39"/>
      <c r="Q377" s="39"/>
      <c r="R377" s="39"/>
      <c r="S377" s="39"/>
      <c r="T377" s="39"/>
      <c r="V377">
        <f>IF(Tabela3[[#This Row],[Pago]]&lt;&gt;"",IF(F378="",Tabela3[[#This Row],[Saldo]],0))</f>
        <v>0</v>
      </c>
    </row>
    <row r="378" spans="1:22" x14ac:dyDescent="0.25">
      <c r="A378" t="s">
        <v>238</v>
      </c>
      <c r="B378" s="37">
        <v>11</v>
      </c>
      <c r="C378" t="str">
        <f>_xlfn.XLOOKUP(B378,'Centro de Custo'!A$2:A$45,'Centro de Custo'!B$2:B$45)</f>
        <v>Distribuição de Lucro</v>
      </c>
      <c r="E378" s="39">
        <v>-14500</v>
      </c>
      <c r="F378" s="40" t="s">
        <v>10</v>
      </c>
      <c r="G378" s="41">
        <v>45450</v>
      </c>
      <c r="H378" s="42">
        <f>YEAR(Tabela3[[#This Row],[Data]])</f>
        <v>2024</v>
      </c>
      <c r="I378" s="42" t="str">
        <f>_xlfn.XLOOKUP(J378,'Centro de Custo'!J$2:J$13,'Centro de Custo'!K$2:K$13)</f>
        <v>Junho</v>
      </c>
      <c r="J378" s="43">
        <f>MONTH(Tabela3[[#This Row],[Data]])</f>
        <v>6</v>
      </c>
      <c r="K378" s="39">
        <f>SUM(E$3:Tabela3[[#This Row],[Valor]])</f>
        <v>2650.800000000105</v>
      </c>
      <c r="L378" s="40">
        <f t="shared" si="5"/>
        <v>2.22375</v>
      </c>
      <c r="M378" s="40"/>
      <c r="N378" s="40"/>
      <c r="O378" s="40"/>
      <c r="P378" s="39"/>
      <c r="Q378" s="39"/>
      <c r="R378" s="39"/>
      <c r="S378" s="39"/>
      <c r="T378" s="39"/>
      <c r="V378">
        <f>IF(Tabela3[[#This Row],[Pago]]&lt;&gt;"",IF(F379="",Tabela3[[#This Row],[Saldo]],0))</f>
        <v>0</v>
      </c>
    </row>
    <row r="379" spans="1:22" x14ac:dyDescent="0.25">
      <c r="A379" t="s">
        <v>214</v>
      </c>
      <c r="B379" s="37">
        <v>50</v>
      </c>
      <c r="C379" t="str">
        <f>_xlfn.XLOOKUP(B379,'Centro de Custo'!A$2:A$45,'Centro de Custo'!B$2:B$45)</f>
        <v>Empréstimos</v>
      </c>
      <c r="E379" s="39">
        <v>20000</v>
      </c>
      <c r="F379" s="40" t="s">
        <v>10</v>
      </c>
      <c r="G379" s="41">
        <v>45455</v>
      </c>
      <c r="H379" s="42">
        <f>YEAR(Tabela3[[#This Row],[Data]])</f>
        <v>2024</v>
      </c>
      <c r="I379" s="42" t="str">
        <f>_xlfn.XLOOKUP(J379,'Centro de Custo'!J$2:J$13,'Centro de Custo'!K$2:K$13)</f>
        <v>Junho</v>
      </c>
      <c r="J379" s="43">
        <f>MONTH(Tabela3[[#This Row],[Data]])</f>
        <v>6</v>
      </c>
      <c r="K379" s="39">
        <f>SUM(E$3:Tabela3[[#This Row],[Valor]])</f>
        <v>22650.800000000105</v>
      </c>
      <c r="L379" s="40">
        <f t="shared" si="5"/>
        <v>2.22375</v>
      </c>
      <c r="M379" s="40"/>
      <c r="N379" s="40"/>
      <c r="O379" s="40"/>
      <c r="P379" s="39"/>
      <c r="Q379" s="39"/>
      <c r="R379" s="39"/>
      <c r="S379" s="39"/>
      <c r="T379" s="39"/>
      <c r="V379">
        <f>IF(Tabela3[[#This Row],[Pago]]&lt;&gt;"",IF(F380="",Tabela3[[#This Row],[Saldo]],0))</f>
        <v>0</v>
      </c>
    </row>
    <row r="380" spans="1:22" x14ac:dyDescent="0.25">
      <c r="A380" t="s">
        <v>190</v>
      </c>
      <c r="B380" s="37">
        <v>13</v>
      </c>
      <c r="C380" t="str">
        <f>_xlfn.XLOOKUP(B380,'Centro de Custo'!A$2:A$45,'Centro de Custo'!B$2:B$45)</f>
        <v>Terceirizados</v>
      </c>
      <c r="E380" s="39">
        <v>-4886.44</v>
      </c>
      <c r="F380" s="40" t="s">
        <v>10</v>
      </c>
      <c r="G380" s="41">
        <v>45455</v>
      </c>
      <c r="H380" s="42">
        <f>YEAR(Tabela3[[#This Row],[Data]])</f>
        <v>2024</v>
      </c>
      <c r="I380" s="42" t="str">
        <f>_xlfn.XLOOKUP(J380,'Centro de Custo'!J$2:J$13,'Centro de Custo'!K$2:K$13)</f>
        <v>Junho</v>
      </c>
      <c r="J380" s="43">
        <f>MONTH(Tabela3[[#This Row],[Data]])</f>
        <v>6</v>
      </c>
      <c r="K380" s="39">
        <f>SUM(E$3:Tabela3[[#This Row],[Valor]])</f>
        <v>17764.360000000106</v>
      </c>
      <c r="L380" s="40">
        <f t="shared" si="5"/>
        <v>2.22375</v>
      </c>
      <c r="M380" s="40"/>
      <c r="N380" s="40"/>
      <c r="O380" s="40"/>
      <c r="P380" s="39"/>
      <c r="Q380" s="39"/>
      <c r="R380" s="39"/>
      <c r="S380" s="39"/>
      <c r="T380" s="39"/>
      <c r="V380">
        <f>IF(Tabela3[[#This Row],[Pago]]&lt;&gt;"",IF(F381="",Tabela3[[#This Row],[Saldo]],0))</f>
        <v>0</v>
      </c>
    </row>
    <row r="381" spans="1:22" x14ac:dyDescent="0.25">
      <c r="A381" t="s">
        <v>171</v>
      </c>
      <c r="B381" s="37">
        <v>20</v>
      </c>
      <c r="C381" t="str">
        <f>_xlfn.XLOOKUP(B381,'Centro de Custo'!A$2:A$45,'Centro de Custo'!B$2:B$45)</f>
        <v>Desp. ADM</v>
      </c>
      <c r="E381" s="39">
        <v>-103.92</v>
      </c>
      <c r="F381" s="40" t="s">
        <v>10</v>
      </c>
      <c r="G381" s="41">
        <v>45460</v>
      </c>
      <c r="H381" s="42">
        <f>YEAR(Tabela3[[#This Row],[Data]])</f>
        <v>2024</v>
      </c>
      <c r="I381" s="42" t="str">
        <f>_xlfn.XLOOKUP(J381,'Centro de Custo'!J$2:J$13,'Centro de Custo'!K$2:K$13)</f>
        <v>Junho</v>
      </c>
      <c r="J381" s="43">
        <f>MONTH(Tabela3[[#This Row],[Data]])</f>
        <v>6</v>
      </c>
      <c r="K381" s="39">
        <f>SUM(E$3:Tabela3[[#This Row],[Valor]])</f>
        <v>17660.440000000108</v>
      </c>
      <c r="L381" s="40">
        <f t="shared" si="5"/>
        <v>2.22375</v>
      </c>
      <c r="M381" s="40"/>
      <c r="N381" s="40"/>
      <c r="O381" s="40"/>
      <c r="P381" s="39"/>
      <c r="Q381" s="39"/>
      <c r="R381" s="39"/>
      <c r="S381" s="39"/>
      <c r="T381" s="39"/>
      <c r="V381">
        <f>IF(Tabela3[[#This Row],[Pago]]&lt;&gt;"",IF(F382="",Tabela3[[#This Row],[Saldo]],0))</f>
        <v>0</v>
      </c>
    </row>
    <row r="382" spans="1:22" x14ac:dyDescent="0.25">
      <c r="A382" t="s">
        <v>205</v>
      </c>
      <c r="B382" s="37">
        <v>20</v>
      </c>
      <c r="C382" t="str">
        <f>_xlfn.XLOOKUP(B382,'Centro de Custo'!A$2:A$45,'Centro de Custo'!B$2:B$45)</f>
        <v>Desp. ADM</v>
      </c>
      <c r="E382" s="39">
        <v>-852.58</v>
      </c>
      <c r="F382" s="40" t="s">
        <v>10</v>
      </c>
      <c r="G382" s="41">
        <v>45460</v>
      </c>
      <c r="H382" s="42">
        <f>YEAR(Tabela3[[#This Row],[Data]])</f>
        <v>2024</v>
      </c>
      <c r="I382" s="42" t="str">
        <f>_xlfn.XLOOKUP(J382,'Centro de Custo'!J$2:J$13,'Centro de Custo'!K$2:K$13)</f>
        <v>Junho</v>
      </c>
      <c r="J382" s="43">
        <f>MONTH(Tabela3[[#This Row],[Data]])</f>
        <v>6</v>
      </c>
      <c r="K382" s="39">
        <f>SUM(E$3:Tabela3[[#This Row],[Valor]])</f>
        <v>16807.860000000106</v>
      </c>
      <c r="L382" s="40">
        <f t="shared" si="5"/>
        <v>2.22375</v>
      </c>
      <c r="M382" s="40"/>
      <c r="N382" s="40"/>
      <c r="O382" s="40"/>
      <c r="P382" s="39"/>
      <c r="Q382" s="39"/>
      <c r="R382" s="39"/>
      <c r="S382" s="39"/>
      <c r="T382" s="39"/>
      <c r="V382">
        <f>IF(Tabela3[[#This Row],[Pago]]&lt;&gt;"",IF(F383="",Tabela3[[#This Row],[Saldo]],0))</f>
        <v>0</v>
      </c>
    </row>
    <row r="383" spans="1:22" x14ac:dyDescent="0.25">
      <c r="A383" t="s">
        <v>239</v>
      </c>
      <c r="B383" s="37">
        <v>13</v>
      </c>
      <c r="C383" t="str">
        <f>_xlfn.XLOOKUP(B383,'Centro de Custo'!A$2:A$45,'Centro de Custo'!B$2:B$45)</f>
        <v>Terceirizados</v>
      </c>
      <c r="D383" t="s">
        <v>72</v>
      </c>
      <c r="E383" s="39">
        <v>-7240</v>
      </c>
      <c r="F383" s="40" t="s">
        <v>10</v>
      </c>
      <c r="G383" s="41">
        <v>45460</v>
      </c>
      <c r="H383" s="42">
        <f>YEAR(Tabela3[[#This Row],[Data]])</f>
        <v>2024</v>
      </c>
      <c r="I383" s="42" t="str">
        <f>_xlfn.XLOOKUP(J383,'Centro de Custo'!J$2:J$13,'Centro de Custo'!K$2:K$13)</f>
        <v>Junho</v>
      </c>
      <c r="J383" s="43">
        <f>MONTH(Tabela3[[#This Row],[Data]])</f>
        <v>6</v>
      </c>
      <c r="K383" s="39">
        <f>SUM(E$3:Tabela3[[#This Row],[Valor]])</f>
        <v>9567.860000000106</v>
      </c>
      <c r="L383" s="40">
        <f t="shared" si="5"/>
        <v>2.22375</v>
      </c>
      <c r="M383" s="40"/>
      <c r="N383" s="40"/>
      <c r="O383" s="40"/>
      <c r="P383" s="39"/>
      <c r="Q383" s="39"/>
      <c r="R383" s="39"/>
      <c r="S383" s="39"/>
      <c r="T383" s="39"/>
      <c r="V383">
        <f>IF(Tabela3[[#This Row],[Pago]]&lt;&gt;"",IF(F384="",Tabela3[[#This Row],[Saldo]],0))</f>
        <v>0</v>
      </c>
    </row>
    <row r="384" spans="1:22" x14ac:dyDescent="0.25">
      <c r="A384" t="s">
        <v>240</v>
      </c>
      <c r="B384" s="37">
        <v>13</v>
      </c>
      <c r="C384" t="str">
        <f>_xlfn.XLOOKUP(B384,'Centro de Custo'!A$2:A$45,'Centro de Custo'!B$2:B$45)</f>
        <v>Terceirizados</v>
      </c>
      <c r="E384" s="39">
        <v>-120</v>
      </c>
      <c r="F384" s="40" t="s">
        <v>10</v>
      </c>
      <c r="G384" s="41">
        <v>45461</v>
      </c>
      <c r="H384" s="42">
        <f>YEAR(Tabela3[[#This Row],[Data]])</f>
        <v>2024</v>
      </c>
      <c r="I384" s="42" t="str">
        <f>_xlfn.XLOOKUP(J384,'Centro de Custo'!J$2:J$13,'Centro de Custo'!K$2:K$13)</f>
        <v>Junho</v>
      </c>
      <c r="J384" s="43">
        <f>MONTH(Tabela3[[#This Row],[Data]])</f>
        <v>6</v>
      </c>
      <c r="K384" s="39">
        <f>SUM(E$3:Tabela3[[#This Row],[Valor]])</f>
        <v>9447.860000000106</v>
      </c>
      <c r="L384" s="40">
        <f t="shared" si="5"/>
        <v>2.22375</v>
      </c>
      <c r="M384" s="40"/>
      <c r="N384" s="40"/>
      <c r="O384" s="40"/>
      <c r="P384" s="39"/>
      <c r="Q384" s="39"/>
      <c r="R384" s="39"/>
      <c r="S384" s="39"/>
      <c r="T384" s="39"/>
      <c r="V384">
        <f>IF(Tabela3[[#This Row],[Pago]]&lt;&gt;"",IF(F385="",Tabela3[[#This Row],[Saldo]],0))</f>
        <v>0</v>
      </c>
    </row>
    <row r="385" spans="1:22" x14ac:dyDescent="0.25">
      <c r="A385" t="s">
        <v>241</v>
      </c>
      <c r="B385" s="37">
        <v>20</v>
      </c>
      <c r="C385" t="str">
        <f>_xlfn.XLOOKUP(B385,'Centro de Custo'!A$2:A$45,'Centro de Custo'!B$2:B$45)</f>
        <v>Desp. ADM</v>
      </c>
      <c r="E385" s="39">
        <v>-80</v>
      </c>
      <c r="F385" s="40" t="s">
        <v>10</v>
      </c>
      <c r="G385" s="41">
        <v>45467</v>
      </c>
      <c r="H385" s="42">
        <f>YEAR(Tabela3[[#This Row],[Data]])</f>
        <v>2024</v>
      </c>
      <c r="I385" s="42" t="str">
        <f>_xlfn.XLOOKUP(J385,'Centro de Custo'!J$2:J$13,'Centro de Custo'!K$2:K$13)</f>
        <v>Junho</v>
      </c>
      <c r="J385" s="43">
        <f>MONTH(Tabela3[[#This Row],[Data]])</f>
        <v>6</v>
      </c>
      <c r="K385" s="39">
        <f>SUM(E$3:Tabela3[[#This Row],[Valor]])</f>
        <v>9367.860000000106</v>
      </c>
      <c r="L385" s="40">
        <f t="shared" si="5"/>
        <v>2.22375</v>
      </c>
      <c r="M385" s="40"/>
      <c r="N385" s="40"/>
      <c r="O385" s="40"/>
      <c r="P385" s="39"/>
      <c r="Q385" s="39"/>
      <c r="R385" s="39"/>
      <c r="S385" s="39"/>
      <c r="T385" s="39"/>
      <c r="V385">
        <f>IF(Tabela3[[#This Row],[Pago]]&lt;&gt;"",IF(F386="",Tabela3[[#This Row],[Saldo]],0))</f>
        <v>0</v>
      </c>
    </row>
    <row r="386" spans="1:22" x14ac:dyDescent="0.25">
      <c r="A386" t="s">
        <v>242</v>
      </c>
      <c r="B386" s="37">
        <v>20</v>
      </c>
      <c r="C386" t="str">
        <f>_xlfn.XLOOKUP(B386,'Centro de Custo'!A$2:A$45,'Centro de Custo'!B$2:B$45)</f>
        <v>Desp. ADM</v>
      </c>
      <c r="E386" s="39">
        <v>-690</v>
      </c>
      <c r="F386" s="40" t="s">
        <v>10</v>
      </c>
      <c r="G386" s="41">
        <v>45467</v>
      </c>
      <c r="H386" s="42">
        <f>YEAR(Tabela3[[#This Row],[Data]])</f>
        <v>2024</v>
      </c>
      <c r="I386" s="42" t="str">
        <f>_xlfn.XLOOKUP(J386,'Centro de Custo'!J$2:J$13,'Centro de Custo'!K$2:K$13)</f>
        <v>Junho</v>
      </c>
      <c r="J386" s="43">
        <f>MONTH(Tabela3[[#This Row],[Data]])</f>
        <v>6</v>
      </c>
      <c r="K386" s="39">
        <f>SUM(E$3:Tabela3[[#This Row],[Valor]])</f>
        <v>8677.860000000106</v>
      </c>
      <c r="L386" s="40">
        <f t="shared" si="5"/>
        <v>2.22375</v>
      </c>
      <c r="M386" s="40"/>
      <c r="N386" s="40"/>
      <c r="O386" s="40"/>
      <c r="P386" s="39"/>
      <c r="Q386" s="39"/>
      <c r="R386" s="39"/>
      <c r="S386" s="39"/>
      <c r="T386" s="39"/>
      <c r="V386">
        <f>IF(Tabela3[[#This Row],[Pago]]&lt;&gt;"",IF(F387="",Tabela3[[#This Row],[Saldo]],0))</f>
        <v>0</v>
      </c>
    </row>
    <row r="387" spans="1:22" x14ac:dyDescent="0.25">
      <c r="A387" t="s">
        <v>224</v>
      </c>
      <c r="B387" s="37">
        <v>20</v>
      </c>
      <c r="C387" t="str">
        <f>_xlfn.XLOOKUP(B387,'Centro de Custo'!A$2:A$45,'Centro de Custo'!B$2:B$45)</f>
        <v>Desp. ADM</v>
      </c>
      <c r="E387" s="39">
        <v>-25.84</v>
      </c>
      <c r="F387" s="40" t="s">
        <v>10</v>
      </c>
      <c r="G387" s="41">
        <v>45468</v>
      </c>
      <c r="H387" s="42">
        <f>YEAR(Tabela3[[#This Row],[Data]])</f>
        <v>2024</v>
      </c>
      <c r="I387" s="42" t="str">
        <f>_xlfn.XLOOKUP(J387,'Centro de Custo'!J$2:J$13,'Centro de Custo'!K$2:K$13)</f>
        <v>Junho</v>
      </c>
      <c r="J387" s="43">
        <f>MONTH(Tabela3[[#This Row],[Data]])</f>
        <v>6</v>
      </c>
      <c r="K387" s="39">
        <f>SUM(E$3:Tabela3[[#This Row],[Valor]])</f>
        <v>8652.020000000106</v>
      </c>
      <c r="L387" s="40">
        <f t="shared" ref="L387:L450" si="6">17.79/8</f>
        <v>2.22375</v>
      </c>
      <c r="M387" s="40"/>
      <c r="N387" s="40"/>
      <c r="O387" s="40"/>
      <c r="P387" s="39"/>
      <c r="Q387" s="39"/>
      <c r="R387" s="39"/>
      <c r="S387" s="39"/>
      <c r="T387" s="39"/>
      <c r="V387">
        <f>IF(Tabela3[[#This Row],[Pago]]&lt;&gt;"",IF(F388="",Tabela3[[#This Row],[Saldo]],0))</f>
        <v>0</v>
      </c>
    </row>
    <row r="388" spans="1:22" x14ac:dyDescent="0.25">
      <c r="A388" t="s">
        <v>198</v>
      </c>
      <c r="B388" s="37">
        <v>20</v>
      </c>
      <c r="C388" t="str">
        <f>_xlfn.XLOOKUP(B388,'Centro de Custo'!A$2:A$45,'Centro de Custo'!B$2:B$45)</f>
        <v>Desp. ADM</v>
      </c>
      <c r="E388" s="39">
        <v>-166.35</v>
      </c>
      <c r="F388" s="40" t="s">
        <v>10</v>
      </c>
      <c r="G388" s="41">
        <v>45476</v>
      </c>
      <c r="H388" s="42">
        <f>YEAR(Tabela3[[#This Row],[Data]])</f>
        <v>2024</v>
      </c>
      <c r="I388" s="42" t="str">
        <f>_xlfn.XLOOKUP(J388,'Centro de Custo'!J$2:J$13,'Centro de Custo'!K$2:K$13)</f>
        <v>Julho</v>
      </c>
      <c r="J388" s="43">
        <f>MONTH(Tabela3[[#This Row],[Data]])</f>
        <v>7</v>
      </c>
      <c r="K388" s="39">
        <f>SUM(E$3:Tabela3[[#This Row],[Valor]])</f>
        <v>8485.670000000106</v>
      </c>
      <c r="L388" s="40">
        <f t="shared" si="6"/>
        <v>2.22375</v>
      </c>
      <c r="M388" s="40"/>
      <c r="N388" s="40"/>
      <c r="O388" s="40"/>
      <c r="P388" s="39"/>
      <c r="Q388" s="39"/>
      <c r="R388" s="39"/>
      <c r="S388" s="39"/>
      <c r="T388" s="39"/>
      <c r="V388">
        <f>IF(Tabela3[[#This Row],[Pago]]&lt;&gt;"",IF(F389="",Tabela3[[#This Row],[Saldo]],0))</f>
        <v>0</v>
      </c>
    </row>
    <row r="389" spans="1:22" x14ac:dyDescent="0.25">
      <c r="A389" t="s">
        <v>51</v>
      </c>
      <c r="B389" s="37">
        <v>41</v>
      </c>
      <c r="C389" t="str">
        <f>_xlfn.XLOOKUP(B389,'Centro de Custo'!A$2:A$45,'Centro de Custo'!B$2:B$45)</f>
        <v>Resgate Financeiro</v>
      </c>
      <c r="E389" s="39">
        <v>100705.48</v>
      </c>
      <c r="F389" s="40" t="s">
        <v>10</v>
      </c>
      <c r="G389" s="41">
        <v>45477</v>
      </c>
      <c r="H389" s="42">
        <f>YEAR(Tabela3[[#This Row],[Data]])</f>
        <v>2024</v>
      </c>
      <c r="I389" s="42" t="str">
        <f>_xlfn.XLOOKUP(J389,'Centro de Custo'!J$2:J$13,'Centro de Custo'!K$2:K$13)</f>
        <v>Julho</v>
      </c>
      <c r="J389" s="43">
        <f>MONTH(Tabela3[[#This Row],[Data]])</f>
        <v>7</v>
      </c>
      <c r="K389" s="39">
        <f>SUM(E$3:Tabela3[[#This Row],[Valor]])</f>
        <v>109191.1500000001</v>
      </c>
      <c r="L389" s="40">
        <f t="shared" si="6"/>
        <v>2.22375</v>
      </c>
      <c r="M389" s="40"/>
      <c r="N389" s="40"/>
      <c r="O389" s="40"/>
      <c r="P389" s="39"/>
      <c r="Q389" s="39"/>
      <c r="R389" s="39"/>
      <c r="S389" s="39"/>
      <c r="T389" s="39"/>
      <c r="V389">
        <f>IF(Tabela3[[#This Row],[Pago]]&lt;&gt;"",IF(F390="",Tabela3[[#This Row],[Saldo]],0))</f>
        <v>0</v>
      </c>
    </row>
    <row r="390" spans="1:22" x14ac:dyDescent="0.25">
      <c r="A390" t="s">
        <v>134</v>
      </c>
      <c r="B390" s="37">
        <v>13</v>
      </c>
      <c r="C390" t="str">
        <f>_xlfn.XLOOKUP(B390,'Centro de Custo'!A$2:A$45,'Centro de Custo'!B$2:B$45)</f>
        <v>Terceirizados</v>
      </c>
      <c r="E390" s="39">
        <v>-7000</v>
      </c>
      <c r="F390" s="40" t="s">
        <v>10</v>
      </c>
      <c r="G390" s="41">
        <v>45477</v>
      </c>
      <c r="H390" s="42">
        <f>YEAR(Tabela3[[#This Row],[Data]])</f>
        <v>2024</v>
      </c>
      <c r="I390" s="42" t="str">
        <f>_xlfn.XLOOKUP(J390,'Centro de Custo'!J$2:J$13,'Centro de Custo'!K$2:K$13)</f>
        <v>Julho</v>
      </c>
      <c r="J390" s="43">
        <f>MONTH(Tabela3[[#This Row],[Data]])</f>
        <v>7</v>
      </c>
      <c r="K390" s="39">
        <f>SUM(E$3:Tabela3[[#This Row],[Valor]])</f>
        <v>102191.1500000001</v>
      </c>
      <c r="L390" s="40">
        <f t="shared" si="6"/>
        <v>2.22375</v>
      </c>
      <c r="M390" s="40"/>
      <c r="N390" s="40"/>
      <c r="O390" s="40"/>
      <c r="P390" s="39"/>
      <c r="Q390" s="39"/>
      <c r="R390" s="39"/>
      <c r="S390" s="39"/>
      <c r="T390" s="39"/>
      <c r="V390">
        <f>IF(Tabela3[[#This Row],[Pago]]&lt;&gt;"",IF(F391="",Tabela3[[#This Row],[Saldo]],0))</f>
        <v>0</v>
      </c>
    </row>
    <row r="391" spans="1:22" x14ac:dyDescent="0.25">
      <c r="A391" t="s">
        <v>104</v>
      </c>
      <c r="B391" s="37">
        <v>10</v>
      </c>
      <c r="C391" t="str">
        <f>_xlfn.XLOOKUP(B391,'Centro de Custo'!A$2:A$45,'Centro de Custo'!B$2:B$45)</f>
        <v>Retirada Mensal</v>
      </c>
      <c r="E391" s="39">
        <v>-10000</v>
      </c>
      <c r="F391" s="40" t="s">
        <v>10</v>
      </c>
      <c r="G391" s="41">
        <v>45477</v>
      </c>
      <c r="H391" s="42">
        <f>YEAR(Tabela3[[#This Row],[Data]])</f>
        <v>2024</v>
      </c>
      <c r="I391" s="42" t="str">
        <f>_xlfn.XLOOKUP(J391,'Centro de Custo'!J$2:J$13,'Centro de Custo'!K$2:K$13)</f>
        <v>Julho</v>
      </c>
      <c r="J391" s="43">
        <f>MONTH(Tabela3[[#This Row],[Data]])</f>
        <v>7</v>
      </c>
      <c r="K391" s="39">
        <f>SUM(E$3:Tabela3[[#This Row],[Valor]])</f>
        <v>92191.1500000001</v>
      </c>
      <c r="L391" s="40">
        <f t="shared" si="6"/>
        <v>2.22375</v>
      </c>
      <c r="M391" s="40"/>
      <c r="N391" s="40"/>
      <c r="O391" s="40"/>
      <c r="P391" s="39"/>
      <c r="Q391" s="39"/>
      <c r="R391" s="39"/>
      <c r="S391" s="39"/>
      <c r="T391" s="39"/>
      <c r="V391">
        <f>IF(Tabela3[[#This Row],[Pago]]&lt;&gt;"",IF(F392="",Tabela3[[#This Row],[Saldo]],0))</f>
        <v>0</v>
      </c>
    </row>
    <row r="392" spans="1:22" x14ac:dyDescent="0.25">
      <c r="A392" t="s">
        <v>55</v>
      </c>
      <c r="B392" s="37">
        <v>10</v>
      </c>
      <c r="C392" t="str">
        <f>_xlfn.XLOOKUP(B392,'Centro de Custo'!A$2:A$45,'Centro de Custo'!B$2:B$45)</f>
        <v>Retirada Mensal</v>
      </c>
      <c r="E392" s="39">
        <v>-11250</v>
      </c>
      <c r="F392" s="40" t="s">
        <v>10</v>
      </c>
      <c r="G392" s="41">
        <v>45477</v>
      </c>
      <c r="H392" s="42">
        <f>YEAR(Tabela3[[#This Row],[Data]])</f>
        <v>2024</v>
      </c>
      <c r="I392" s="42" t="str">
        <f>_xlfn.XLOOKUP(J392,'Centro de Custo'!J$2:J$13,'Centro de Custo'!K$2:K$13)</f>
        <v>Julho</v>
      </c>
      <c r="J392" s="43">
        <f>MONTH(Tabela3[[#This Row],[Data]])</f>
        <v>7</v>
      </c>
      <c r="K392" s="39">
        <f>SUM(E$3:Tabela3[[#This Row],[Valor]])</f>
        <v>80941.1500000001</v>
      </c>
      <c r="L392" s="40">
        <f t="shared" si="6"/>
        <v>2.22375</v>
      </c>
      <c r="M392" s="40"/>
      <c r="N392" s="40"/>
      <c r="O392" s="40"/>
      <c r="P392" s="39"/>
      <c r="Q392" s="39"/>
      <c r="R392" s="39"/>
      <c r="S392" s="39"/>
      <c r="T392" s="39"/>
      <c r="V392">
        <f>IF(Tabela3[[#This Row],[Pago]]&lt;&gt;"",IF(F393="",Tabela3[[#This Row],[Saldo]],0))</f>
        <v>0</v>
      </c>
    </row>
    <row r="393" spans="1:22" x14ac:dyDescent="0.25">
      <c r="A393" t="s">
        <v>92</v>
      </c>
      <c r="B393" s="37">
        <v>10</v>
      </c>
      <c r="C393" t="str">
        <f>_xlfn.XLOOKUP(B393,'Centro de Custo'!A$2:A$45,'Centro de Custo'!B$2:B$45)</f>
        <v>Retirada Mensal</v>
      </c>
      <c r="E393" s="39">
        <v>-11350</v>
      </c>
      <c r="F393" s="40" t="s">
        <v>10</v>
      </c>
      <c r="G393" s="41">
        <v>45477</v>
      </c>
      <c r="H393" s="42">
        <f>YEAR(Tabela3[[#This Row],[Data]])</f>
        <v>2024</v>
      </c>
      <c r="I393" s="42" t="str">
        <f>_xlfn.XLOOKUP(J393,'Centro de Custo'!J$2:J$13,'Centro de Custo'!K$2:K$13)</f>
        <v>Julho</v>
      </c>
      <c r="J393" s="43">
        <f>MONTH(Tabela3[[#This Row],[Data]])</f>
        <v>7</v>
      </c>
      <c r="K393" s="39">
        <f>SUM(E$3:Tabela3[[#This Row],[Valor]])</f>
        <v>69591.1500000001</v>
      </c>
      <c r="L393" s="40">
        <f t="shared" si="6"/>
        <v>2.22375</v>
      </c>
      <c r="M393" s="40"/>
      <c r="N393" s="40"/>
      <c r="O393" s="40"/>
      <c r="P393" s="39"/>
      <c r="Q393" s="39"/>
      <c r="R393" s="39"/>
      <c r="S393" s="39"/>
      <c r="T393" s="39"/>
      <c r="V393">
        <f>IF(Tabela3[[#This Row],[Pago]]&lt;&gt;"",IF(F394="",Tabela3[[#This Row],[Saldo]],0))</f>
        <v>0</v>
      </c>
    </row>
    <row r="394" spans="1:22" x14ac:dyDescent="0.25">
      <c r="A394" t="s">
        <v>58</v>
      </c>
      <c r="B394" s="37">
        <v>10</v>
      </c>
      <c r="C394" t="str">
        <f>_xlfn.XLOOKUP(B394,'Centro de Custo'!A$2:A$45,'Centro de Custo'!B$2:B$45)</f>
        <v>Retirada Mensal</v>
      </c>
      <c r="E394" s="39">
        <v>-11450</v>
      </c>
      <c r="F394" s="40" t="s">
        <v>10</v>
      </c>
      <c r="G394" s="41">
        <v>45477</v>
      </c>
      <c r="H394" s="42">
        <f>YEAR(Tabela3[[#This Row],[Data]])</f>
        <v>2024</v>
      </c>
      <c r="I394" s="42" t="str">
        <f>_xlfn.XLOOKUP(J394,'Centro de Custo'!J$2:J$13,'Centro de Custo'!K$2:K$13)</f>
        <v>Julho</v>
      </c>
      <c r="J394" s="43">
        <f>MONTH(Tabela3[[#This Row],[Data]])</f>
        <v>7</v>
      </c>
      <c r="K394" s="39">
        <f>SUM(E$3:Tabela3[[#This Row],[Valor]])</f>
        <v>58141.150000000096</v>
      </c>
      <c r="L394" s="40">
        <f t="shared" si="6"/>
        <v>2.22375</v>
      </c>
      <c r="M394" s="40"/>
      <c r="N394" s="40"/>
      <c r="O394" s="40"/>
      <c r="P394" s="39"/>
      <c r="Q394" s="39"/>
      <c r="R394" s="39"/>
      <c r="S394" s="39"/>
      <c r="T394" s="39"/>
      <c r="V394">
        <f>IF(Tabela3[[#This Row],[Pago]]&lt;&gt;"",IF(F395="",Tabela3[[#This Row],[Saldo]],0))</f>
        <v>0</v>
      </c>
    </row>
    <row r="395" spans="1:22" x14ac:dyDescent="0.25">
      <c r="A395" t="s">
        <v>91</v>
      </c>
      <c r="B395" s="37">
        <v>10</v>
      </c>
      <c r="C395" t="str">
        <f>_xlfn.XLOOKUP(B395,'Centro de Custo'!A$2:A$45,'Centro de Custo'!B$2:B$45)</f>
        <v>Retirada Mensal</v>
      </c>
      <c r="E395" s="39">
        <v>-13700</v>
      </c>
      <c r="F395" s="40" t="s">
        <v>10</v>
      </c>
      <c r="G395" s="41">
        <v>45477</v>
      </c>
      <c r="H395" s="42">
        <f>YEAR(Tabela3[[#This Row],[Data]])</f>
        <v>2024</v>
      </c>
      <c r="I395" s="42" t="str">
        <f>_xlfn.XLOOKUP(J395,'Centro de Custo'!J$2:J$13,'Centro de Custo'!K$2:K$13)</f>
        <v>Julho</v>
      </c>
      <c r="J395" s="43">
        <f>MONTH(Tabela3[[#This Row],[Data]])</f>
        <v>7</v>
      </c>
      <c r="K395" s="39">
        <f>SUM(E$3:Tabela3[[#This Row],[Valor]])</f>
        <v>44441.150000000096</v>
      </c>
      <c r="L395" s="40">
        <f t="shared" si="6"/>
        <v>2.22375</v>
      </c>
      <c r="M395" s="40"/>
      <c r="N395" s="40"/>
      <c r="O395" s="40"/>
      <c r="P395" s="39"/>
      <c r="Q395" s="39"/>
      <c r="R395" s="39"/>
      <c r="S395" s="39"/>
      <c r="T395" s="39"/>
      <c r="V395">
        <f>IF(Tabela3[[#This Row],[Pago]]&lt;&gt;"",IF(F396="",Tabela3[[#This Row],[Saldo]],0))</f>
        <v>0</v>
      </c>
    </row>
    <row r="396" spans="1:22" x14ac:dyDescent="0.25">
      <c r="A396" t="s">
        <v>182</v>
      </c>
      <c r="B396" s="37">
        <v>10</v>
      </c>
      <c r="C396" t="str">
        <f>_xlfn.XLOOKUP(B396,'Centro de Custo'!A$2:A$45,'Centro de Custo'!B$2:B$45)</f>
        <v>Retirada Mensal</v>
      </c>
      <c r="E396" s="39">
        <v>-18000</v>
      </c>
      <c r="F396" s="40" t="s">
        <v>10</v>
      </c>
      <c r="G396" s="41">
        <v>45477</v>
      </c>
      <c r="H396" s="42">
        <f>YEAR(Tabela3[[#This Row],[Data]])</f>
        <v>2024</v>
      </c>
      <c r="I396" s="42" t="str">
        <f>_xlfn.XLOOKUP(J396,'Centro de Custo'!J$2:J$13,'Centro de Custo'!K$2:K$13)</f>
        <v>Julho</v>
      </c>
      <c r="J396" s="43">
        <f>MONTH(Tabela3[[#This Row],[Data]])</f>
        <v>7</v>
      </c>
      <c r="K396" s="39">
        <f>SUM(E$3:Tabela3[[#This Row],[Valor]])</f>
        <v>26441.150000000096</v>
      </c>
      <c r="L396" s="40">
        <f t="shared" si="6"/>
        <v>2.22375</v>
      </c>
      <c r="M396" s="40"/>
      <c r="N396" s="40"/>
      <c r="O396" s="40"/>
      <c r="P396" s="39"/>
      <c r="Q396" s="39"/>
      <c r="R396" s="39"/>
      <c r="S396" s="39"/>
      <c r="T396" s="39"/>
      <c r="V396">
        <f>IF(Tabela3[[#This Row],[Pago]]&lt;&gt;"",IF(F397="",Tabela3[[#This Row],[Saldo]],0))</f>
        <v>0</v>
      </c>
    </row>
    <row r="397" spans="1:22" x14ac:dyDescent="0.25">
      <c r="A397" t="s">
        <v>178</v>
      </c>
      <c r="B397" s="37">
        <v>20</v>
      </c>
      <c r="C397" t="str">
        <f>_xlfn.XLOOKUP(B397,'Centro de Custo'!A$2:A$45,'Centro de Custo'!B$2:B$45)</f>
        <v>Desp. ADM</v>
      </c>
      <c r="E397" s="39">
        <v>-139.9</v>
      </c>
      <c r="F397" s="40" t="s">
        <v>10</v>
      </c>
      <c r="G397" s="41">
        <v>45478</v>
      </c>
      <c r="H397" s="42">
        <f>YEAR(Tabela3[[#This Row],[Data]])</f>
        <v>2024</v>
      </c>
      <c r="I397" s="42" t="str">
        <f>_xlfn.XLOOKUP(J397,'Centro de Custo'!J$2:J$13,'Centro de Custo'!K$2:K$13)</f>
        <v>Julho</v>
      </c>
      <c r="J397" s="43">
        <f>MONTH(Tabela3[[#This Row],[Data]])</f>
        <v>7</v>
      </c>
      <c r="K397" s="39">
        <f>SUM(E$3:Tabela3[[#This Row],[Valor]])</f>
        <v>26301.250000000095</v>
      </c>
      <c r="L397" s="40">
        <f t="shared" si="6"/>
        <v>2.22375</v>
      </c>
      <c r="M397" s="40"/>
      <c r="N397" s="40"/>
      <c r="O397" s="40"/>
      <c r="P397" s="39"/>
      <c r="Q397" s="39"/>
      <c r="R397" s="39"/>
      <c r="S397" s="39"/>
      <c r="T397" s="39"/>
      <c r="V397">
        <f>IF(Tabela3[[#This Row],[Pago]]&lt;&gt;"",IF(F398="",Tabela3[[#This Row],[Saldo]],0))</f>
        <v>0</v>
      </c>
    </row>
    <row r="398" spans="1:22" x14ac:dyDescent="0.25">
      <c r="A398" t="s">
        <v>215</v>
      </c>
      <c r="B398" s="37">
        <v>20</v>
      </c>
      <c r="C398" t="str">
        <f>_xlfn.XLOOKUP(B398,'Centro de Custo'!A$2:A$45,'Centro de Custo'!B$2:B$45)</f>
        <v>Desp. ADM</v>
      </c>
      <c r="E398" s="39">
        <v>-311</v>
      </c>
      <c r="F398" s="40" t="s">
        <v>10</v>
      </c>
      <c r="G398" s="41">
        <v>45478</v>
      </c>
      <c r="H398" s="42">
        <f>YEAR(Tabela3[[#This Row],[Data]])</f>
        <v>2024</v>
      </c>
      <c r="I398" s="42" t="str">
        <f>_xlfn.XLOOKUP(J398,'Centro de Custo'!J$2:J$13,'Centro de Custo'!K$2:K$13)</f>
        <v>Julho</v>
      </c>
      <c r="J398" s="43">
        <f>MONTH(Tabela3[[#This Row],[Data]])</f>
        <v>7</v>
      </c>
      <c r="K398" s="39">
        <f>SUM(E$3:Tabela3[[#This Row],[Valor]])</f>
        <v>25990.250000000095</v>
      </c>
      <c r="L398" s="40">
        <f t="shared" si="6"/>
        <v>2.22375</v>
      </c>
      <c r="M398" s="40"/>
      <c r="N398" s="40"/>
      <c r="O398" s="40"/>
      <c r="P398" s="39"/>
      <c r="Q398" s="39"/>
      <c r="R398" s="39"/>
      <c r="S398" s="39"/>
      <c r="T398" s="39"/>
      <c r="V398">
        <f>IF(Tabela3[[#This Row],[Pago]]&lt;&gt;"",IF(F399="",Tabela3[[#This Row],[Saldo]],0))</f>
        <v>0</v>
      </c>
    </row>
    <row r="399" spans="1:22" x14ac:dyDescent="0.25">
      <c r="A399" t="s">
        <v>243</v>
      </c>
      <c r="B399" s="37">
        <v>20</v>
      </c>
      <c r="C399" t="str">
        <f>_xlfn.XLOOKUP(B399,'Centro de Custo'!A$2:A$45,'Centro de Custo'!B$2:B$45)</f>
        <v>Desp. ADM</v>
      </c>
      <c r="E399" s="39">
        <v>-313.38</v>
      </c>
      <c r="F399" s="40" t="s">
        <v>10</v>
      </c>
      <c r="G399" s="41">
        <v>45478</v>
      </c>
      <c r="H399" s="42">
        <f>YEAR(Tabela3[[#This Row],[Data]])</f>
        <v>2024</v>
      </c>
      <c r="I399" s="42" t="str">
        <f>_xlfn.XLOOKUP(J399,'Centro de Custo'!J$2:J$13,'Centro de Custo'!K$2:K$13)</f>
        <v>Julho</v>
      </c>
      <c r="J399" s="43">
        <f>MONTH(Tabela3[[#This Row],[Data]])</f>
        <v>7</v>
      </c>
      <c r="K399" s="39">
        <f>SUM(E$3:Tabela3[[#This Row],[Valor]])</f>
        <v>25676.870000000094</v>
      </c>
      <c r="L399" s="40">
        <f t="shared" si="6"/>
        <v>2.22375</v>
      </c>
      <c r="M399" s="40"/>
      <c r="N399" s="40"/>
      <c r="O399" s="40"/>
      <c r="P399" s="39"/>
      <c r="Q399" s="39"/>
      <c r="R399" s="39"/>
      <c r="S399" s="39"/>
      <c r="T399" s="39"/>
      <c r="V399">
        <f>IF(Tabela3[[#This Row],[Pago]]&lt;&gt;"",IF(F400="",Tabela3[[#This Row],[Saldo]],0))</f>
        <v>0</v>
      </c>
    </row>
    <row r="400" spans="1:22" x14ac:dyDescent="0.25">
      <c r="A400" t="s">
        <v>167</v>
      </c>
      <c r="B400" s="37">
        <v>20</v>
      </c>
      <c r="C400" t="str">
        <f>_xlfn.XLOOKUP(B400,'Centro de Custo'!A$2:A$45,'Centro de Custo'!B$2:B$45)</f>
        <v>Desp. ADM</v>
      </c>
      <c r="E400" s="39">
        <v>-440.69</v>
      </c>
      <c r="F400" s="40" t="s">
        <v>10</v>
      </c>
      <c r="G400" s="41">
        <v>45478</v>
      </c>
      <c r="H400" s="42">
        <f>YEAR(Tabela3[[#This Row],[Data]])</f>
        <v>2024</v>
      </c>
      <c r="I400" s="42" t="str">
        <f>_xlfn.XLOOKUP(J400,'Centro de Custo'!J$2:J$13,'Centro de Custo'!K$2:K$13)</f>
        <v>Julho</v>
      </c>
      <c r="J400" s="43">
        <f>MONTH(Tabela3[[#This Row],[Data]])</f>
        <v>7</v>
      </c>
      <c r="K400" s="39">
        <f>SUM(E$3:Tabela3[[#This Row],[Valor]])</f>
        <v>25236.180000000095</v>
      </c>
      <c r="L400" s="40">
        <f t="shared" si="6"/>
        <v>2.22375</v>
      </c>
      <c r="M400" s="40"/>
      <c r="N400" s="40"/>
      <c r="O400" s="40"/>
      <c r="P400" s="39"/>
      <c r="Q400" s="39"/>
      <c r="R400" s="39"/>
      <c r="S400" s="39"/>
      <c r="T400" s="39"/>
      <c r="V400">
        <f>IF(Tabela3[[#This Row],[Pago]]&lt;&gt;"",IF(F401="",Tabela3[[#This Row],[Saldo]],0))</f>
        <v>0</v>
      </c>
    </row>
    <row r="401" spans="1:22" x14ac:dyDescent="0.25">
      <c r="A401" t="s">
        <v>244</v>
      </c>
      <c r="B401" s="37">
        <v>13</v>
      </c>
      <c r="C401" t="str">
        <f>_xlfn.XLOOKUP(B401,'Centro de Custo'!A$2:A$45,'Centro de Custo'!B$2:B$45)</f>
        <v>Terceirizados</v>
      </c>
      <c r="E401" s="39">
        <v>-526.16</v>
      </c>
      <c r="F401" s="40" t="s">
        <v>10</v>
      </c>
      <c r="G401" s="41">
        <v>45478</v>
      </c>
      <c r="H401" s="42">
        <f>YEAR(Tabela3[[#This Row],[Data]])</f>
        <v>2024</v>
      </c>
      <c r="I401" s="42" t="str">
        <f>_xlfn.XLOOKUP(J401,'Centro de Custo'!J$2:J$13,'Centro de Custo'!K$2:K$13)</f>
        <v>Julho</v>
      </c>
      <c r="J401" s="43">
        <f>MONTH(Tabela3[[#This Row],[Data]])</f>
        <v>7</v>
      </c>
      <c r="K401" s="39">
        <f>SUM(E$3:Tabela3[[#This Row],[Valor]])</f>
        <v>24710.020000000095</v>
      </c>
      <c r="L401" s="40">
        <f t="shared" si="6"/>
        <v>2.22375</v>
      </c>
      <c r="M401" s="40"/>
      <c r="N401" s="40"/>
      <c r="O401" s="40"/>
      <c r="P401" s="39"/>
      <c r="Q401" s="39"/>
      <c r="R401" s="39"/>
      <c r="S401" s="39"/>
      <c r="T401" s="39"/>
      <c r="V401">
        <f>IF(Tabela3[[#This Row],[Pago]]&lt;&gt;"",IF(F402="",Tabela3[[#This Row],[Saldo]],0))</f>
        <v>0</v>
      </c>
    </row>
    <row r="402" spans="1:22" x14ac:dyDescent="0.25">
      <c r="A402" t="s">
        <v>231</v>
      </c>
      <c r="B402" s="37">
        <v>10</v>
      </c>
      <c r="C402" t="str">
        <f>_xlfn.XLOOKUP(B402,'Centro de Custo'!A$2:A$45,'Centro de Custo'!B$2:B$45)</f>
        <v>Retirada Mensal</v>
      </c>
      <c r="E402" s="39">
        <v>-1484.13</v>
      </c>
      <c r="F402" s="40" t="s">
        <v>10</v>
      </c>
      <c r="G402" s="41">
        <v>45478</v>
      </c>
      <c r="H402" s="42">
        <f>YEAR(Tabela3[[#This Row],[Data]])</f>
        <v>2024</v>
      </c>
      <c r="I402" s="42" t="str">
        <f>_xlfn.XLOOKUP(J402,'Centro de Custo'!J$2:J$13,'Centro de Custo'!K$2:K$13)</f>
        <v>Julho</v>
      </c>
      <c r="J402" s="43">
        <f>MONTH(Tabela3[[#This Row],[Data]])</f>
        <v>7</v>
      </c>
      <c r="K402" s="39">
        <f>SUM(E$3:Tabela3[[#This Row],[Valor]])</f>
        <v>23225.890000000094</v>
      </c>
      <c r="L402" s="40">
        <f t="shared" si="6"/>
        <v>2.22375</v>
      </c>
      <c r="M402" s="40"/>
      <c r="N402" s="40"/>
      <c r="O402" s="40"/>
      <c r="P402" s="39"/>
      <c r="Q402" s="39"/>
      <c r="R402" s="39"/>
      <c r="S402" s="39"/>
      <c r="T402" s="39"/>
      <c r="V402">
        <f>IF(Tabela3[[#This Row],[Pago]]&lt;&gt;"",IF(F403="",Tabela3[[#This Row],[Saldo]],0))</f>
        <v>0</v>
      </c>
    </row>
    <row r="403" spans="1:22" x14ac:dyDescent="0.25">
      <c r="A403" t="s">
        <v>190</v>
      </c>
      <c r="B403" s="37">
        <v>13</v>
      </c>
      <c r="C403" t="str">
        <f>_xlfn.XLOOKUP(B403,'Centro de Custo'!A$2:A$45,'Centro de Custo'!B$2:B$45)</f>
        <v>Terceirizados</v>
      </c>
      <c r="E403" s="39">
        <v>-4886.44</v>
      </c>
      <c r="F403" s="40" t="s">
        <v>10</v>
      </c>
      <c r="G403" s="41">
        <v>45478</v>
      </c>
      <c r="H403" s="42">
        <f>YEAR(Tabela3[[#This Row],[Data]])</f>
        <v>2024</v>
      </c>
      <c r="I403" s="42" t="str">
        <f>_xlfn.XLOOKUP(J403,'Centro de Custo'!J$2:J$13,'Centro de Custo'!K$2:K$13)</f>
        <v>Julho</v>
      </c>
      <c r="J403" s="43">
        <f>MONTH(Tabela3[[#This Row],[Data]])</f>
        <v>7</v>
      </c>
      <c r="K403" s="39">
        <f>SUM(E$3:Tabela3[[#This Row],[Valor]])</f>
        <v>18339.450000000095</v>
      </c>
      <c r="L403" s="40">
        <f t="shared" si="6"/>
        <v>2.22375</v>
      </c>
      <c r="M403" s="40"/>
      <c r="N403" s="40"/>
      <c r="O403" s="40"/>
      <c r="P403" s="39"/>
      <c r="Q403" s="39"/>
      <c r="R403" s="39"/>
      <c r="S403" s="39"/>
      <c r="T403" s="39"/>
      <c r="V403">
        <f>IF(Tabela3[[#This Row],[Pago]]&lt;&gt;"",IF(F404="",Tabela3[[#This Row],[Saldo]],0))</f>
        <v>0</v>
      </c>
    </row>
    <row r="404" spans="1:22" x14ac:dyDescent="0.25">
      <c r="A404" t="s">
        <v>245</v>
      </c>
      <c r="B404" s="37">
        <v>30</v>
      </c>
      <c r="C404" t="str">
        <f>_xlfn.XLOOKUP(B404,'Centro de Custo'!A$2:A$45,'Centro de Custo'!B$2:B$45)</f>
        <v>Impostos</v>
      </c>
      <c r="E404" s="39">
        <v>-100.4</v>
      </c>
      <c r="F404" s="40" t="s">
        <v>10</v>
      </c>
      <c r="G404" s="41">
        <v>45485</v>
      </c>
      <c r="H404" s="42">
        <f>YEAR(Tabela3[[#This Row],[Data]])</f>
        <v>2024</v>
      </c>
      <c r="I404" s="42" t="str">
        <f>_xlfn.XLOOKUP(J404,'Centro de Custo'!J$2:J$13,'Centro de Custo'!K$2:K$13)</f>
        <v>Julho</v>
      </c>
      <c r="J404" s="43">
        <f>MONTH(Tabela3[[#This Row],[Data]])</f>
        <v>7</v>
      </c>
      <c r="K404" s="39">
        <f>SUM(E$3:Tabela3[[#This Row],[Valor]])</f>
        <v>18239.050000000094</v>
      </c>
      <c r="L404" s="40">
        <f t="shared" si="6"/>
        <v>2.22375</v>
      </c>
      <c r="M404" s="40"/>
      <c r="N404" s="40"/>
      <c r="O404" s="40"/>
      <c r="P404" s="39"/>
      <c r="Q404" s="39"/>
      <c r="R404" s="39"/>
      <c r="S404" s="39"/>
      <c r="T404" s="39"/>
      <c r="V404">
        <f>IF(Tabela3[[#This Row],[Pago]]&lt;&gt;"",IF(F405="",Tabela3[[#This Row],[Saldo]],0))</f>
        <v>0</v>
      </c>
    </row>
    <row r="405" spans="1:22" x14ac:dyDescent="0.25">
      <c r="A405" t="s">
        <v>205</v>
      </c>
      <c r="B405" s="37">
        <v>20</v>
      </c>
      <c r="C405" t="str">
        <f>_xlfn.XLOOKUP(B405,'Centro de Custo'!A$2:A$45,'Centro de Custo'!B$2:B$45)</f>
        <v>Desp. ADM</v>
      </c>
      <c r="E405" s="39">
        <v>-658.7</v>
      </c>
      <c r="F405" s="40" t="s">
        <v>10</v>
      </c>
      <c r="G405" s="41">
        <v>45485</v>
      </c>
      <c r="H405" s="42">
        <f>YEAR(Tabela3[[#This Row],[Data]])</f>
        <v>2024</v>
      </c>
      <c r="I405" s="42" t="str">
        <f>_xlfn.XLOOKUP(J405,'Centro de Custo'!J$2:J$13,'Centro de Custo'!K$2:K$13)</f>
        <v>Julho</v>
      </c>
      <c r="J405" s="43">
        <f>MONTH(Tabela3[[#This Row],[Data]])</f>
        <v>7</v>
      </c>
      <c r="K405" s="39">
        <f>SUM(E$3:Tabela3[[#This Row],[Valor]])</f>
        <v>17580.350000000093</v>
      </c>
      <c r="L405" s="40">
        <f t="shared" si="6"/>
        <v>2.22375</v>
      </c>
      <c r="M405" s="40"/>
      <c r="N405" s="40"/>
      <c r="O405" s="40"/>
      <c r="P405" s="39"/>
      <c r="Q405" s="39"/>
      <c r="R405" s="39"/>
      <c r="S405" s="39"/>
      <c r="T405" s="39"/>
      <c r="V405">
        <f>IF(Tabela3[[#This Row],[Pago]]&lt;&gt;"",IF(F406="",Tabela3[[#This Row],[Saldo]],0))</f>
        <v>0</v>
      </c>
    </row>
    <row r="406" spans="1:22" x14ac:dyDescent="0.25">
      <c r="A406" t="s">
        <v>246</v>
      </c>
      <c r="B406" s="37">
        <v>13</v>
      </c>
      <c r="C406" t="str">
        <f>_xlfn.XLOOKUP(B406,'Centro de Custo'!A$2:A$45,'Centro de Custo'!B$2:B$45)</f>
        <v>Terceirizados</v>
      </c>
      <c r="E406" s="39">
        <v>-4500</v>
      </c>
      <c r="F406" s="40" t="s">
        <v>10</v>
      </c>
      <c r="G406" s="41">
        <v>45485</v>
      </c>
      <c r="H406" s="42">
        <f>YEAR(Tabela3[[#This Row],[Data]])</f>
        <v>2024</v>
      </c>
      <c r="I406" s="42" t="str">
        <f>_xlfn.XLOOKUP(J406,'Centro de Custo'!J$2:J$13,'Centro de Custo'!K$2:K$13)</f>
        <v>Julho</v>
      </c>
      <c r="J406" s="43">
        <f>MONTH(Tabela3[[#This Row],[Data]])</f>
        <v>7</v>
      </c>
      <c r="K406" s="39">
        <f>SUM(E$3:Tabela3[[#This Row],[Valor]])</f>
        <v>13080.350000000093</v>
      </c>
      <c r="L406" s="40">
        <f t="shared" si="6"/>
        <v>2.22375</v>
      </c>
      <c r="M406" s="40"/>
      <c r="N406" s="40"/>
      <c r="O406" s="40"/>
      <c r="P406" s="39"/>
      <c r="Q406" s="39"/>
      <c r="R406" s="39"/>
      <c r="S406" s="39"/>
      <c r="T406" s="39"/>
      <c r="V406">
        <f>IF(Tabela3[[#This Row],[Pago]]&lt;&gt;"",IF(F407="",Tabela3[[#This Row],[Saldo]],0))</f>
        <v>0</v>
      </c>
    </row>
    <row r="407" spans="1:22" x14ac:dyDescent="0.25">
      <c r="A407" t="s">
        <v>247</v>
      </c>
      <c r="B407" s="37">
        <v>30</v>
      </c>
      <c r="C407" t="str">
        <f>_xlfn.XLOOKUP(B407,'Centro de Custo'!A$2:A$45,'Centro de Custo'!B$2:B$45)</f>
        <v>Impostos</v>
      </c>
      <c r="E407" s="39">
        <v>-100.4</v>
      </c>
      <c r="F407" s="40" t="s">
        <v>10</v>
      </c>
      <c r="G407" s="41">
        <v>45490</v>
      </c>
      <c r="H407" s="42">
        <f>YEAR(Tabela3[[#This Row],[Data]])</f>
        <v>2024</v>
      </c>
      <c r="I407" s="42" t="str">
        <f>_xlfn.XLOOKUP(J407,'Centro de Custo'!J$2:J$13,'Centro de Custo'!K$2:K$13)</f>
        <v>Julho</v>
      </c>
      <c r="J407" s="43">
        <f>MONTH(Tabela3[[#This Row],[Data]])</f>
        <v>7</v>
      </c>
      <c r="K407" s="39">
        <f>SUM(E$3:Tabela3[[#This Row],[Valor]])</f>
        <v>12979.950000000093</v>
      </c>
      <c r="L407" s="40">
        <f t="shared" si="6"/>
        <v>2.22375</v>
      </c>
      <c r="M407" s="40"/>
      <c r="N407" s="40"/>
      <c r="O407" s="40"/>
      <c r="P407" s="39"/>
      <c r="Q407" s="39"/>
      <c r="R407" s="39"/>
      <c r="S407" s="39"/>
      <c r="T407" s="39"/>
      <c r="V407">
        <f>IF(Tabela3[[#This Row],[Pago]]&lt;&gt;"",IF(F408="",Tabela3[[#This Row],[Saldo]],0))</f>
        <v>0</v>
      </c>
    </row>
    <row r="408" spans="1:22" x14ac:dyDescent="0.25">
      <c r="A408" t="s">
        <v>171</v>
      </c>
      <c r="B408" s="37">
        <v>20</v>
      </c>
      <c r="C408" t="str">
        <f>_xlfn.XLOOKUP(B408,'Centro de Custo'!A$2:A$45,'Centro de Custo'!B$2:B$45)</f>
        <v>Desp. ADM</v>
      </c>
      <c r="E408" s="39">
        <v>-100.99</v>
      </c>
      <c r="F408" s="40" t="s">
        <v>10</v>
      </c>
      <c r="G408" s="41">
        <v>45490</v>
      </c>
      <c r="H408" s="42">
        <f>YEAR(Tabela3[[#This Row],[Data]])</f>
        <v>2024</v>
      </c>
      <c r="I408" s="42" t="str">
        <f>_xlfn.XLOOKUP(J408,'Centro de Custo'!J$2:J$13,'Centro de Custo'!K$2:K$13)</f>
        <v>Julho</v>
      </c>
      <c r="J408" s="43">
        <f>MONTH(Tabela3[[#This Row],[Data]])</f>
        <v>7</v>
      </c>
      <c r="K408" s="39">
        <f>SUM(E$3:Tabela3[[#This Row],[Valor]])</f>
        <v>12878.960000000094</v>
      </c>
      <c r="L408" s="40">
        <f t="shared" si="6"/>
        <v>2.22375</v>
      </c>
      <c r="M408" s="40"/>
      <c r="N408" s="40"/>
      <c r="O408" s="40"/>
      <c r="P408" s="39"/>
      <c r="Q408" s="39"/>
      <c r="R408" s="39"/>
      <c r="S408" s="39"/>
      <c r="T408" s="39"/>
      <c r="V408">
        <f>IF(Tabela3[[#This Row],[Pago]]&lt;&gt;"",IF(F409="",Tabela3[[#This Row],[Saldo]],0))</f>
        <v>0</v>
      </c>
    </row>
    <row r="409" spans="1:22" x14ac:dyDescent="0.25">
      <c r="A409" t="s">
        <v>248</v>
      </c>
      <c r="B409" s="37">
        <v>16</v>
      </c>
      <c r="C409" t="str">
        <f>_xlfn.XLOOKUP(B409,'Centro de Custo'!A$2:A$45,'Centro de Custo'!B$2:B$45)</f>
        <v>Gráfica</v>
      </c>
      <c r="E409" s="39">
        <v>-5270</v>
      </c>
      <c r="F409" s="40" t="s">
        <v>10</v>
      </c>
      <c r="G409" s="41">
        <v>45495</v>
      </c>
      <c r="H409" s="42">
        <f>YEAR(Tabela3[[#This Row],[Data]])</f>
        <v>2024</v>
      </c>
      <c r="I409" s="42" t="str">
        <f>_xlfn.XLOOKUP(J409,'Centro de Custo'!J$2:J$13,'Centro de Custo'!K$2:K$13)</f>
        <v>Julho</v>
      </c>
      <c r="J409" s="43">
        <f>MONTH(Tabela3[[#This Row],[Data]])</f>
        <v>7</v>
      </c>
      <c r="K409" s="39">
        <f>SUM(E$3:Tabela3[[#This Row],[Valor]])</f>
        <v>7608.960000000094</v>
      </c>
      <c r="L409" s="40">
        <f t="shared" si="6"/>
        <v>2.22375</v>
      </c>
      <c r="M409" s="40"/>
      <c r="N409" s="40"/>
      <c r="O409" s="40"/>
      <c r="P409" s="39"/>
      <c r="Q409" s="39"/>
      <c r="R409" s="39"/>
      <c r="S409" s="39"/>
      <c r="T409" s="39"/>
      <c r="V409">
        <f>IF(Tabela3[[#This Row],[Pago]]&lt;&gt;"",IF(F410="",Tabela3[[#This Row],[Saldo]],0))</f>
        <v>0</v>
      </c>
    </row>
    <row r="410" spans="1:22" x14ac:dyDescent="0.25">
      <c r="A410" t="s">
        <v>224</v>
      </c>
      <c r="B410" s="37">
        <v>20</v>
      </c>
      <c r="C410" t="str">
        <f>_xlfn.XLOOKUP(B410,'Centro de Custo'!A$2:A$45,'Centro de Custo'!B$2:B$45)</f>
        <v>Desp. ADM</v>
      </c>
      <c r="E410" s="39">
        <v>-25.84</v>
      </c>
      <c r="F410" s="40" t="s">
        <v>10</v>
      </c>
      <c r="G410" s="41">
        <v>45498</v>
      </c>
      <c r="H410" s="42">
        <f>YEAR(Tabela3[[#This Row],[Data]])</f>
        <v>2024</v>
      </c>
      <c r="I410" s="42" t="str">
        <f>_xlfn.XLOOKUP(J410,'Centro de Custo'!J$2:J$13,'Centro de Custo'!K$2:K$13)</f>
        <v>Julho</v>
      </c>
      <c r="J410" s="43">
        <f>MONTH(Tabela3[[#This Row],[Data]])</f>
        <v>7</v>
      </c>
      <c r="K410" s="39">
        <f>SUM(E$3:Tabela3[[#This Row],[Valor]])</f>
        <v>7583.120000000094</v>
      </c>
      <c r="L410" s="40">
        <f t="shared" si="6"/>
        <v>2.22375</v>
      </c>
      <c r="M410" s="40"/>
      <c r="N410" s="40"/>
      <c r="O410" s="40"/>
      <c r="P410" s="39"/>
      <c r="Q410" s="39"/>
      <c r="R410" s="39"/>
      <c r="S410" s="39"/>
      <c r="T410" s="39"/>
      <c r="V410">
        <f>IF(Tabela3[[#This Row],[Pago]]&lt;&gt;"",IF(F411="",Tabela3[[#This Row],[Saldo]],0))</f>
        <v>0</v>
      </c>
    </row>
    <row r="411" spans="1:22" x14ac:dyDescent="0.25">
      <c r="A411" t="s">
        <v>244</v>
      </c>
      <c r="B411" s="37">
        <v>13</v>
      </c>
      <c r="C411" t="str">
        <f>_xlfn.XLOOKUP(B411,'Centro de Custo'!A$2:A$45,'Centro de Custo'!B$2:B$45)</f>
        <v>Terceirizados</v>
      </c>
      <c r="E411" s="39">
        <v>-500</v>
      </c>
      <c r="F411" s="40" t="s">
        <v>10</v>
      </c>
      <c r="G411" s="41">
        <v>45498</v>
      </c>
      <c r="H411" s="42">
        <f>YEAR(Tabela3[[#This Row],[Data]])</f>
        <v>2024</v>
      </c>
      <c r="I411" s="42" t="str">
        <f>_xlfn.XLOOKUP(J411,'Centro de Custo'!J$2:J$13,'Centro de Custo'!K$2:K$13)</f>
        <v>Julho</v>
      </c>
      <c r="J411" s="43">
        <f>MONTH(Tabela3[[#This Row],[Data]])</f>
        <v>7</v>
      </c>
      <c r="K411" s="39">
        <f>SUM(E$3:Tabela3[[#This Row],[Valor]])</f>
        <v>7083.120000000094</v>
      </c>
      <c r="L411" s="40">
        <f t="shared" si="6"/>
        <v>2.22375</v>
      </c>
      <c r="M411" s="40"/>
      <c r="N411" s="40"/>
      <c r="O411" s="40"/>
      <c r="P411" s="39"/>
      <c r="Q411" s="39"/>
      <c r="R411" s="39"/>
      <c r="S411" s="39"/>
      <c r="T411" s="39"/>
      <c r="V411">
        <f>IF(Tabela3[[#This Row],[Pago]]&lt;&gt;"",IF(F412="",Tabela3[[#This Row],[Saldo]],0))</f>
        <v>0</v>
      </c>
    </row>
    <row r="412" spans="1:22" x14ac:dyDescent="0.25">
      <c r="A412" t="s">
        <v>249</v>
      </c>
      <c r="B412" s="37">
        <v>22</v>
      </c>
      <c r="C412" t="str">
        <f>_xlfn.XLOOKUP(B412,'Centro de Custo'!A$2:A$45,'Centro de Custo'!B$2:B$45)</f>
        <v>Doação</v>
      </c>
      <c r="E412" s="39">
        <v>-2850</v>
      </c>
      <c r="F412" s="40" t="s">
        <v>10</v>
      </c>
      <c r="G412" s="41">
        <v>45502</v>
      </c>
      <c r="H412" s="42">
        <f>YEAR(Tabela3[[#This Row],[Data]])</f>
        <v>2024</v>
      </c>
      <c r="I412" s="42" t="str">
        <f>_xlfn.XLOOKUP(J412,'Centro de Custo'!J$2:J$13,'Centro de Custo'!K$2:K$13)</f>
        <v>Julho</v>
      </c>
      <c r="J412" s="43">
        <f>MONTH(Tabela3[[#This Row],[Data]])</f>
        <v>7</v>
      </c>
      <c r="K412" s="39">
        <f>SUM(E$3:Tabela3[[#This Row],[Valor]])</f>
        <v>4233.120000000094</v>
      </c>
      <c r="L412" s="40">
        <f t="shared" si="6"/>
        <v>2.22375</v>
      </c>
      <c r="M412" s="40"/>
      <c r="N412" s="40"/>
      <c r="O412" s="40"/>
      <c r="P412" s="39"/>
      <c r="Q412" s="39"/>
      <c r="R412" s="39"/>
      <c r="S412" s="39"/>
      <c r="T412" s="39"/>
      <c r="V412">
        <f>IF(Tabela3[[#This Row],[Pago]]&lt;&gt;"",IF(F413="",Tabela3[[#This Row],[Saldo]],0))</f>
        <v>0</v>
      </c>
    </row>
    <row r="413" spans="1:22" x14ac:dyDescent="0.25">
      <c r="A413" t="s">
        <v>51</v>
      </c>
      <c r="B413" s="37">
        <v>41</v>
      </c>
      <c r="C413" t="str">
        <f>_xlfn.XLOOKUP(B413,'Centro de Custo'!A$2:A$45,'Centro de Custo'!B$2:B$45)</f>
        <v>Resgate Financeiro</v>
      </c>
      <c r="E413" s="39">
        <v>400152.18</v>
      </c>
      <c r="F413" s="40" t="s">
        <v>10</v>
      </c>
      <c r="G413" s="41">
        <v>45504</v>
      </c>
      <c r="H413" s="42">
        <f>YEAR(Tabela3[[#This Row],[Data]])</f>
        <v>2024</v>
      </c>
      <c r="I413" s="42" t="str">
        <f>_xlfn.XLOOKUP(J413,'Centro de Custo'!J$2:J$13,'Centro de Custo'!K$2:K$13)</f>
        <v>Julho</v>
      </c>
      <c r="J413" s="43">
        <f>MONTH(Tabela3[[#This Row],[Data]])</f>
        <v>7</v>
      </c>
      <c r="K413" s="39">
        <f>SUM(E$3:Tabela3[[#This Row],[Valor]])</f>
        <v>404385.3000000001</v>
      </c>
      <c r="L413" s="40">
        <f t="shared" si="6"/>
        <v>2.22375</v>
      </c>
      <c r="M413" s="40"/>
      <c r="N413" s="40"/>
      <c r="O413" s="40"/>
      <c r="P413" s="39"/>
      <c r="Q413" s="39"/>
      <c r="R413" s="39"/>
      <c r="S413" s="39"/>
      <c r="T413" s="39"/>
      <c r="V413">
        <f>IF(Tabela3[[#This Row],[Pago]]&lt;&gt;"",IF(F414="",Tabela3[[#This Row],[Saldo]],0))</f>
        <v>0</v>
      </c>
    </row>
    <row r="414" spans="1:22" x14ac:dyDescent="0.25">
      <c r="A414" t="s">
        <v>250</v>
      </c>
      <c r="B414" s="37">
        <v>30</v>
      </c>
      <c r="C414" t="str">
        <f>_xlfn.XLOOKUP(B414,'Centro de Custo'!A$2:A$45,'Centro de Custo'!B$2:B$45)</f>
        <v>Impostos</v>
      </c>
      <c r="E414" s="39">
        <v>-858.88</v>
      </c>
      <c r="F414" s="40" t="s">
        <v>10</v>
      </c>
      <c r="G414" s="41">
        <v>45504</v>
      </c>
      <c r="H414" s="42">
        <f>YEAR(Tabela3[[#This Row],[Data]])</f>
        <v>2024</v>
      </c>
      <c r="I414" s="42" t="str">
        <f>_xlfn.XLOOKUP(J414,'Centro de Custo'!J$2:J$13,'Centro de Custo'!K$2:K$13)</f>
        <v>Julho</v>
      </c>
      <c r="J414" s="43">
        <f>MONTH(Tabela3[[#This Row],[Data]])</f>
        <v>7</v>
      </c>
      <c r="K414" s="39">
        <f>SUM(E$3:Tabela3[[#This Row],[Valor]])</f>
        <v>403526.4200000001</v>
      </c>
      <c r="L414" s="40">
        <f t="shared" si="6"/>
        <v>2.22375</v>
      </c>
      <c r="M414" s="40"/>
      <c r="N414" s="40"/>
      <c r="O414" s="40"/>
      <c r="P414" s="39"/>
      <c r="Q414" s="39"/>
      <c r="R414" s="39"/>
      <c r="S414" s="39"/>
      <c r="T414" s="39"/>
      <c r="V414">
        <f>IF(Tabela3[[#This Row],[Pago]]&lt;&gt;"",IF(F415="",Tabela3[[#This Row],[Saldo]],0))</f>
        <v>0</v>
      </c>
    </row>
    <row r="415" spans="1:22" x14ac:dyDescent="0.25">
      <c r="A415" t="s">
        <v>251</v>
      </c>
      <c r="B415" s="37">
        <v>13</v>
      </c>
      <c r="C415" t="str">
        <f>_xlfn.XLOOKUP(B415,'Centro de Custo'!A$2:A$45,'Centro de Custo'!B$2:B$45)</f>
        <v>Terceirizados</v>
      </c>
      <c r="E415" s="39">
        <v>-1000</v>
      </c>
      <c r="F415" s="40" t="s">
        <v>10</v>
      </c>
      <c r="G415" s="41">
        <v>45504</v>
      </c>
      <c r="H415" s="42">
        <f>YEAR(Tabela3[[#This Row],[Data]])</f>
        <v>2024</v>
      </c>
      <c r="I415" s="42" t="str">
        <f>_xlfn.XLOOKUP(J415,'Centro de Custo'!J$2:J$13,'Centro de Custo'!K$2:K$13)</f>
        <v>Julho</v>
      </c>
      <c r="J415" s="43">
        <f>MONTH(Tabela3[[#This Row],[Data]])</f>
        <v>7</v>
      </c>
      <c r="K415" s="39">
        <f>SUM(E$3:Tabela3[[#This Row],[Valor]])</f>
        <v>402526.4200000001</v>
      </c>
      <c r="L415" s="40">
        <f t="shared" si="6"/>
        <v>2.22375</v>
      </c>
      <c r="M415" s="40"/>
      <c r="N415" s="40"/>
      <c r="O415" s="40"/>
      <c r="P415" s="39"/>
      <c r="Q415" s="39"/>
      <c r="R415" s="39"/>
      <c r="S415" s="39"/>
      <c r="T415" s="39"/>
      <c r="V415">
        <f>IF(Tabela3[[#This Row],[Pago]]&lt;&gt;"",IF(F416="",Tabela3[[#This Row],[Saldo]],0))</f>
        <v>0</v>
      </c>
    </row>
    <row r="416" spans="1:22" x14ac:dyDescent="0.25">
      <c r="A416" t="s">
        <v>252</v>
      </c>
      <c r="B416" s="37">
        <v>20</v>
      </c>
      <c r="C416" t="str">
        <f>_xlfn.XLOOKUP(B416,'Centro de Custo'!A$2:A$45,'Centro de Custo'!B$2:B$45)</f>
        <v>Desp. ADM</v>
      </c>
      <c r="E416" s="39">
        <v>-1000</v>
      </c>
      <c r="F416" s="40" t="s">
        <v>10</v>
      </c>
      <c r="G416" s="41">
        <v>45504</v>
      </c>
      <c r="H416" s="42">
        <f>YEAR(Tabela3[[#This Row],[Data]])</f>
        <v>2024</v>
      </c>
      <c r="I416" s="42" t="str">
        <f>_xlfn.XLOOKUP(J416,'Centro de Custo'!J$2:J$13,'Centro de Custo'!K$2:K$13)</f>
        <v>Julho</v>
      </c>
      <c r="J416" s="43">
        <f>MONTH(Tabela3[[#This Row],[Data]])</f>
        <v>7</v>
      </c>
      <c r="K416" s="39">
        <f>SUM(E$3:Tabela3[[#This Row],[Valor]])</f>
        <v>401526.4200000001</v>
      </c>
      <c r="L416" s="40">
        <f t="shared" si="6"/>
        <v>2.22375</v>
      </c>
      <c r="M416" s="40"/>
      <c r="N416" s="40"/>
      <c r="O416" s="40"/>
      <c r="P416" s="39"/>
      <c r="Q416" s="39"/>
      <c r="R416" s="39"/>
      <c r="S416" s="39"/>
      <c r="T416" s="39"/>
      <c r="V416">
        <f>IF(Tabela3[[#This Row],[Pago]]&lt;&gt;"",IF(F417="",Tabela3[[#This Row],[Saldo]],0))</f>
        <v>0</v>
      </c>
    </row>
    <row r="417" spans="1:22" x14ac:dyDescent="0.25">
      <c r="A417" t="s">
        <v>253</v>
      </c>
      <c r="B417" s="37">
        <v>30</v>
      </c>
      <c r="C417" t="str">
        <f>_xlfn.XLOOKUP(B417,'Centro de Custo'!A$2:A$45,'Centro de Custo'!B$2:B$45)</f>
        <v>Impostos</v>
      </c>
      <c r="E417" s="39">
        <v>-6228.15</v>
      </c>
      <c r="F417" s="40" t="s">
        <v>10</v>
      </c>
      <c r="G417" s="41">
        <v>45504</v>
      </c>
      <c r="H417" s="42">
        <f>YEAR(Tabela3[[#This Row],[Data]])</f>
        <v>2024</v>
      </c>
      <c r="I417" s="42" t="str">
        <f>_xlfn.XLOOKUP(J417,'Centro de Custo'!J$2:J$13,'Centro de Custo'!K$2:K$13)</f>
        <v>Julho</v>
      </c>
      <c r="J417" s="43">
        <f>MONTH(Tabela3[[#This Row],[Data]])</f>
        <v>7</v>
      </c>
      <c r="K417" s="39">
        <f>SUM(E$3:Tabela3[[#This Row],[Valor]])</f>
        <v>395298.2700000001</v>
      </c>
      <c r="L417" s="40">
        <f t="shared" si="6"/>
        <v>2.22375</v>
      </c>
      <c r="M417" s="40"/>
      <c r="N417" s="40"/>
      <c r="O417" s="40"/>
      <c r="P417" s="39"/>
      <c r="Q417" s="39"/>
      <c r="R417" s="39"/>
      <c r="S417" s="39"/>
      <c r="T417" s="39"/>
      <c r="V417">
        <f>IF(Tabela3[[#This Row],[Pago]]&lt;&gt;"",IF(F418="",Tabela3[[#This Row],[Saldo]],0))</f>
        <v>0</v>
      </c>
    </row>
    <row r="418" spans="1:22" x14ac:dyDescent="0.25">
      <c r="A418" t="s">
        <v>254</v>
      </c>
      <c r="B418" s="37">
        <v>50</v>
      </c>
      <c r="C418" t="str">
        <f>_xlfn.XLOOKUP(B418,'Centro de Custo'!A$2:A$45,'Centro de Custo'!B$2:B$45)</f>
        <v>Empréstimos</v>
      </c>
      <c r="E418" s="39">
        <v>-300000</v>
      </c>
      <c r="F418" s="40" t="s">
        <v>10</v>
      </c>
      <c r="G418" s="41">
        <v>45504</v>
      </c>
      <c r="H418" s="42">
        <f>YEAR(Tabela3[[#This Row],[Data]])</f>
        <v>2024</v>
      </c>
      <c r="I418" s="42" t="str">
        <f>_xlfn.XLOOKUP(J418,'Centro de Custo'!J$2:J$13,'Centro de Custo'!K$2:K$13)</f>
        <v>Julho</v>
      </c>
      <c r="J418" s="43">
        <f>MONTH(Tabela3[[#This Row],[Data]])</f>
        <v>7</v>
      </c>
      <c r="K418" s="39">
        <f>SUM(E$3:Tabela3[[#This Row],[Valor]])</f>
        <v>95298.27000000008</v>
      </c>
      <c r="L418" s="40">
        <f t="shared" si="6"/>
        <v>2.22375</v>
      </c>
      <c r="M418" s="40"/>
      <c r="N418" s="40"/>
      <c r="O418" s="40"/>
      <c r="P418" s="39"/>
      <c r="Q418" s="39"/>
      <c r="R418" s="39"/>
      <c r="S418" s="39"/>
      <c r="T418" s="39"/>
      <c r="V418">
        <f>IF(Tabela3[[#This Row],[Pago]]&lt;&gt;"",IF(F419="",Tabela3[[#This Row],[Saldo]],0))</f>
        <v>0</v>
      </c>
    </row>
    <row r="419" spans="1:22" x14ac:dyDescent="0.25">
      <c r="A419" t="s">
        <v>255</v>
      </c>
      <c r="B419" s="37">
        <v>20</v>
      </c>
      <c r="C419" t="str">
        <f>_xlfn.XLOOKUP(B419,'Centro de Custo'!A$2:A$45,'Centro de Custo'!B$2:B$45)</f>
        <v>Desp. ADM</v>
      </c>
      <c r="E419" s="39">
        <v>-147.15</v>
      </c>
      <c r="F419" s="40" t="s">
        <v>10</v>
      </c>
      <c r="G419" s="41">
        <v>45505</v>
      </c>
      <c r="H419" s="42">
        <f>YEAR(Tabela3[[#This Row],[Data]])</f>
        <v>2024</v>
      </c>
      <c r="I419" s="42" t="str">
        <f>_xlfn.XLOOKUP(J419,'Centro de Custo'!J$2:J$13,'Centro de Custo'!K$2:K$13)</f>
        <v>Agosto</v>
      </c>
      <c r="J419" s="43">
        <f>MONTH(Tabela3[[#This Row],[Data]])</f>
        <v>8</v>
      </c>
      <c r="K419" s="39">
        <f>SUM(E$3:Tabela3[[#This Row],[Valor]])</f>
        <v>95151.12000000008</v>
      </c>
      <c r="L419" s="40">
        <f t="shared" si="6"/>
        <v>2.22375</v>
      </c>
      <c r="M419" s="40"/>
      <c r="N419" s="40"/>
      <c r="O419" s="40"/>
      <c r="P419" s="39"/>
      <c r="Q419" s="39"/>
      <c r="R419" s="39"/>
      <c r="S419" s="39"/>
      <c r="T419" s="39"/>
      <c r="V419">
        <f>IF(Tabela3[[#This Row],[Pago]]&lt;&gt;"",IF(F420="",Tabela3[[#This Row],[Saldo]],0))</f>
        <v>0</v>
      </c>
    </row>
    <row r="420" spans="1:22" x14ac:dyDescent="0.25">
      <c r="A420" t="s">
        <v>256</v>
      </c>
      <c r="B420" s="37">
        <v>10</v>
      </c>
      <c r="C420" t="str">
        <f>_xlfn.XLOOKUP(B420,'Centro de Custo'!A$2:A$45,'Centro de Custo'!B$2:B$45)</f>
        <v>Retirada Mensal</v>
      </c>
      <c r="E420" s="39">
        <v>-30</v>
      </c>
      <c r="F420" s="40" t="s">
        <v>10</v>
      </c>
      <c r="G420" s="41">
        <v>45509</v>
      </c>
      <c r="H420" s="42">
        <f>YEAR(Tabela3[[#This Row],[Data]])</f>
        <v>2024</v>
      </c>
      <c r="I420" s="42" t="str">
        <f>_xlfn.XLOOKUP(J420,'Centro de Custo'!J$2:J$13,'Centro de Custo'!K$2:K$13)</f>
        <v>Agosto</v>
      </c>
      <c r="J420" s="43">
        <f>MONTH(Tabela3[[#This Row],[Data]])</f>
        <v>8</v>
      </c>
      <c r="K420" s="39">
        <f>SUM(E$3:Tabela3[[#This Row],[Valor]])</f>
        <v>95121.12000000008</v>
      </c>
      <c r="L420" s="40">
        <f t="shared" si="6"/>
        <v>2.22375</v>
      </c>
      <c r="M420" s="40"/>
      <c r="N420" s="40"/>
      <c r="O420" s="40"/>
      <c r="P420" s="39"/>
      <c r="Q420" s="39"/>
      <c r="R420" s="39"/>
      <c r="S420" s="39"/>
      <c r="T420" s="39"/>
      <c r="V420">
        <f>IF(Tabela3[[#This Row],[Pago]]&lt;&gt;"",IF(F421="",Tabela3[[#This Row],[Saldo]],0))</f>
        <v>0</v>
      </c>
    </row>
    <row r="421" spans="1:22" x14ac:dyDescent="0.25">
      <c r="A421" t="s">
        <v>167</v>
      </c>
      <c r="B421" s="37">
        <v>20</v>
      </c>
      <c r="C421" t="str">
        <f>_xlfn.XLOOKUP(B421,'Centro de Custo'!A$2:A$45,'Centro de Custo'!B$2:B$45)</f>
        <v>Desp. ADM</v>
      </c>
      <c r="E421" s="39">
        <v>-441.62</v>
      </c>
      <c r="F421" s="40" t="s">
        <v>10</v>
      </c>
      <c r="G421" s="41">
        <v>45509</v>
      </c>
      <c r="H421" s="42">
        <f>YEAR(Tabela3[[#This Row],[Data]])</f>
        <v>2024</v>
      </c>
      <c r="I421" s="42" t="str">
        <f>_xlfn.XLOOKUP(J421,'Centro de Custo'!J$2:J$13,'Centro de Custo'!K$2:K$13)</f>
        <v>Agosto</v>
      </c>
      <c r="J421" s="43">
        <f>MONTH(Tabela3[[#This Row],[Data]])</f>
        <v>8</v>
      </c>
      <c r="K421" s="39">
        <f>SUM(E$3:Tabela3[[#This Row],[Valor]])</f>
        <v>94679.50000000009</v>
      </c>
      <c r="L421" s="40">
        <f t="shared" si="6"/>
        <v>2.22375</v>
      </c>
      <c r="M421" s="40"/>
      <c r="N421" s="40"/>
      <c r="O421" s="40"/>
      <c r="P421" s="39"/>
      <c r="Q421" s="39"/>
      <c r="R421" s="39"/>
      <c r="S421" s="39"/>
      <c r="T421" s="39"/>
      <c r="V421">
        <f>IF(Tabela3[[#This Row],[Pago]]&lt;&gt;"",IF(F422="",Tabela3[[#This Row],[Saldo]],0))</f>
        <v>0</v>
      </c>
    </row>
    <row r="422" spans="1:22" x14ac:dyDescent="0.25">
      <c r="A422" t="s">
        <v>257</v>
      </c>
      <c r="B422" s="37">
        <v>15</v>
      </c>
      <c r="C422" t="str">
        <f>_xlfn.XLOOKUP(B422,'Centro de Custo'!A$2:A$45,'Centro de Custo'!B$2:B$45)</f>
        <v>Viagens</v>
      </c>
      <c r="E422" s="39">
        <v>-860.55</v>
      </c>
      <c r="F422" s="40" t="s">
        <v>10</v>
      </c>
      <c r="G422" s="41">
        <v>45509</v>
      </c>
      <c r="H422" s="42">
        <f>YEAR(Tabela3[[#This Row],[Data]])</f>
        <v>2024</v>
      </c>
      <c r="I422" s="42" t="str">
        <f>_xlfn.XLOOKUP(J422,'Centro de Custo'!J$2:J$13,'Centro de Custo'!K$2:K$13)</f>
        <v>Agosto</v>
      </c>
      <c r="J422" s="43">
        <f>MONTH(Tabela3[[#This Row],[Data]])</f>
        <v>8</v>
      </c>
      <c r="K422" s="39">
        <f>SUM(E$3:Tabela3[[#This Row],[Valor]])</f>
        <v>93818.95000000008</v>
      </c>
      <c r="L422" s="40">
        <f t="shared" si="6"/>
        <v>2.22375</v>
      </c>
      <c r="M422" s="40"/>
      <c r="N422" s="40"/>
      <c r="O422" s="40"/>
      <c r="P422" s="39"/>
      <c r="Q422" s="39"/>
      <c r="R422" s="39"/>
      <c r="S422" s="39"/>
      <c r="T422" s="39"/>
      <c r="V422">
        <f>IF(Tabela3[[#This Row],[Pago]]&lt;&gt;"",IF(F423="",Tabela3[[#This Row],[Saldo]],0))</f>
        <v>0</v>
      </c>
    </row>
    <row r="423" spans="1:22" x14ac:dyDescent="0.25">
      <c r="A423" t="s">
        <v>258</v>
      </c>
      <c r="B423" s="37">
        <v>10</v>
      </c>
      <c r="C423" t="str">
        <f>_xlfn.XLOOKUP(B423,'Centro de Custo'!A$2:A$45,'Centro de Custo'!B$2:B$45)</f>
        <v>Retirada Mensal</v>
      </c>
      <c r="E423" s="39">
        <v>-9514</v>
      </c>
      <c r="F423" s="40" t="s">
        <v>10</v>
      </c>
      <c r="G423" s="41">
        <v>45509</v>
      </c>
      <c r="H423" s="42">
        <f>YEAR(Tabela3[[#This Row],[Data]])</f>
        <v>2024</v>
      </c>
      <c r="I423" s="42" t="str">
        <f>_xlfn.XLOOKUP(J423,'Centro de Custo'!J$2:J$13,'Centro de Custo'!K$2:K$13)</f>
        <v>Agosto</v>
      </c>
      <c r="J423" s="43">
        <f>MONTH(Tabela3[[#This Row],[Data]])</f>
        <v>8</v>
      </c>
      <c r="K423" s="39">
        <f>SUM(E$3:Tabela3[[#This Row],[Valor]])</f>
        <v>84304.95000000008</v>
      </c>
      <c r="L423" s="40">
        <f t="shared" si="6"/>
        <v>2.22375</v>
      </c>
      <c r="M423" s="40"/>
      <c r="N423" s="40"/>
      <c r="O423" s="40"/>
      <c r="P423" s="39"/>
      <c r="Q423" s="39"/>
      <c r="R423" s="39"/>
      <c r="S423" s="39"/>
      <c r="T423" s="39"/>
      <c r="V423">
        <f>IF(Tabela3[[#This Row],[Pago]]&lt;&gt;"",IF(F424="",Tabela3[[#This Row],[Saldo]],0))</f>
        <v>0</v>
      </c>
    </row>
    <row r="424" spans="1:22" x14ac:dyDescent="0.25">
      <c r="A424" t="s">
        <v>259</v>
      </c>
      <c r="B424" s="37">
        <v>10</v>
      </c>
      <c r="C424" t="str">
        <f>_xlfn.XLOOKUP(B424,'Centro de Custo'!A$2:A$45,'Centro de Custo'!B$2:B$45)</f>
        <v>Retirada Mensal</v>
      </c>
      <c r="E424" s="39">
        <v>-11590</v>
      </c>
      <c r="F424" s="40" t="s">
        <v>10</v>
      </c>
      <c r="G424" s="41">
        <v>45509</v>
      </c>
      <c r="H424" s="42">
        <f>YEAR(Tabela3[[#This Row],[Data]])</f>
        <v>2024</v>
      </c>
      <c r="I424" s="42" t="str">
        <f>_xlfn.XLOOKUP(J424,'Centro de Custo'!J$2:J$13,'Centro de Custo'!K$2:K$13)</f>
        <v>Agosto</v>
      </c>
      <c r="J424" s="43">
        <f>MONTH(Tabela3[[#This Row],[Data]])</f>
        <v>8</v>
      </c>
      <c r="K424" s="39">
        <f>SUM(E$3:Tabela3[[#This Row],[Valor]])</f>
        <v>72714.95000000008</v>
      </c>
      <c r="L424" s="40">
        <f t="shared" si="6"/>
        <v>2.22375</v>
      </c>
      <c r="M424" s="40"/>
      <c r="N424" s="40"/>
      <c r="O424" s="40"/>
      <c r="P424" s="39"/>
      <c r="Q424" s="39"/>
      <c r="R424" s="39"/>
      <c r="S424" s="39"/>
      <c r="T424" s="39"/>
      <c r="V424">
        <f>IF(Tabela3[[#This Row],[Pago]]&lt;&gt;"",IF(F425="",Tabela3[[#This Row],[Saldo]],0))</f>
        <v>0</v>
      </c>
    </row>
    <row r="425" spans="1:22" x14ac:dyDescent="0.25">
      <c r="A425" t="s">
        <v>91</v>
      </c>
      <c r="B425" s="37">
        <v>10</v>
      </c>
      <c r="C425" t="str">
        <f>_xlfn.XLOOKUP(B425,'Centro de Custo'!A$2:A$45,'Centro de Custo'!B$2:B$45)</f>
        <v>Retirada Mensal</v>
      </c>
      <c r="E425" s="39">
        <v>-13800</v>
      </c>
      <c r="F425" s="40" t="s">
        <v>10</v>
      </c>
      <c r="G425" s="41">
        <v>45509</v>
      </c>
      <c r="H425" s="42">
        <f>YEAR(Tabela3[[#This Row],[Data]])</f>
        <v>2024</v>
      </c>
      <c r="I425" s="42" t="str">
        <f>_xlfn.XLOOKUP(J425,'Centro de Custo'!J$2:J$13,'Centro de Custo'!K$2:K$13)</f>
        <v>Agosto</v>
      </c>
      <c r="J425" s="43">
        <f>MONTH(Tabela3[[#This Row],[Data]])</f>
        <v>8</v>
      </c>
      <c r="K425" s="39">
        <f>SUM(E$3:Tabela3[[#This Row],[Valor]])</f>
        <v>58914.950000000084</v>
      </c>
      <c r="L425" s="40">
        <f t="shared" si="6"/>
        <v>2.22375</v>
      </c>
      <c r="M425" s="40"/>
      <c r="N425" s="40"/>
      <c r="O425" s="40"/>
      <c r="P425" s="39"/>
      <c r="Q425" s="39"/>
      <c r="R425" s="39"/>
      <c r="S425" s="39"/>
      <c r="T425" s="39"/>
      <c r="V425">
        <f>IF(Tabela3[[#This Row],[Pago]]&lt;&gt;"",IF(F426="",Tabela3[[#This Row],[Saldo]],0))</f>
        <v>0</v>
      </c>
    </row>
    <row r="426" spans="1:22" x14ac:dyDescent="0.25">
      <c r="A426" t="s">
        <v>94</v>
      </c>
      <c r="B426" s="37">
        <v>10</v>
      </c>
      <c r="C426" t="str">
        <f>_xlfn.XLOOKUP(B426,'Centro de Custo'!A$2:A$45,'Centro de Custo'!B$2:B$45)</f>
        <v>Retirada Mensal</v>
      </c>
      <c r="E426" s="39">
        <v>-15486</v>
      </c>
      <c r="F426" s="40" t="s">
        <v>10</v>
      </c>
      <c r="G426" s="41">
        <v>45509</v>
      </c>
      <c r="H426" s="42">
        <f>YEAR(Tabela3[[#This Row],[Data]])</f>
        <v>2024</v>
      </c>
      <c r="I426" s="42" t="str">
        <f>_xlfn.XLOOKUP(J426,'Centro de Custo'!J$2:J$13,'Centro de Custo'!K$2:K$13)</f>
        <v>Agosto</v>
      </c>
      <c r="J426" s="43">
        <f>MONTH(Tabela3[[#This Row],[Data]])</f>
        <v>8</v>
      </c>
      <c r="K426" s="39">
        <f>SUM(E$3:Tabela3[[#This Row],[Valor]])</f>
        <v>43428.950000000084</v>
      </c>
      <c r="L426" s="40">
        <f t="shared" si="6"/>
        <v>2.22375</v>
      </c>
      <c r="M426" s="40"/>
      <c r="N426" s="40"/>
      <c r="O426" s="40"/>
      <c r="P426" s="39"/>
      <c r="Q426" s="39"/>
      <c r="R426" s="39"/>
      <c r="S426" s="39"/>
      <c r="T426" s="39"/>
      <c r="V426">
        <f>IF(Tabela3[[#This Row],[Pago]]&lt;&gt;"",IF(F427="",Tabela3[[#This Row],[Saldo]],0))</f>
        <v>0</v>
      </c>
    </row>
    <row r="427" spans="1:22" x14ac:dyDescent="0.25">
      <c r="A427" t="s">
        <v>198</v>
      </c>
      <c r="B427" s="37">
        <v>20</v>
      </c>
      <c r="C427" t="str">
        <f>_xlfn.XLOOKUP(B427,'Centro de Custo'!A$2:A$45,'Centro de Custo'!B$2:B$45)</f>
        <v>Desp. ADM</v>
      </c>
      <c r="E427" s="39">
        <v>-41325.03</v>
      </c>
      <c r="F427" s="40" t="s">
        <v>10</v>
      </c>
      <c r="G427" s="41">
        <v>45509</v>
      </c>
      <c r="H427" s="42">
        <f>YEAR(Tabela3[[#This Row],[Data]])</f>
        <v>2024</v>
      </c>
      <c r="I427" s="42" t="str">
        <f>_xlfn.XLOOKUP(J427,'Centro de Custo'!J$2:J$13,'Centro de Custo'!K$2:K$13)</f>
        <v>Agosto</v>
      </c>
      <c r="J427" s="43">
        <f>MONTH(Tabela3[[#This Row],[Data]])</f>
        <v>8</v>
      </c>
      <c r="K427" s="39">
        <f>SUM(E$3:Tabela3[[#This Row],[Valor]])</f>
        <v>2103.9200000000856</v>
      </c>
      <c r="L427" s="40">
        <f t="shared" si="6"/>
        <v>2.22375</v>
      </c>
      <c r="M427" s="40"/>
      <c r="N427" s="40"/>
      <c r="O427" s="40"/>
      <c r="P427" s="39"/>
      <c r="Q427" s="39"/>
      <c r="R427" s="39"/>
      <c r="S427" s="39"/>
      <c r="T427" s="39"/>
      <c r="V427">
        <f>IF(Tabela3[[#This Row],[Pago]]&lt;&gt;"",IF(F428="",Tabela3[[#This Row],[Saldo]],0))</f>
        <v>0</v>
      </c>
    </row>
    <row r="428" spans="1:22" x14ac:dyDescent="0.25">
      <c r="A428" t="s">
        <v>260</v>
      </c>
      <c r="B428" s="37">
        <v>20</v>
      </c>
      <c r="C428" t="str">
        <f>_xlfn.XLOOKUP(B428,'Centro de Custo'!A$2:A$45,'Centro de Custo'!B$2:B$45)</f>
        <v>Desp. ADM</v>
      </c>
      <c r="E428" s="39">
        <v>-250</v>
      </c>
      <c r="F428" s="40" t="s">
        <v>10</v>
      </c>
      <c r="G428" s="41">
        <v>45510</v>
      </c>
      <c r="H428" s="42">
        <f>YEAR(Tabela3[[#This Row],[Data]])</f>
        <v>2024</v>
      </c>
      <c r="I428" s="42" t="str">
        <f>_xlfn.XLOOKUP(J428,'Centro de Custo'!J$2:J$13,'Centro de Custo'!K$2:K$13)</f>
        <v>Agosto</v>
      </c>
      <c r="J428" s="43">
        <f>MONTH(Tabela3[[#This Row],[Data]])</f>
        <v>8</v>
      </c>
      <c r="K428" s="39">
        <f>SUM(E$3:Tabela3[[#This Row],[Valor]])</f>
        <v>1853.9200000000856</v>
      </c>
      <c r="L428" s="40">
        <f t="shared" si="6"/>
        <v>2.22375</v>
      </c>
      <c r="M428" s="40"/>
      <c r="N428" s="40"/>
      <c r="O428" s="40"/>
      <c r="P428" s="39"/>
      <c r="Q428" s="39"/>
      <c r="R428" s="39"/>
      <c r="S428" s="39"/>
      <c r="T428" s="39"/>
      <c r="V428">
        <f>IF(Tabela3[[#This Row],[Pago]]&lt;&gt;"",IF(F429="",Tabela3[[#This Row],[Saldo]],0))</f>
        <v>0</v>
      </c>
    </row>
    <row r="429" spans="1:22" x14ac:dyDescent="0.25">
      <c r="A429" t="s">
        <v>51</v>
      </c>
      <c r="B429" s="37">
        <v>41</v>
      </c>
      <c r="C429" t="str">
        <f>_xlfn.XLOOKUP(B429,'Centro de Custo'!A$2:A$45,'Centro de Custo'!B$2:B$45)</f>
        <v>Resgate Financeiro</v>
      </c>
      <c r="E429" s="39">
        <v>69647.32</v>
      </c>
      <c r="F429" s="40" t="s">
        <v>10</v>
      </c>
      <c r="G429" s="41">
        <v>45511</v>
      </c>
      <c r="H429" s="42">
        <f>YEAR(Tabela3[[#This Row],[Data]])</f>
        <v>2024</v>
      </c>
      <c r="I429" s="42" t="str">
        <f>_xlfn.XLOOKUP(J429,'Centro de Custo'!J$2:J$13,'Centro de Custo'!K$2:K$13)</f>
        <v>Agosto</v>
      </c>
      <c r="J429" s="43">
        <f>MONTH(Tabela3[[#This Row],[Data]])</f>
        <v>8</v>
      </c>
      <c r="K429" s="39">
        <f>SUM(E$3:Tabela3[[#This Row],[Valor]])</f>
        <v>71501.24000000009</v>
      </c>
      <c r="L429" s="40">
        <f t="shared" si="6"/>
        <v>2.22375</v>
      </c>
      <c r="M429" s="40"/>
      <c r="N429" s="40"/>
      <c r="O429" s="40"/>
      <c r="P429" s="39"/>
      <c r="Q429" s="39"/>
      <c r="R429" s="39"/>
      <c r="S429" s="39"/>
      <c r="T429" s="39"/>
      <c r="V429">
        <f>IF(Tabela3[[#This Row],[Pago]]&lt;&gt;"",IF(F430="",Tabela3[[#This Row],[Saldo]],0))</f>
        <v>0</v>
      </c>
    </row>
    <row r="430" spans="1:22" x14ac:dyDescent="0.25">
      <c r="A430" t="s">
        <v>51</v>
      </c>
      <c r="B430" s="37">
        <v>41</v>
      </c>
      <c r="C430" t="str">
        <f>_xlfn.XLOOKUP(B430,'Centro de Custo'!A$2:A$45,'Centro de Custo'!B$2:B$45)</f>
        <v>Resgate Financeiro</v>
      </c>
      <c r="E430" s="39">
        <v>69647.32</v>
      </c>
      <c r="F430" s="40" t="s">
        <v>10</v>
      </c>
      <c r="G430" s="41">
        <v>45511</v>
      </c>
      <c r="H430" s="42">
        <f>YEAR(Tabela3[[#This Row],[Data]])</f>
        <v>2024</v>
      </c>
      <c r="I430" s="42" t="str">
        <f>_xlfn.XLOOKUP(J430,'Centro de Custo'!J$2:J$13,'Centro de Custo'!K$2:K$13)</f>
        <v>Agosto</v>
      </c>
      <c r="J430" s="43">
        <f>MONTH(Tabela3[[#This Row],[Data]])</f>
        <v>8</v>
      </c>
      <c r="K430" s="39">
        <f>SUM(E$3:Tabela3[[#This Row],[Valor]])</f>
        <v>141148.5600000001</v>
      </c>
      <c r="L430" s="40">
        <f t="shared" si="6"/>
        <v>2.22375</v>
      </c>
      <c r="M430" s="40"/>
      <c r="N430" s="40"/>
      <c r="O430" s="40"/>
      <c r="P430" s="39"/>
      <c r="Q430" s="39"/>
      <c r="R430" s="39"/>
      <c r="S430" s="39"/>
      <c r="T430" s="39"/>
      <c r="V430">
        <f>IF(Tabela3[[#This Row],[Pago]]&lt;&gt;"",IF(F431="",Tabela3[[#This Row],[Saldo]],0))</f>
        <v>0</v>
      </c>
    </row>
    <row r="431" spans="1:22" x14ac:dyDescent="0.25">
      <c r="A431" t="s">
        <v>178</v>
      </c>
      <c r="B431" s="37">
        <v>20</v>
      </c>
      <c r="C431" t="str">
        <f>_xlfn.XLOOKUP(B431,'Centro de Custo'!A$2:A$45,'Centro de Custo'!B$2:B$45)</f>
        <v>Desp. ADM</v>
      </c>
      <c r="E431" s="39">
        <v>-139.9</v>
      </c>
      <c r="F431" s="40" t="s">
        <v>10</v>
      </c>
      <c r="G431" s="41">
        <v>45511</v>
      </c>
      <c r="H431" s="42">
        <f>YEAR(Tabela3[[#This Row],[Data]])</f>
        <v>2024</v>
      </c>
      <c r="I431" s="42" t="str">
        <f>_xlfn.XLOOKUP(J431,'Centro de Custo'!J$2:J$13,'Centro de Custo'!K$2:K$13)</f>
        <v>Agosto</v>
      </c>
      <c r="J431" s="43">
        <f>MONTH(Tabela3[[#This Row],[Data]])</f>
        <v>8</v>
      </c>
      <c r="K431" s="39">
        <f>SUM(E$3:Tabela3[[#This Row],[Valor]])</f>
        <v>141008.66000000012</v>
      </c>
      <c r="L431" s="40">
        <f t="shared" si="6"/>
        <v>2.22375</v>
      </c>
      <c r="M431" s="40"/>
      <c r="N431" s="40"/>
      <c r="O431" s="40"/>
      <c r="P431" s="39"/>
      <c r="Q431" s="39"/>
      <c r="R431" s="39"/>
      <c r="S431" s="39"/>
      <c r="T431" s="39"/>
      <c r="V431">
        <f>IF(Tabela3[[#This Row],[Pago]]&lt;&gt;"",IF(F432="",Tabela3[[#This Row],[Saldo]],0))</f>
        <v>0</v>
      </c>
    </row>
    <row r="432" spans="1:22" x14ac:dyDescent="0.25">
      <c r="A432" t="s">
        <v>134</v>
      </c>
      <c r="B432" s="37">
        <v>13</v>
      </c>
      <c r="C432" t="str">
        <f>_xlfn.XLOOKUP(B432,'Centro de Custo'!A$2:A$45,'Centro de Custo'!B$2:B$45)</f>
        <v>Terceirizados</v>
      </c>
      <c r="E432" s="39">
        <v>-7000</v>
      </c>
      <c r="F432" s="40" t="s">
        <v>10</v>
      </c>
      <c r="G432" s="41">
        <v>45511</v>
      </c>
      <c r="H432" s="42">
        <f>YEAR(Tabela3[[#This Row],[Data]])</f>
        <v>2024</v>
      </c>
      <c r="I432" s="42" t="str">
        <f>_xlfn.XLOOKUP(J432,'Centro de Custo'!J$2:J$13,'Centro de Custo'!K$2:K$13)</f>
        <v>Agosto</v>
      </c>
      <c r="J432" s="43">
        <f>MONTH(Tabela3[[#This Row],[Data]])</f>
        <v>8</v>
      </c>
      <c r="K432" s="39">
        <f>SUM(E$3:Tabela3[[#This Row],[Valor]])</f>
        <v>134008.66000000012</v>
      </c>
      <c r="L432" s="40">
        <f t="shared" si="6"/>
        <v>2.22375</v>
      </c>
      <c r="M432" s="40"/>
      <c r="N432" s="40"/>
      <c r="O432" s="40"/>
      <c r="P432" s="39"/>
      <c r="Q432" s="39"/>
      <c r="R432" s="39"/>
      <c r="S432" s="39"/>
      <c r="T432" s="39"/>
      <c r="V432">
        <f>IF(Tabela3[[#This Row],[Pago]]&lt;&gt;"",IF(F433="",Tabela3[[#This Row],[Saldo]],0))</f>
        <v>0</v>
      </c>
    </row>
    <row r="433" spans="1:22" x14ac:dyDescent="0.25">
      <c r="A433" t="s">
        <v>186</v>
      </c>
      <c r="B433" s="37">
        <v>10</v>
      </c>
      <c r="C433" t="str">
        <f>_xlfn.XLOOKUP(B433,'Centro de Custo'!A$2:A$45,'Centro de Custo'!B$2:B$45)</f>
        <v>Retirada Mensal</v>
      </c>
      <c r="E433" s="39">
        <v>-10000</v>
      </c>
      <c r="F433" s="40" t="s">
        <v>10</v>
      </c>
      <c r="G433" s="41">
        <v>45511</v>
      </c>
      <c r="H433" s="42">
        <f>YEAR(Tabela3[[#This Row],[Data]])</f>
        <v>2024</v>
      </c>
      <c r="I433" s="42" t="str">
        <f>_xlfn.XLOOKUP(J433,'Centro de Custo'!J$2:J$13,'Centro de Custo'!K$2:K$13)</f>
        <v>Agosto</v>
      </c>
      <c r="J433" s="43">
        <f>MONTH(Tabela3[[#This Row],[Data]])</f>
        <v>8</v>
      </c>
      <c r="K433" s="39">
        <f>SUM(E$3:Tabela3[[#This Row],[Valor]])</f>
        <v>124008.66000000012</v>
      </c>
      <c r="L433" s="40">
        <f t="shared" si="6"/>
        <v>2.22375</v>
      </c>
      <c r="M433" s="40"/>
      <c r="N433" s="40"/>
      <c r="O433" s="40"/>
      <c r="P433" s="39"/>
      <c r="Q433" s="39"/>
      <c r="R433" s="39"/>
      <c r="S433" s="39"/>
      <c r="T433" s="39"/>
      <c r="V433">
        <f>IF(Tabela3[[#This Row],[Pago]]&lt;&gt;"",IF(F434="",Tabela3[[#This Row],[Saldo]],0))</f>
        <v>0</v>
      </c>
    </row>
    <row r="434" spans="1:22" x14ac:dyDescent="0.25">
      <c r="A434" t="s">
        <v>108</v>
      </c>
      <c r="B434" s="37">
        <v>10</v>
      </c>
      <c r="C434" t="str">
        <f>_xlfn.XLOOKUP(B434,'Centro de Custo'!A$2:A$45,'Centro de Custo'!B$2:B$45)</f>
        <v>Retirada Mensal</v>
      </c>
      <c r="E434" s="39">
        <v>-11500</v>
      </c>
      <c r="F434" s="40" t="s">
        <v>10</v>
      </c>
      <c r="G434" s="41">
        <v>45511</v>
      </c>
      <c r="H434" s="42">
        <f>YEAR(Tabela3[[#This Row],[Data]])</f>
        <v>2024</v>
      </c>
      <c r="I434" s="42" t="str">
        <f>_xlfn.XLOOKUP(J434,'Centro de Custo'!J$2:J$13,'Centro de Custo'!K$2:K$13)</f>
        <v>Agosto</v>
      </c>
      <c r="J434" s="43">
        <f>MONTH(Tabela3[[#This Row],[Data]])</f>
        <v>8</v>
      </c>
      <c r="K434" s="39">
        <f>SUM(E$3:Tabela3[[#This Row],[Valor]])</f>
        <v>112508.66000000012</v>
      </c>
      <c r="L434" s="40">
        <f t="shared" si="6"/>
        <v>2.22375</v>
      </c>
      <c r="M434" s="40"/>
      <c r="N434" s="40"/>
      <c r="O434" s="40"/>
      <c r="P434" s="39"/>
      <c r="Q434" s="39"/>
      <c r="R434" s="39"/>
      <c r="S434" s="39"/>
      <c r="T434" s="39"/>
      <c r="V434">
        <f>IF(Tabela3[[#This Row],[Pago]]&lt;&gt;"",IF(F435="",Tabela3[[#This Row],[Saldo]],0))</f>
        <v>0</v>
      </c>
    </row>
    <row r="435" spans="1:22" x14ac:dyDescent="0.25">
      <c r="A435" t="s">
        <v>92</v>
      </c>
      <c r="B435" s="37">
        <v>10</v>
      </c>
      <c r="C435" t="str">
        <f>_xlfn.XLOOKUP(B435,'Centro de Custo'!A$2:A$45,'Centro de Custo'!B$2:B$45)</f>
        <v>Retirada Mensal</v>
      </c>
      <c r="E435" s="39">
        <v>-13000</v>
      </c>
      <c r="F435" s="40" t="s">
        <v>10</v>
      </c>
      <c r="G435" s="41">
        <v>45511</v>
      </c>
      <c r="H435" s="42">
        <f>YEAR(Tabela3[[#This Row],[Data]])</f>
        <v>2024</v>
      </c>
      <c r="I435" s="42" t="str">
        <f>_xlfn.XLOOKUP(J435,'Centro de Custo'!J$2:J$13,'Centro de Custo'!K$2:K$13)</f>
        <v>Agosto</v>
      </c>
      <c r="J435" s="43">
        <f>MONTH(Tabela3[[#This Row],[Data]])</f>
        <v>8</v>
      </c>
      <c r="K435" s="39">
        <f>SUM(E$3:Tabela3[[#This Row],[Valor]])</f>
        <v>99508.66000000012</v>
      </c>
      <c r="L435" s="40">
        <f t="shared" si="6"/>
        <v>2.22375</v>
      </c>
      <c r="M435" s="40"/>
      <c r="N435" s="40"/>
      <c r="O435" s="40"/>
      <c r="P435" s="39"/>
      <c r="Q435" s="39"/>
      <c r="R435" s="39"/>
      <c r="S435" s="39"/>
      <c r="T435" s="39"/>
      <c r="V435">
        <f>IF(Tabela3[[#This Row],[Pago]]&lt;&gt;"",IF(F436="",Tabela3[[#This Row],[Saldo]],0))</f>
        <v>0</v>
      </c>
    </row>
    <row r="436" spans="1:22" x14ac:dyDescent="0.25">
      <c r="A436" t="s">
        <v>261</v>
      </c>
      <c r="B436" s="37">
        <v>15</v>
      </c>
      <c r="C436" t="str">
        <f>_xlfn.XLOOKUP(B436,'Centro de Custo'!A$2:A$45,'Centro de Custo'!B$2:B$45)</f>
        <v>Viagens</v>
      </c>
      <c r="E436" s="39">
        <v>-23800</v>
      </c>
      <c r="F436" s="40" t="s">
        <v>10</v>
      </c>
      <c r="G436" s="41">
        <v>45511</v>
      </c>
      <c r="H436" s="42">
        <f>YEAR(Tabela3[[#This Row],[Data]])</f>
        <v>2024</v>
      </c>
      <c r="I436" s="42" t="str">
        <f>_xlfn.XLOOKUP(J436,'Centro de Custo'!J$2:J$13,'Centro de Custo'!K$2:K$13)</f>
        <v>Agosto</v>
      </c>
      <c r="J436" s="43">
        <f>MONTH(Tabela3[[#This Row],[Data]])</f>
        <v>8</v>
      </c>
      <c r="K436" s="39">
        <f>SUM(E$3:Tabela3[[#This Row],[Valor]])</f>
        <v>75708.66000000012</v>
      </c>
      <c r="L436" s="40">
        <f t="shared" si="6"/>
        <v>2.22375</v>
      </c>
      <c r="M436" s="40"/>
      <c r="N436" s="40"/>
      <c r="O436" s="40"/>
      <c r="P436" s="39"/>
      <c r="Q436" s="39"/>
      <c r="R436" s="39"/>
      <c r="S436" s="39"/>
      <c r="T436" s="39"/>
      <c r="V436">
        <f>IF(Tabela3[[#This Row],[Pago]]&lt;&gt;"",IF(F437="",Tabela3[[#This Row],[Saldo]],0))</f>
        <v>0</v>
      </c>
    </row>
    <row r="437" spans="1:22" x14ac:dyDescent="0.25">
      <c r="A437" t="s">
        <v>262</v>
      </c>
      <c r="B437" s="37">
        <v>13</v>
      </c>
      <c r="C437" t="str">
        <f>_xlfn.XLOOKUP(B437,'Centro de Custo'!A$2:A$45,'Centro de Custo'!B$2:B$45)</f>
        <v>Terceirizados</v>
      </c>
      <c r="E437" s="39">
        <v>-2103</v>
      </c>
      <c r="F437" s="40" t="s">
        <v>10</v>
      </c>
      <c r="G437" s="41">
        <v>45516</v>
      </c>
      <c r="H437" s="42">
        <f>YEAR(Tabela3[[#This Row],[Data]])</f>
        <v>2024</v>
      </c>
      <c r="I437" s="42" t="str">
        <f>_xlfn.XLOOKUP(J437,'Centro de Custo'!J$2:J$13,'Centro de Custo'!K$2:K$13)</f>
        <v>Agosto</v>
      </c>
      <c r="J437" s="43">
        <f>MONTH(Tabela3[[#This Row],[Data]])</f>
        <v>8</v>
      </c>
      <c r="K437" s="39">
        <f>SUM(E$3:Tabela3[[#This Row],[Valor]])</f>
        <v>73605.66000000012</v>
      </c>
      <c r="L437" s="40">
        <f t="shared" si="6"/>
        <v>2.22375</v>
      </c>
      <c r="M437" s="40"/>
      <c r="N437" s="40"/>
      <c r="O437" s="40"/>
      <c r="P437" s="39"/>
      <c r="Q437" s="39"/>
      <c r="R437" s="39"/>
      <c r="S437" s="39"/>
      <c r="T437" s="39"/>
      <c r="V437">
        <f>IF(Tabela3[[#This Row],[Pago]]&lt;&gt;"",IF(F438="",Tabela3[[#This Row],[Saldo]],0))</f>
        <v>0</v>
      </c>
    </row>
    <row r="438" spans="1:22" x14ac:dyDescent="0.25">
      <c r="A438" t="s">
        <v>190</v>
      </c>
      <c r="B438" s="37">
        <v>13</v>
      </c>
      <c r="C438" t="str">
        <f>_xlfn.XLOOKUP(B438,'Centro de Custo'!A$2:A$45,'Centro de Custo'!B$2:B$45)</f>
        <v>Terceirizados</v>
      </c>
      <c r="E438" s="39">
        <v>-4886.44</v>
      </c>
      <c r="F438" s="40" t="s">
        <v>10</v>
      </c>
      <c r="G438" s="41">
        <v>45516</v>
      </c>
      <c r="H438" s="42">
        <f>YEAR(Tabela3[[#This Row],[Data]])</f>
        <v>2024</v>
      </c>
      <c r="I438" s="42" t="str">
        <f>_xlfn.XLOOKUP(J438,'Centro de Custo'!J$2:J$13,'Centro de Custo'!K$2:K$13)</f>
        <v>Agosto</v>
      </c>
      <c r="J438" s="43">
        <f>MONTH(Tabela3[[#This Row],[Data]])</f>
        <v>8</v>
      </c>
      <c r="K438" s="39">
        <f>SUM(E$3:Tabela3[[#This Row],[Valor]])</f>
        <v>68719.22000000012</v>
      </c>
      <c r="L438" s="40">
        <f t="shared" si="6"/>
        <v>2.22375</v>
      </c>
      <c r="M438" s="40"/>
      <c r="N438" s="40"/>
      <c r="O438" s="40"/>
      <c r="P438" s="39"/>
      <c r="Q438" s="39"/>
      <c r="R438" s="39"/>
      <c r="S438" s="39"/>
      <c r="T438" s="39"/>
      <c r="V438">
        <f>IF(Tabela3[[#This Row],[Pago]]&lt;&gt;"",IF(F439="",Tabela3[[#This Row],[Saldo]],0))</f>
        <v>0</v>
      </c>
    </row>
    <row r="439" spans="1:22" x14ac:dyDescent="0.25">
      <c r="A439" t="s">
        <v>263</v>
      </c>
      <c r="B439" s="37">
        <v>10</v>
      </c>
      <c r="C439" t="str">
        <f>_xlfn.XLOOKUP(B439,'Centro de Custo'!A$2:A$45,'Centro de Custo'!B$2:B$45)</f>
        <v>Retirada Mensal</v>
      </c>
      <c r="E439" s="39">
        <v>-12897</v>
      </c>
      <c r="F439" s="40" t="s">
        <v>10</v>
      </c>
      <c r="G439" s="41">
        <v>45516</v>
      </c>
      <c r="H439" s="42">
        <f>YEAR(Tabela3[[#This Row],[Data]])</f>
        <v>2024</v>
      </c>
      <c r="I439" s="42" t="str">
        <f>_xlfn.XLOOKUP(J439,'Centro de Custo'!J$2:J$13,'Centro de Custo'!K$2:K$13)</f>
        <v>Agosto</v>
      </c>
      <c r="J439" s="43">
        <f>MONTH(Tabela3[[#This Row],[Data]])</f>
        <v>8</v>
      </c>
      <c r="K439" s="39">
        <f>SUM(E$3:Tabela3[[#This Row],[Valor]])</f>
        <v>55822.22000000012</v>
      </c>
      <c r="L439" s="40">
        <f t="shared" si="6"/>
        <v>2.22375</v>
      </c>
      <c r="M439" s="40"/>
      <c r="N439" s="40"/>
      <c r="O439" s="40"/>
      <c r="P439" s="39"/>
      <c r="Q439" s="39"/>
      <c r="R439" s="39"/>
      <c r="S439" s="39"/>
      <c r="T439" s="39"/>
      <c r="V439">
        <f>IF(Tabela3[[#This Row],[Pago]]&lt;&gt;"",IF(F440="",Tabela3[[#This Row],[Saldo]],0))</f>
        <v>0</v>
      </c>
    </row>
    <row r="440" spans="1:22" x14ac:dyDescent="0.25">
      <c r="A440" t="s">
        <v>264</v>
      </c>
      <c r="B440" s="37">
        <v>1</v>
      </c>
      <c r="C440" t="str">
        <f>_xlfn.XLOOKUP(B440,'Centro de Custo'!A$2:A$45,'Centro de Custo'!B$2:B$45)</f>
        <v>Receita de Produto</v>
      </c>
      <c r="E440" s="39">
        <v>2000000</v>
      </c>
      <c r="F440" s="40" t="s">
        <v>10</v>
      </c>
      <c r="G440" s="41">
        <v>45520</v>
      </c>
      <c r="H440" s="42">
        <f>YEAR(Tabela3[[#This Row],[Data]])</f>
        <v>2024</v>
      </c>
      <c r="I440" s="42" t="str">
        <f>_xlfn.XLOOKUP(J440,'Centro de Custo'!J$2:J$13,'Centro de Custo'!K$2:K$13)</f>
        <v>Agosto</v>
      </c>
      <c r="J440" s="43">
        <f>MONTH(Tabela3[[#This Row],[Data]])</f>
        <v>8</v>
      </c>
      <c r="K440" s="39">
        <f>SUM(E$3:Tabela3[[#This Row],[Valor]])</f>
        <v>2055822.2200000002</v>
      </c>
      <c r="L440" s="40">
        <f t="shared" si="6"/>
        <v>2.22375</v>
      </c>
      <c r="M440" s="40"/>
      <c r="N440" s="40"/>
      <c r="O440" s="40"/>
      <c r="P440" s="39"/>
      <c r="Q440" s="39"/>
      <c r="R440" s="39"/>
      <c r="S440" s="39"/>
      <c r="T440" s="39"/>
      <c r="V440">
        <f>IF(Tabela3[[#This Row],[Pago]]&lt;&gt;"",IF(F441="",Tabela3[[#This Row],[Saldo]],0))</f>
        <v>0</v>
      </c>
    </row>
    <row r="441" spans="1:22" x14ac:dyDescent="0.25">
      <c r="A441" t="s">
        <v>265</v>
      </c>
      <c r="B441" s="37">
        <v>20</v>
      </c>
      <c r="C441" t="str">
        <f>_xlfn.XLOOKUP(B441,'Centro de Custo'!A$2:A$45,'Centro de Custo'!B$2:B$45)</f>
        <v>Desp. ADM</v>
      </c>
      <c r="E441" s="39">
        <v>-129.59</v>
      </c>
      <c r="F441" s="40" t="s">
        <v>10</v>
      </c>
      <c r="G441" s="41">
        <v>45520</v>
      </c>
      <c r="H441" s="42">
        <f>YEAR(Tabela3[[#This Row],[Data]])</f>
        <v>2024</v>
      </c>
      <c r="I441" s="42" t="str">
        <f>_xlfn.XLOOKUP(J441,'Centro de Custo'!J$2:J$13,'Centro de Custo'!K$2:K$13)</f>
        <v>Agosto</v>
      </c>
      <c r="J441" s="43">
        <f>MONTH(Tabela3[[#This Row],[Data]])</f>
        <v>8</v>
      </c>
      <c r="K441" s="39">
        <f>SUM(E$3:Tabela3[[#This Row],[Valor]])</f>
        <v>2055692.6300000001</v>
      </c>
      <c r="L441" s="40">
        <f t="shared" si="6"/>
        <v>2.22375</v>
      </c>
      <c r="M441" s="40"/>
      <c r="N441" s="40"/>
      <c r="O441" s="40"/>
      <c r="P441" s="39"/>
      <c r="Q441" s="39"/>
      <c r="R441" s="39"/>
      <c r="S441" s="39"/>
      <c r="T441" s="39"/>
      <c r="V441">
        <f>IF(Tabela3[[#This Row],[Pago]]&lt;&gt;"",IF(F442="",Tabela3[[#This Row],[Saldo]],0))</f>
        <v>0</v>
      </c>
    </row>
    <row r="442" spans="1:22" x14ac:dyDescent="0.25">
      <c r="A442" t="s">
        <v>266</v>
      </c>
      <c r="B442" s="37">
        <v>20</v>
      </c>
      <c r="C442" t="str">
        <f>_xlfn.XLOOKUP(B442,'Centro de Custo'!A$2:A$45,'Centro de Custo'!B$2:B$45)</f>
        <v>Desp. ADM</v>
      </c>
      <c r="E442" s="39">
        <v>-689.63</v>
      </c>
      <c r="F442" s="40" t="s">
        <v>10</v>
      </c>
      <c r="G442" s="41">
        <v>45520</v>
      </c>
      <c r="H442" s="42">
        <f>YEAR(Tabela3[[#This Row],[Data]])</f>
        <v>2024</v>
      </c>
      <c r="I442" s="42" t="str">
        <f>_xlfn.XLOOKUP(J442,'Centro de Custo'!J$2:J$13,'Centro de Custo'!K$2:K$13)</f>
        <v>Agosto</v>
      </c>
      <c r="J442" s="43">
        <f>MONTH(Tabela3[[#This Row],[Data]])</f>
        <v>8</v>
      </c>
      <c r="K442" s="39">
        <f>SUM(E$3:Tabela3[[#This Row],[Valor]])</f>
        <v>2055003.0000000002</v>
      </c>
      <c r="L442" s="40">
        <f t="shared" si="6"/>
        <v>2.22375</v>
      </c>
      <c r="M442" s="40"/>
      <c r="N442" s="40"/>
      <c r="O442" s="40"/>
      <c r="P442" s="39"/>
      <c r="Q442" s="39"/>
      <c r="R442" s="39"/>
      <c r="S442" s="39"/>
      <c r="T442" s="39"/>
      <c r="V442">
        <f>IF(Tabela3[[#This Row],[Pago]]&lt;&gt;"",IF(F443="",Tabela3[[#This Row],[Saldo]],0))</f>
        <v>0</v>
      </c>
    </row>
    <row r="443" spans="1:22" x14ac:dyDescent="0.25">
      <c r="A443" t="s">
        <v>51</v>
      </c>
      <c r="B443" s="37">
        <v>40</v>
      </c>
      <c r="C443" t="str">
        <f>_xlfn.XLOOKUP(B443,'Centro de Custo'!A$2:A$45,'Centro de Custo'!B$2:B$45)</f>
        <v>Aplicação Financeira</v>
      </c>
      <c r="E443" s="39">
        <v>-2000000</v>
      </c>
      <c r="F443" s="40" t="s">
        <v>10</v>
      </c>
      <c r="G443" s="41">
        <v>45520</v>
      </c>
      <c r="H443" s="42">
        <f>YEAR(Tabela3[[#This Row],[Data]])</f>
        <v>2024</v>
      </c>
      <c r="I443" s="42" t="str">
        <f>_xlfn.XLOOKUP(J443,'Centro de Custo'!J$2:J$13,'Centro de Custo'!K$2:K$13)</f>
        <v>Agosto</v>
      </c>
      <c r="J443" s="43">
        <f>MONTH(Tabela3[[#This Row],[Data]])</f>
        <v>8</v>
      </c>
      <c r="K443" s="39">
        <f>SUM(E$3:Tabela3[[#This Row],[Valor]])</f>
        <v>55003.00000000023</v>
      </c>
      <c r="L443" s="40">
        <f t="shared" si="6"/>
        <v>2.22375</v>
      </c>
      <c r="M443" s="40"/>
      <c r="N443" s="40"/>
      <c r="O443" s="40"/>
      <c r="P443" s="39"/>
      <c r="Q443" s="39"/>
      <c r="R443" s="39"/>
      <c r="S443" s="39"/>
      <c r="T443" s="39"/>
      <c r="V443">
        <f>IF(Tabela3[[#This Row],[Pago]]&lt;&gt;"",IF(F444="",Tabela3[[#This Row],[Saldo]],0))</f>
        <v>0</v>
      </c>
    </row>
    <row r="444" spans="1:22" x14ac:dyDescent="0.25">
      <c r="A444" t="s">
        <v>231</v>
      </c>
      <c r="B444" s="37">
        <v>10</v>
      </c>
      <c r="C444" t="str">
        <f>_xlfn.XLOOKUP(B444,'Centro de Custo'!A$2:A$45,'Centro de Custo'!B$2:B$45)</f>
        <v>Retirada Mensal</v>
      </c>
      <c r="E444" s="39">
        <v>-1520.72</v>
      </c>
      <c r="F444" s="40" t="s">
        <v>10</v>
      </c>
      <c r="G444" s="41">
        <v>45523</v>
      </c>
      <c r="H444" s="42">
        <f>YEAR(Tabela3[[#This Row],[Data]])</f>
        <v>2024</v>
      </c>
      <c r="I444" s="42" t="str">
        <f>_xlfn.XLOOKUP(J444,'Centro de Custo'!J$2:J$13,'Centro de Custo'!K$2:K$13)</f>
        <v>Agosto</v>
      </c>
      <c r="J444" s="43">
        <f>MONTH(Tabela3[[#This Row],[Data]])</f>
        <v>8</v>
      </c>
      <c r="K444" s="39">
        <f>SUM(E$3:Tabela3[[#This Row],[Valor]])</f>
        <v>53482.28000000023</v>
      </c>
      <c r="L444" s="40">
        <f t="shared" si="6"/>
        <v>2.22375</v>
      </c>
      <c r="M444" s="40"/>
      <c r="N444" s="40"/>
      <c r="O444" s="40"/>
      <c r="P444" s="39"/>
      <c r="Q444" s="39"/>
      <c r="R444" s="39"/>
      <c r="S444" s="39"/>
      <c r="T444" s="39"/>
      <c r="V444">
        <f>IF(Tabela3[[#This Row],[Pago]]&lt;&gt;"",IF(F445="",Tabela3[[#This Row],[Saldo]],0))</f>
        <v>0</v>
      </c>
    </row>
    <row r="445" spans="1:22" x14ac:dyDescent="0.25">
      <c r="A445" t="s">
        <v>267</v>
      </c>
      <c r="B445" s="37">
        <v>12</v>
      </c>
      <c r="C445" t="str">
        <f>_xlfn.XLOOKUP(B445,'Centro de Custo'!A$2:A$45,'Centro de Custo'!B$2:B$45)</f>
        <v>Direitos Autorais Terceiros</v>
      </c>
      <c r="E445" s="39">
        <v>-8250</v>
      </c>
      <c r="F445" s="40" t="s">
        <v>10</v>
      </c>
      <c r="G445" s="41">
        <v>45523</v>
      </c>
      <c r="H445" s="42">
        <f>YEAR(Tabela3[[#This Row],[Data]])</f>
        <v>2024</v>
      </c>
      <c r="I445" s="42" t="str">
        <f>_xlfn.XLOOKUP(J445,'Centro de Custo'!J$2:J$13,'Centro de Custo'!K$2:K$13)</f>
        <v>Agosto</v>
      </c>
      <c r="J445" s="43">
        <f>MONTH(Tabela3[[#This Row],[Data]])</f>
        <v>8</v>
      </c>
      <c r="K445" s="39">
        <f>SUM(E$3:Tabela3[[#This Row],[Valor]])</f>
        <v>45232.28000000023</v>
      </c>
      <c r="L445" s="40">
        <f t="shared" si="6"/>
        <v>2.22375</v>
      </c>
      <c r="M445" s="40"/>
      <c r="N445" s="40"/>
      <c r="O445" s="40"/>
      <c r="P445" s="39"/>
      <c r="Q445" s="39"/>
      <c r="R445" s="39"/>
      <c r="S445" s="39"/>
      <c r="T445" s="39"/>
      <c r="V445">
        <f>IF(Tabela3[[#This Row],[Pago]]&lt;&gt;"",IF(F446="",Tabela3[[#This Row],[Saldo]],0))</f>
        <v>0</v>
      </c>
    </row>
    <row r="446" spans="1:22" x14ac:dyDescent="0.25">
      <c r="A446" t="s">
        <v>268</v>
      </c>
      <c r="B446" s="37">
        <v>12</v>
      </c>
      <c r="C446" t="str">
        <f>_xlfn.XLOOKUP(B446,'Centro de Custo'!A$2:A$45,'Centro de Custo'!B$2:B$45)</f>
        <v>Direitos Autorais Terceiros</v>
      </c>
      <c r="E446" s="39">
        <v>-8250</v>
      </c>
      <c r="F446" s="40" t="s">
        <v>10</v>
      </c>
      <c r="G446" s="41">
        <v>45523</v>
      </c>
      <c r="H446" s="42">
        <f>YEAR(Tabela3[[#This Row],[Data]])</f>
        <v>2024</v>
      </c>
      <c r="I446" s="42" t="str">
        <f>_xlfn.XLOOKUP(J446,'Centro de Custo'!J$2:J$13,'Centro de Custo'!K$2:K$13)</f>
        <v>Agosto</v>
      </c>
      <c r="J446" s="43">
        <f>MONTH(Tabela3[[#This Row],[Data]])</f>
        <v>8</v>
      </c>
      <c r="K446" s="39">
        <f>SUM(E$3:Tabela3[[#This Row],[Valor]])</f>
        <v>36982.28000000023</v>
      </c>
      <c r="L446" s="40">
        <f t="shared" si="6"/>
        <v>2.22375</v>
      </c>
      <c r="M446" s="40"/>
      <c r="N446" s="40"/>
      <c r="O446" s="40"/>
      <c r="P446" s="39"/>
      <c r="Q446" s="39"/>
      <c r="R446" s="39"/>
      <c r="S446" s="39"/>
      <c r="T446" s="39"/>
      <c r="V446">
        <f>IF(Tabela3[[#This Row],[Pago]]&lt;&gt;"",IF(F447="",Tabela3[[#This Row],[Saldo]],0))</f>
        <v>0</v>
      </c>
    </row>
    <row r="447" spans="1:22" x14ac:dyDescent="0.25">
      <c r="A447" t="s">
        <v>269</v>
      </c>
      <c r="B447" s="37">
        <v>12</v>
      </c>
      <c r="C447" t="str">
        <f>_xlfn.XLOOKUP(B447,'Centro de Custo'!A$2:A$45,'Centro de Custo'!B$2:B$45)</f>
        <v>Direitos Autorais Terceiros</v>
      </c>
      <c r="E447" s="39">
        <v>-8250</v>
      </c>
      <c r="F447" s="40" t="s">
        <v>10</v>
      </c>
      <c r="G447" s="41">
        <v>45523</v>
      </c>
      <c r="H447" s="42">
        <f>YEAR(Tabela3[[#This Row],[Data]])</f>
        <v>2024</v>
      </c>
      <c r="I447" s="42" t="str">
        <f>_xlfn.XLOOKUP(J447,'Centro de Custo'!J$2:J$13,'Centro de Custo'!K$2:K$13)</f>
        <v>Agosto</v>
      </c>
      <c r="J447" s="43">
        <f>MONTH(Tabela3[[#This Row],[Data]])</f>
        <v>8</v>
      </c>
      <c r="K447" s="39">
        <f>SUM(E$3:Tabela3[[#This Row],[Valor]])</f>
        <v>28732.28000000023</v>
      </c>
      <c r="L447" s="40">
        <f t="shared" si="6"/>
        <v>2.22375</v>
      </c>
      <c r="M447" s="40"/>
      <c r="N447" s="40"/>
      <c r="O447" s="40"/>
      <c r="P447" s="39"/>
      <c r="Q447" s="39"/>
      <c r="R447" s="39"/>
      <c r="S447" s="39"/>
      <c r="T447" s="39"/>
      <c r="V447">
        <f>IF(Tabela3[[#This Row],[Pago]]&lt;&gt;"",IF(F448="",Tabela3[[#This Row],[Saldo]],0))</f>
        <v>0</v>
      </c>
    </row>
    <row r="448" spans="1:22" x14ac:dyDescent="0.25">
      <c r="A448" t="s">
        <v>51</v>
      </c>
      <c r="B448" s="37">
        <v>41</v>
      </c>
      <c r="C448" t="str">
        <f>_xlfn.XLOOKUP(B448,'Centro de Custo'!A$2:A$45,'Centro de Custo'!B$2:B$45)</f>
        <v>Resgate Financeiro</v>
      </c>
      <c r="E448" s="39">
        <v>150000</v>
      </c>
      <c r="F448" s="40" t="s">
        <v>10</v>
      </c>
      <c r="G448" s="41">
        <v>45524</v>
      </c>
      <c r="H448" s="42">
        <f>YEAR(Tabela3[[#This Row],[Data]])</f>
        <v>2024</v>
      </c>
      <c r="I448" s="42" t="str">
        <f>_xlfn.XLOOKUP(J448,'Centro de Custo'!J$2:J$13,'Centro de Custo'!K$2:K$13)</f>
        <v>Agosto</v>
      </c>
      <c r="J448" s="43">
        <f>MONTH(Tabela3[[#This Row],[Data]])</f>
        <v>8</v>
      </c>
      <c r="K448" s="39">
        <f>SUM(E$3:Tabela3[[#This Row],[Valor]])</f>
        <v>178732.28000000023</v>
      </c>
      <c r="L448" s="40">
        <f t="shared" si="6"/>
        <v>2.22375</v>
      </c>
      <c r="M448" s="40"/>
      <c r="N448" s="40"/>
      <c r="O448" s="40"/>
      <c r="P448" s="39"/>
      <c r="Q448" s="39"/>
      <c r="R448" s="39"/>
      <c r="S448" s="39"/>
      <c r="T448" s="39"/>
      <c r="V448">
        <f>IF(Tabela3[[#This Row],[Pago]]&lt;&gt;"",IF(F449="",Tabela3[[#This Row],[Saldo]],0))</f>
        <v>0</v>
      </c>
    </row>
    <row r="449" spans="1:22" x14ac:dyDescent="0.25">
      <c r="A449" t="s">
        <v>270</v>
      </c>
      <c r="B449" s="37">
        <v>12</v>
      </c>
      <c r="C449" t="str">
        <f>_xlfn.XLOOKUP(B449,'Centro de Custo'!A$2:A$45,'Centro de Custo'!B$2:B$45)</f>
        <v>Direitos Autorais Terceiros</v>
      </c>
      <c r="E449" s="39">
        <v>-136856</v>
      </c>
      <c r="F449" s="40" t="s">
        <v>10</v>
      </c>
      <c r="G449" s="41">
        <v>45524</v>
      </c>
      <c r="H449" s="42">
        <f>YEAR(Tabela3[[#This Row],[Data]])</f>
        <v>2024</v>
      </c>
      <c r="I449" s="42" t="str">
        <f>_xlfn.XLOOKUP(J449,'Centro de Custo'!J$2:J$13,'Centro de Custo'!K$2:K$13)</f>
        <v>Agosto</v>
      </c>
      <c r="J449" s="43">
        <f>MONTH(Tabela3[[#This Row],[Data]])</f>
        <v>8</v>
      </c>
      <c r="K449" s="39">
        <f>SUM(E$3:Tabela3[[#This Row],[Valor]])</f>
        <v>41876.28000000023</v>
      </c>
      <c r="L449" s="40">
        <f t="shared" si="6"/>
        <v>2.22375</v>
      </c>
      <c r="M449" s="40"/>
      <c r="N449" s="40"/>
      <c r="O449" s="40"/>
      <c r="P449" s="39"/>
      <c r="Q449" s="39"/>
      <c r="R449" s="39"/>
      <c r="S449" s="39"/>
      <c r="T449" s="39"/>
      <c r="V449">
        <f>IF(Tabela3[[#This Row],[Pago]]&lt;&gt;"",IF(F450="",Tabela3[[#This Row],[Saldo]],0))</f>
        <v>0</v>
      </c>
    </row>
    <row r="450" spans="1:22" x14ac:dyDescent="0.25">
      <c r="A450" t="s">
        <v>224</v>
      </c>
      <c r="B450" s="37">
        <v>20</v>
      </c>
      <c r="C450" t="str">
        <f>_xlfn.XLOOKUP(B450,'Centro de Custo'!A$2:A$45,'Centro de Custo'!B$2:B$45)</f>
        <v>Desp. ADM</v>
      </c>
      <c r="E450" s="39">
        <v>-25.85</v>
      </c>
      <c r="F450" s="40" t="s">
        <v>10</v>
      </c>
      <c r="G450" s="41">
        <v>45530</v>
      </c>
      <c r="H450" s="42">
        <f>YEAR(Tabela3[[#This Row],[Data]])</f>
        <v>2024</v>
      </c>
      <c r="I450" s="42" t="str">
        <f>_xlfn.XLOOKUP(J450,'Centro de Custo'!J$2:J$13,'Centro de Custo'!K$2:K$13)</f>
        <v>Agosto</v>
      </c>
      <c r="J450" s="43">
        <f>MONTH(Tabela3[[#This Row],[Data]])</f>
        <v>8</v>
      </c>
      <c r="K450" s="39">
        <f>SUM(E$3:Tabela3[[#This Row],[Valor]])</f>
        <v>41850.43000000023</v>
      </c>
      <c r="L450" s="40">
        <f t="shared" si="6"/>
        <v>2.22375</v>
      </c>
      <c r="M450" s="40"/>
      <c r="N450" s="40"/>
      <c r="O450" s="40"/>
      <c r="P450" s="39"/>
      <c r="Q450" s="39"/>
      <c r="R450" s="39"/>
      <c r="S450" s="39"/>
      <c r="T450" s="39"/>
      <c r="V450">
        <f>IF(Tabela3[[#This Row],[Pago]]&lt;&gt;"",IF(F451="",Tabela3[[#This Row],[Saldo]],0))</f>
        <v>0</v>
      </c>
    </row>
    <row r="451" spans="1:22" x14ac:dyDescent="0.25">
      <c r="A451" t="s">
        <v>271</v>
      </c>
      <c r="B451" s="37">
        <v>10</v>
      </c>
      <c r="C451" t="str">
        <f>_xlfn.XLOOKUP(B451,'Centro de Custo'!A$2:A$45,'Centro de Custo'!B$2:B$45)</f>
        <v>Retirada Mensal</v>
      </c>
      <c r="E451" s="39">
        <v>-10000</v>
      </c>
      <c r="F451" s="40" t="s">
        <v>10</v>
      </c>
      <c r="G451" s="41">
        <v>45530</v>
      </c>
      <c r="H451" s="42">
        <f>YEAR(Tabela3[[#This Row],[Data]])</f>
        <v>2024</v>
      </c>
      <c r="I451" s="42" t="str">
        <f>_xlfn.XLOOKUP(J451,'Centro de Custo'!J$2:J$13,'Centro de Custo'!K$2:K$13)</f>
        <v>Agosto</v>
      </c>
      <c r="J451" s="43">
        <f>MONTH(Tabela3[[#This Row],[Data]])</f>
        <v>8</v>
      </c>
      <c r="K451" s="39">
        <f>SUM(E$3:Tabela3[[#This Row],[Valor]])</f>
        <v>31850.430000000233</v>
      </c>
      <c r="L451" s="40">
        <f t="shared" ref="L451:L514" si="7">17.79/8</f>
        <v>2.22375</v>
      </c>
      <c r="M451" s="40"/>
      <c r="N451" s="40"/>
      <c r="O451" s="40"/>
      <c r="P451" s="39"/>
      <c r="Q451" s="39"/>
      <c r="R451" s="39"/>
      <c r="S451" s="39"/>
      <c r="T451" s="39"/>
      <c r="V451">
        <f>IF(Tabela3[[#This Row],[Pago]]&lt;&gt;"",IF(F452="",Tabela3[[#This Row],[Saldo]],0))</f>
        <v>0</v>
      </c>
    </row>
    <row r="452" spans="1:22" x14ac:dyDescent="0.25">
      <c r="A452" t="s">
        <v>272</v>
      </c>
      <c r="B452" s="37">
        <v>15</v>
      </c>
      <c r="C452" t="str">
        <f>_xlfn.XLOOKUP(B452,'Centro de Custo'!A$2:A$45,'Centro de Custo'!B$2:B$45)</f>
        <v>Viagens</v>
      </c>
      <c r="E452" s="39">
        <v>-319.2</v>
      </c>
      <c r="F452" s="40" t="s">
        <v>10</v>
      </c>
      <c r="G452" s="41">
        <v>45533</v>
      </c>
      <c r="H452" s="42">
        <f>YEAR(Tabela3[[#This Row],[Data]])</f>
        <v>2024</v>
      </c>
      <c r="I452" s="42" t="str">
        <f>_xlfn.XLOOKUP(J452,'Centro de Custo'!J$2:J$13,'Centro de Custo'!K$2:K$13)</f>
        <v>Agosto</v>
      </c>
      <c r="J452" s="43">
        <f>MONTH(Tabela3[[#This Row],[Data]])</f>
        <v>8</v>
      </c>
      <c r="K452" s="39">
        <f>SUM(E$3:Tabela3[[#This Row],[Valor]])</f>
        <v>31531.230000000232</v>
      </c>
      <c r="L452" s="40">
        <f t="shared" si="7"/>
        <v>2.22375</v>
      </c>
      <c r="M452" s="40"/>
      <c r="N452" s="40"/>
      <c r="O452" s="40"/>
      <c r="P452" s="39"/>
      <c r="Q452" s="39"/>
      <c r="R452" s="39"/>
      <c r="S452" s="39"/>
      <c r="T452" s="39"/>
      <c r="V452">
        <f>IF(Tabela3[[#This Row],[Pago]]&lt;&gt;"",IF(F453="",Tabela3[[#This Row],[Saldo]],0))</f>
        <v>0</v>
      </c>
    </row>
    <row r="453" spans="1:22" x14ac:dyDescent="0.25">
      <c r="A453" t="s">
        <v>273</v>
      </c>
      <c r="B453" s="37">
        <v>15</v>
      </c>
      <c r="C453" t="str">
        <f>_xlfn.XLOOKUP(B453,'Centro de Custo'!A$2:A$45,'Centro de Custo'!B$2:B$45)</f>
        <v>Viagens</v>
      </c>
      <c r="E453" s="39">
        <v>-420</v>
      </c>
      <c r="F453" s="40" t="s">
        <v>10</v>
      </c>
      <c r="G453" s="41">
        <v>45534</v>
      </c>
      <c r="H453" s="42">
        <f>YEAR(Tabela3[[#This Row],[Data]])</f>
        <v>2024</v>
      </c>
      <c r="I453" s="42" t="str">
        <f>_xlfn.XLOOKUP(J453,'Centro de Custo'!J$2:J$13,'Centro de Custo'!K$2:K$13)</f>
        <v>Agosto</v>
      </c>
      <c r="J453" s="43">
        <f>MONTH(Tabela3[[#This Row],[Data]])</f>
        <v>8</v>
      </c>
      <c r="K453" s="39">
        <f>SUM(E$3:Tabela3[[#This Row],[Valor]])</f>
        <v>31111.230000000232</v>
      </c>
      <c r="L453" s="40">
        <f t="shared" si="7"/>
        <v>2.22375</v>
      </c>
      <c r="M453" s="40"/>
      <c r="N453" s="40"/>
      <c r="O453" s="40"/>
      <c r="P453" s="39"/>
      <c r="Q453" s="39"/>
      <c r="R453" s="39"/>
      <c r="S453" s="39"/>
      <c r="T453" s="39"/>
      <c r="V453">
        <f>IF(Tabela3[[#This Row],[Pago]]&lt;&gt;"",IF(F454="",Tabela3[[#This Row],[Saldo]],0))</f>
        <v>0</v>
      </c>
    </row>
    <row r="454" spans="1:22" x14ac:dyDescent="0.25">
      <c r="A454" t="s">
        <v>274</v>
      </c>
      <c r="B454" s="37">
        <v>13</v>
      </c>
      <c r="C454" t="str">
        <f>_xlfn.XLOOKUP(B454,'Centro de Custo'!A$2:A$45,'Centro de Custo'!B$2:B$45)</f>
        <v>Terceirizados</v>
      </c>
      <c r="E454" s="39">
        <v>-500</v>
      </c>
      <c r="F454" s="40" t="s">
        <v>10</v>
      </c>
      <c r="G454" s="41">
        <v>45537</v>
      </c>
      <c r="H454" s="42">
        <f>YEAR(Tabela3[[#This Row],[Data]])</f>
        <v>2024</v>
      </c>
      <c r="I454" s="42" t="str">
        <f>_xlfn.XLOOKUP(J454,'Centro de Custo'!J$2:J$13,'Centro de Custo'!K$2:K$13)</f>
        <v>Setembro</v>
      </c>
      <c r="J454" s="43">
        <f>MONTH(Tabela3[[#This Row],[Data]])</f>
        <v>9</v>
      </c>
      <c r="K454" s="39">
        <f>SUM(E$3:Tabela3[[#This Row],[Valor]])</f>
        <v>30611.230000000232</v>
      </c>
      <c r="L454" s="40">
        <f t="shared" si="7"/>
        <v>2.22375</v>
      </c>
      <c r="M454" s="40"/>
      <c r="N454" s="40"/>
      <c r="O454" s="40"/>
      <c r="P454" s="39"/>
      <c r="Q454" s="39"/>
      <c r="R454" s="39"/>
      <c r="S454" s="39"/>
      <c r="T454" s="39"/>
      <c r="V454">
        <f>IF(Tabela3[[#This Row],[Pago]]&lt;&gt;"",IF(F455="",Tabela3[[#This Row],[Saldo]],0))</f>
        <v>0</v>
      </c>
    </row>
    <row r="455" spans="1:22" x14ac:dyDescent="0.25">
      <c r="A455" t="s">
        <v>244</v>
      </c>
      <c r="B455" s="37">
        <v>13</v>
      </c>
      <c r="C455" t="str">
        <f>_xlfn.XLOOKUP(B455,'Centro de Custo'!A$2:A$45,'Centro de Custo'!B$2:B$45)</f>
        <v>Terceirizados</v>
      </c>
      <c r="E455" s="39">
        <v>-500</v>
      </c>
      <c r="F455" s="40" t="s">
        <v>10</v>
      </c>
      <c r="G455" s="41">
        <v>45537</v>
      </c>
      <c r="H455" s="42">
        <f>YEAR(Tabela3[[#This Row],[Data]])</f>
        <v>2024</v>
      </c>
      <c r="I455" s="42" t="str">
        <f>_xlfn.XLOOKUP(J455,'Centro de Custo'!J$2:J$13,'Centro de Custo'!K$2:K$13)</f>
        <v>Setembro</v>
      </c>
      <c r="J455" s="43">
        <f>MONTH(Tabela3[[#This Row],[Data]])</f>
        <v>9</v>
      </c>
      <c r="K455" s="39">
        <f>SUM(E$3:Tabela3[[#This Row],[Valor]])</f>
        <v>30111.230000000232</v>
      </c>
      <c r="L455" s="40">
        <f t="shared" si="7"/>
        <v>2.22375</v>
      </c>
      <c r="M455" s="40"/>
      <c r="N455" s="40"/>
      <c r="O455" s="40"/>
      <c r="P455" s="39"/>
      <c r="Q455" s="39"/>
      <c r="R455" s="39"/>
      <c r="S455" s="39"/>
      <c r="T455" s="39"/>
      <c r="V455">
        <f>IF(Tabela3[[#This Row],[Pago]]&lt;&gt;"",IF(F456="",Tabela3[[#This Row],[Saldo]],0))</f>
        <v>0</v>
      </c>
    </row>
    <row r="456" spans="1:22" x14ac:dyDescent="0.25">
      <c r="A456" t="s">
        <v>275</v>
      </c>
      <c r="B456" s="37">
        <v>15</v>
      </c>
      <c r="C456" t="str">
        <f>_xlfn.XLOOKUP(B456,'Centro de Custo'!A$2:A$45,'Centro de Custo'!B$2:B$45)</f>
        <v>Viagens</v>
      </c>
      <c r="E456" s="39">
        <v>-23800</v>
      </c>
      <c r="F456" s="40" t="s">
        <v>10</v>
      </c>
      <c r="G456" s="41">
        <v>45537</v>
      </c>
      <c r="H456" s="42">
        <f>YEAR(Tabela3[[#This Row],[Data]])</f>
        <v>2024</v>
      </c>
      <c r="I456" s="42" t="str">
        <f>_xlfn.XLOOKUP(J456,'Centro de Custo'!J$2:J$13,'Centro de Custo'!K$2:K$13)</f>
        <v>Setembro</v>
      </c>
      <c r="J456" s="43">
        <f>MONTH(Tabela3[[#This Row],[Data]])</f>
        <v>9</v>
      </c>
      <c r="K456" s="39">
        <f>SUM(E$3:Tabela3[[#This Row],[Valor]])</f>
        <v>6311.230000000232</v>
      </c>
      <c r="L456" s="40">
        <f t="shared" si="7"/>
        <v>2.22375</v>
      </c>
      <c r="M456" s="40"/>
      <c r="N456" s="40"/>
      <c r="O456" s="40"/>
      <c r="P456" s="39"/>
      <c r="Q456" s="39"/>
      <c r="R456" s="39"/>
      <c r="S456" s="39"/>
      <c r="T456" s="39"/>
      <c r="V456">
        <f>IF(Tabela3[[#This Row],[Pago]]&lt;&gt;"",IF(F457="",Tabela3[[#This Row],[Saldo]],0))</f>
        <v>0</v>
      </c>
    </row>
    <row r="457" spans="1:22" x14ac:dyDescent="0.25">
      <c r="A457" t="s">
        <v>198</v>
      </c>
      <c r="B457" s="37">
        <v>20</v>
      </c>
      <c r="C457" t="str">
        <f>_xlfn.XLOOKUP(B457,'Centro de Custo'!A$2:A$45,'Centro de Custo'!B$2:B$45)</f>
        <v>Desp. ADM</v>
      </c>
      <c r="E457" s="39">
        <v>-1226.1</v>
      </c>
      <c r="F457" s="40" t="s">
        <v>10</v>
      </c>
      <c r="G457" s="41">
        <v>45538</v>
      </c>
      <c r="H457" s="42">
        <f>YEAR(Tabela3[[#This Row],[Data]])</f>
        <v>2024</v>
      </c>
      <c r="I457" s="42" t="str">
        <f>_xlfn.XLOOKUP(J457,'Centro de Custo'!J$2:J$13,'Centro de Custo'!K$2:K$13)</f>
        <v>Setembro</v>
      </c>
      <c r="J457" s="43">
        <f>MONTH(Tabela3[[#This Row],[Data]])</f>
        <v>9</v>
      </c>
      <c r="K457" s="39">
        <f>SUM(E$3:Tabela3[[#This Row],[Valor]])</f>
        <v>5085.130000000232</v>
      </c>
      <c r="L457" s="40">
        <f t="shared" si="7"/>
        <v>2.22375</v>
      </c>
      <c r="M457" s="40"/>
      <c r="N457" s="40"/>
      <c r="O457" s="40"/>
      <c r="P457" s="39"/>
      <c r="Q457" s="39"/>
      <c r="R457" s="39"/>
      <c r="S457" s="39"/>
      <c r="T457" s="39"/>
      <c r="V457">
        <f>IF(Tabela3[[#This Row],[Pago]]&lt;&gt;"",IF(F458="",Tabela3[[#This Row],[Saldo]],0))</f>
        <v>0</v>
      </c>
    </row>
    <row r="458" spans="1:22" x14ac:dyDescent="0.25">
      <c r="A458" t="s">
        <v>276</v>
      </c>
      <c r="B458" s="37">
        <v>50</v>
      </c>
      <c r="C458" t="str">
        <f>_xlfn.XLOOKUP(B458,'Centro de Custo'!A$2:A$45,'Centro de Custo'!B$2:B$45)</f>
        <v>Empréstimos</v>
      </c>
      <c r="E458" s="39">
        <v>158500</v>
      </c>
      <c r="F458" s="40" t="s">
        <v>10</v>
      </c>
      <c r="G458" s="41">
        <v>45539</v>
      </c>
      <c r="H458" s="42">
        <f>YEAR(Tabela3[[#This Row],[Data]])</f>
        <v>2024</v>
      </c>
      <c r="I458" s="42" t="str">
        <f>_xlfn.XLOOKUP(J458,'Centro de Custo'!J$2:J$13,'Centro de Custo'!K$2:K$13)</f>
        <v>Setembro</v>
      </c>
      <c r="J458" s="43">
        <f>MONTH(Tabela3[[#This Row],[Data]])</f>
        <v>9</v>
      </c>
      <c r="K458" s="39">
        <f>SUM(E$3:Tabela3[[#This Row],[Valor]])</f>
        <v>163585.13000000024</v>
      </c>
      <c r="L458" s="40">
        <f t="shared" si="7"/>
        <v>2.22375</v>
      </c>
      <c r="M458" s="40"/>
      <c r="N458" s="40"/>
      <c r="O458" s="40"/>
      <c r="P458" s="39"/>
      <c r="Q458" s="39"/>
      <c r="R458" s="39"/>
      <c r="S458" s="39"/>
      <c r="T458" s="39"/>
      <c r="V458">
        <f>IF(Tabela3[[#This Row],[Pago]]&lt;&gt;"",IF(F459="",Tabela3[[#This Row],[Saldo]],0))</f>
        <v>0</v>
      </c>
    </row>
    <row r="459" spans="1:22" x14ac:dyDescent="0.25">
      <c r="A459" t="s">
        <v>277</v>
      </c>
      <c r="B459" s="37">
        <v>50</v>
      </c>
      <c r="C459" t="str">
        <f>_xlfn.XLOOKUP(B459,'Centro de Custo'!A$2:A$45,'Centro de Custo'!B$2:B$45)</f>
        <v>Empréstimos</v>
      </c>
      <c r="E459" s="39">
        <v>34322.1</v>
      </c>
      <c r="F459" s="40" t="s">
        <v>10</v>
      </c>
      <c r="G459" s="41">
        <v>45539</v>
      </c>
      <c r="H459" s="42">
        <f>YEAR(Tabela3[[#This Row],[Data]])</f>
        <v>2024</v>
      </c>
      <c r="I459" s="42" t="str">
        <f>_xlfn.XLOOKUP(J459,'Centro de Custo'!J$2:J$13,'Centro de Custo'!K$2:K$13)</f>
        <v>Setembro</v>
      </c>
      <c r="J459" s="43">
        <f>MONTH(Tabela3[[#This Row],[Data]])</f>
        <v>9</v>
      </c>
      <c r="K459" s="39">
        <f>SUM(E$3:Tabela3[[#This Row],[Valor]])</f>
        <v>197907.23000000024</v>
      </c>
      <c r="L459" s="40">
        <f t="shared" si="7"/>
        <v>2.22375</v>
      </c>
      <c r="M459" s="40"/>
      <c r="N459" s="40"/>
      <c r="O459" s="40"/>
      <c r="P459" s="39"/>
      <c r="Q459" s="39"/>
      <c r="R459" s="39"/>
      <c r="S459" s="39"/>
      <c r="T459" s="39"/>
      <c r="V459">
        <f>IF(Tabela3[[#This Row],[Pago]]&lt;&gt;"",IF(F460="",Tabela3[[#This Row],[Saldo]],0))</f>
        <v>0</v>
      </c>
    </row>
    <row r="460" spans="1:22" x14ac:dyDescent="0.25">
      <c r="A460" t="s">
        <v>278</v>
      </c>
      <c r="B460" s="37">
        <v>50</v>
      </c>
      <c r="C460" t="str">
        <f>_xlfn.XLOOKUP(B460,'Centro de Custo'!A$2:A$45,'Centro de Custo'!B$2:B$45)</f>
        <v>Empréstimos</v>
      </c>
      <c r="E460" s="39">
        <v>-26500</v>
      </c>
      <c r="F460" s="40" t="s">
        <v>10</v>
      </c>
      <c r="G460" s="41">
        <v>45539</v>
      </c>
      <c r="H460" s="42">
        <f>YEAR(Tabela3[[#This Row],[Data]])</f>
        <v>2024</v>
      </c>
      <c r="I460" s="42" t="str">
        <f>_xlfn.XLOOKUP(J460,'Centro de Custo'!J$2:J$13,'Centro de Custo'!K$2:K$13)</f>
        <v>Setembro</v>
      </c>
      <c r="J460" s="43">
        <f>MONTH(Tabela3[[#This Row],[Data]])</f>
        <v>9</v>
      </c>
      <c r="K460" s="39">
        <f>SUM(E$3:Tabela3[[#This Row],[Valor]])</f>
        <v>171407.23000000024</v>
      </c>
      <c r="L460" s="40">
        <f t="shared" si="7"/>
        <v>2.22375</v>
      </c>
      <c r="M460" s="40"/>
      <c r="N460" s="40"/>
      <c r="O460" s="40"/>
      <c r="P460" s="39"/>
      <c r="Q460" s="39"/>
      <c r="R460" s="39"/>
      <c r="S460" s="39"/>
      <c r="T460" s="39"/>
      <c r="V460">
        <f>IF(Tabela3[[#This Row],[Pago]]&lt;&gt;"",IF(F461="",Tabela3[[#This Row],[Saldo]],0))</f>
        <v>0</v>
      </c>
    </row>
    <row r="461" spans="1:22" x14ac:dyDescent="0.25">
      <c r="A461" t="s">
        <v>279</v>
      </c>
      <c r="B461" s="37">
        <v>41</v>
      </c>
      <c r="C461" t="str">
        <f>_xlfn.XLOOKUP(B461,'Centro de Custo'!A$2:A$45,'Centro de Custo'!B$2:B$45)</f>
        <v>Resgate Financeiro</v>
      </c>
      <c r="E461" s="39">
        <v>1856788.73</v>
      </c>
      <c r="F461" s="40" t="s">
        <v>10</v>
      </c>
      <c r="G461" s="41">
        <v>45540</v>
      </c>
      <c r="H461" s="42">
        <f>YEAR(Tabela3[[#This Row],[Data]])</f>
        <v>2024</v>
      </c>
      <c r="I461" s="42" t="str">
        <f>_xlfn.XLOOKUP(J461,'Centro de Custo'!J$2:J$13,'Centro de Custo'!K$2:K$13)</f>
        <v>Setembro</v>
      </c>
      <c r="J461" s="43">
        <f>MONTH(Tabela3[[#This Row],[Data]])</f>
        <v>9</v>
      </c>
      <c r="K461" s="39">
        <f>SUM(E$3:Tabela3[[#This Row],[Valor]])</f>
        <v>2028195.9600000002</v>
      </c>
      <c r="L461" s="40">
        <f t="shared" si="7"/>
        <v>2.22375</v>
      </c>
      <c r="M461" s="40"/>
      <c r="N461" s="40"/>
      <c r="O461" s="40"/>
      <c r="P461" s="39"/>
      <c r="Q461" s="39"/>
      <c r="R461" s="39"/>
      <c r="S461" s="39"/>
      <c r="T461" s="39"/>
      <c r="V461">
        <f>IF(Tabela3[[#This Row],[Pago]]&lt;&gt;"",IF(F462="",Tabela3[[#This Row],[Saldo]],0))</f>
        <v>0</v>
      </c>
    </row>
    <row r="462" spans="1:22" x14ac:dyDescent="0.25">
      <c r="A462" t="s">
        <v>280</v>
      </c>
      <c r="B462" s="37">
        <v>41</v>
      </c>
      <c r="C462" t="str">
        <f>_xlfn.XLOOKUP(B462,'Centro de Custo'!A$2:A$45,'Centro de Custo'!B$2:B$45)</f>
        <v>Resgate Financeiro</v>
      </c>
      <c r="E462" s="39">
        <v>1259406.34</v>
      </c>
      <c r="F462" s="40" t="s">
        <v>10</v>
      </c>
      <c r="G462" s="41">
        <v>45540</v>
      </c>
      <c r="H462" s="42">
        <f>YEAR(Tabela3[[#This Row],[Data]])</f>
        <v>2024</v>
      </c>
      <c r="I462" s="42" t="str">
        <f>_xlfn.XLOOKUP(J462,'Centro de Custo'!J$2:J$13,'Centro de Custo'!K$2:K$13)</f>
        <v>Setembro</v>
      </c>
      <c r="J462" s="43">
        <f>MONTH(Tabela3[[#This Row],[Data]])</f>
        <v>9</v>
      </c>
      <c r="K462" s="39">
        <f>SUM(E$3:Tabela3[[#This Row],[Valor]])</f>
        <v>3287602.3000000003</v>
      </c>
      <c r="L462" s="40">
        <f t="shared" si="7"/>
        <v>2.22375</v>
      </c>
      <c r="M462" s="40"/>
      <c r="N462" s="40"/>
      <c r="O462" s="40"/>
      <c r="P462" s="39"/>
      <c r="Q462" s="39"/>
      <c r="R462" s="39"/>
      <c r="S462" s="39"/>
      <c r="T462" s="39"/>
      <c r="V462">
        <f>IF(Tabela3[[#This Row],[Pago]]&lt;&gt;"",IF(F463="",Tabela3[[#This Row],[Saldo]],0))</f>
        <v>0</v>
      </c>
    </row>
    <row r="463" spans="1:22" x14ac:dyDescent="0.25">
      <c r="A463" t="s">
        <v>281</v>
      </c>
      <c r="B463" s="37">
        <v>10</v>
      </c>
      <c r="C463" t="str">
        <f>_xlfn.XLOOKUP(B463,'Centro de Custo'!A$2:A$45,'Centro de Custo'!B$2:B$45)</f>
        <v>Retirada Mensal</v>
      </c>
      <c r="E463" s="39">
        <v>-24.98</v>
      </c>
      <c r="F463" s="40" t="s">
        <v>10</v>
      </c>
      <c r="G463" s="41">
        <v>45540</v>
      </c>
      <c r="H463" s="42">
        <f>YEAR(Tabela3[[#This Row],[Data]])</f>
        <v>2024</v>
      </c>
      <c r="I463" s="42" t="str">
        <f>_xlfn.XLOOKUP(J463,'Centro de Custo'!J$2:J$13,'Centro de Custo'!K$2:K$13)</f>
        <v>Setembro</v>
      </c>
      <c r="J463" s="43">
        <f>MONTH(Tabela3[[#This Row],[Data]])</f>
        <v>9</v>
      </c>
      <c r="K463" s="39">
        <f>SUM(E$3:Tabela3[[#This Row],[Valor]])</f>
        <v>3287577.3200000003</v>
      </c>
      <c r="L463" s="40">
        <f t="shared" si="7"/>
        <v>2.22375</v>
      </c>
      <c r="M463" s="40"/>
      <c r="N463" s="40"/>
      <c r="O463" s="40"/>
      <c r="P463" s="39"/>
      <c r="Q463" s="39"/>
      <c r="R463" s="39"/>
      <c r="S463" s="39"/>
      <c r="T463" s="39"/>
      <c r="V463">
        <f>IF(Tabela3[[#This Row],[Pago]]&lt;&gt;"",IF(F464="",Tabela3[[#This Row],[Saldo]],0))</f>
        <v>0</v>
      </c>
    </row>
    <row r="464" spans="1:22" x14ac:dyDescent="0.25">
      <c r="A464" t="s">
        <v>256</v>
      </c>
      <c r="B464" s="37">
        <v>10</v>
      </c>
      <c r="C464" t="str">
        <f>_xlfn.XLOOKUP(B464,'Centro de Custo'!A$2:A$45,'Centro de Custo'!B$2:B$45)</f>
        <v>Retirada Mensal</v>
      </c>
      <c r="E464" s="39">
        <v>-65</v>
      </c>
      <c r="F464" s="40" t="s">
        <v>10</v>
      </c>
      <c r="G464" s="41">
        <v>45540</v>
      </c>
      <c r="H464" s="42">
        <f>YEAR(Tabela3[[#This Row],[Data]])</f>
        <v>2024</v>
      </c>
      <c r="I464" s="42" t="str">
        <f>_xlfn.XLOOKUP(J464,'Centro de Custo'!J$2:J$13,'Centro de Custo'!K$2:K$13)</f>
        <v>Setembro</v>
      </c>
      <c r="J464" s="43">
        <f>MONTH(Tabela3[[#This Row],[Data]])</f>
        <v>9</v>
      </c>
      <c r="K464" s="39">
        <f>SUM(E$3:Tabela3[[#This Row],[Valor]])</f>
        <v>3287512.3200000003</v>
      </c>
      <c r="L464" s="40">
        <f t="shared" si="7"/>
        <v>2.22375</v>
      </c>
      <c r="M464" s="40"/>
      <c r="N464" s="40"/>
      <c r="O464" s="40"/>
      <c r="P464" s="39"/>
      <c r="Q464" s="39"/>
      <c r="R464" s="39"/>
      <c r="S464" s="39"/>
      <c r="T464" s="39"/>
      <c r="V464">
        <f>IF(Tabela3[[#This Row],[Pago]]&lt;&gt;"",IF(F465="",Tabela3[[#This Row],[Saldo]],0))</f>
        <v>0</v>
      </c>
    </row>
    <row r="465" spans="1:22" x14ac:dyDescent="0.25">
      <c r="A465" t="s">
        <v>204</v>
      </c>
      <c r="B465" s="37">
        <v>20</v>
      </c>
      <c r="C465" t="str">
        <f>_xlfn.XLOOKUP(B465,'Centro de Custo'!A$2:A$45,'Centro de Custo'!B$2:B$45)</f>
        <v>Desp. ADM</v>
      </c>
      <c r="E465" s="39">
        <v>-98.03</v>
      </c>
      <c r="F465" s="40" t="s">
        <v>10</v>
      </c>
      <c r="G465" s="41">
        <v>45540</v>
      </c>
      <c r="H465" s="42">
        <f>YEAR(Tabela3[[#This Row],[Data]])</f>
        <v>2024</v>
      </c>
      <c r="I465" s="42" t="str">
        <f>_xlfn.XLOOKUP(J465,'Centro de Custo'!J$2:J$13,'Centro de Custo'!K$2:K$13)</f>
        <v>Setembro</v>
      </c>
      <c r="J465" s="43">
        <f>MONTH(Tabela3[[#This Row],[Data]])</f>
        <v>9</v>
      </c>
      <c r="K465" s="39">
        <f>SUM(E$3:Tabela3[[#This Row],[Valor]])</f>
        <v>3287414.2900000005</v>
      </c>
      <c r="L465" s="40">
        <f t="shared" si="7"/>
        <v>2.22375</v>
      </c>
      <c r="M465" s="40"/>
      <c r="N465" s="40"/>
      <c r="O465" s="40"/>
      <c r="P465" s="39"/>
      <c r="Q465" s="39"/>
      <c r="R465" s="39"/>
      <c r="S465" s="39"/>
      <c r="T465" s="39"/>
      <c r="V465">
        <f>IF(Tabela3[[#This Row],[Pago]]&lt;&gt;"",IF(F466="",Tabela3[[#This Row],[Saldo]],0))</f>
        <v>0</v>
      </c>
    </row>
    <row r="466" spans="1:22" x14ac:dyDescent="0.25">
      <c r="A466" t="s">
        <v>167</v>
      </c>
      <c r="B466" s="37">
        <v>20</v>
      </c>
      <c r="C466" t="str">
        <f>_xlfn.XLOOKUP(B466,'Centro de Custo'!A$2:A$45,'Centro de Custo'!B$2:B$45)</f>
        <v>Desp. ADM</v>
      </c>
      <c r="E466" s="39">
        <v>-454.21</v>
      </c>
      <c r="F466" s="40" t="s">
        <v>10</v>
      </c>
      <c r="G466" s="41">
        <v>45540</v>
      </c>
      <c r="H466" s="42">
        <f>YEAR(Tabela3[[#This Row],[Data]])</f>
        <v>2024</v>
      </c>
      <c r="I466" s="42" t="str">
        <f>_xlfn.XLOOKUP(J466,'Centro de Custo'!J$2:J$13,'Centro de Custo'!K$2:K$13)</f>
        <v>Setembro</v>
      </c>
      <c r="J466" s="43">
        <f>MONTH(Tabela3[[#This Row],[Data]])</f>
        <v>9</v>
      </c>
      <c r="K466" s="39">
        <f>SUM(E$3:Tabela3[[#This Row],[Valor]])</f>
        <v>3286960.0800000005</v>
      </c>
      <c r="L466" s="40">
        <f t="shared" si="7"/>
        <v>2.22375</v>
      </c>
      <c r="M466" s="40"/>
      <c r="N466" s="40"/>
      <c r="O466" s="40"/>
      <c r="P466" s="39"/>
      <c r="Q466" s="39"/>
      <c r="R466" s="39"/>
      <c r="S466" s="39"/>
      <c r="T466" s="39"/>
      <c r="V466">
        <f>IF(Tabela3[[#This Row],[Pago]]&lt;&gt;"",IF(F467="",Tabela3[[#This Row],[Saldo]],0))</f>
        <v>0</v>
      </c>
    </row>
    <row r="467" spans="1:22" x14ac:dyDescent="0.25">
      <c r="A467" t="s">
        <v>231</v>
      </c>
      <c r="B467" s="37">
        <v>10</v>
      </c>
      <c r="C467" t="str">
        <f>_xlfn.XLOOKUP(B467,'Centro de Custo'!A$2:A$45,'Centro de Custo'!B$2:B$45)</f>
        <v>Retirada Mensal</v>
      </c>
      <c r="E467" s="39">
        <v>-1484.13</v>
      </c>
      <c r="F467" s="40" t="s">
        <v>10</v>
      </c>
      <c r="G467" s="41">
        <v>45540</v>
      </c>
      <c r="H467" s="42">
        <f>YEAR(Tabela3[[#This Row],[Data]])</f>
        <v>2024</v>
      </c>
      <c r="I467" s="42" t="str">
        <f>_xlfn.XLOOKUP(J467,'Centro de Custo'!J$2:J$13,'Centro de Custo'!K$2:K$13)</f>
        <v>Setembro</v>
      </c>
      <c r="J467" s="43">
        <f>MONTH(Tabela3[[#This Row],[Data]])</f>
        <v>9</v>
      </c>
      <c r="K467" s="39">
        <f>SUM(E$3:Tabela3[[#This Row],[Valor]])</f>
        <v>3285475.9500000007</v>
      </c>
      <c r="L467" s="40">
        <f t="shared" si="7"/>
        <v>2.22375</v>
      </c>
      <c r="M467" s="40"/>
      <c r="N467" s="40"/>
      <c r="O467" s="40"/>
      <c r="P467" s="39"/>
      <c r="Q467" s="39"/>
      <c r="R467" s="39"/>
      <c r="S467" s="39"/>
      <c r="T467" s="39"/>
      <c r="V467">
        <f>IF(Tabela3[[#This Row],[Pago]]&lt;&gt;"",IF(F468="",Tabela3[[#This Row],[Saldo]],0))</f>
        <v>0</v>
      </c>
    </row>
    <row r="468" spans="1:22" x14ac:dyDescent="0.25">
      <c r="A468" t="s">
        <v>282</v>
      </c>
      <c r="B468" s="37">
        <v>15</v>
      </c>
      <c r="C468" t="str">
        <f>_xlfn.XLOOKUP(B468,'Centro de Custo'!A$2:A$45,'Centro de Custo'!B$2:B$45)</f>
        <v>Viagens</v>
      </c>
      <c r="E468" s="39">
        <v>-2998</v>
      </c>
      <c r="F468" s="40" t="s">
        <v>10</v>
      </c>
      <c r="G468" s="41">
        <v>45540</v>
      </c>
      <c r="H468" s="42">
        <f>YEAR(Tabela3[[#This Row],[Data]])</f>
        <v>2024</v>
      </c>
      <c r="I468" s="42" t="str">
        <f>_xlfn.XLOOKUP(J468,'Centro de Custo'!J$2:J$13,'Centro de Custo'!K$2:K$13)</f>
        <v>Setembro</v>
      </c>
      <c r="J468" s="43">
        <f>MONTH(Tabela3[[#This Row],[Data]])</f>
        <v>9</v>
      </c>
      <c r="K468" s="39">
        <f>SUM(E$3:Tabela3[[#This Row],[Valor]])</f>
        <v>3282477.9500000007</v>
      </c>
      <c r="L468" s="40">
        <f t="shared" si="7"/>
        <v>2.22375</v>
      </c>
      <c r="M468" s="40"/>
      <c r="N468" s="40"/>
      <c r="O468" s="40"/>
      <c r="P468" s="39"/>
      <c r="Q468" s="39"/>
      <c r="R468" s="39"/>
      <c r="S468" s="39"/>
      <c r="T468" s="39"/>
      <c r="V468">
        <f>IF(Tabela3[[#This Row],[Pago]]&lt;&gt;"",IF(F469="",Tabela3[[#This Row],[Saldo]],0))</f>
        <v>0</v>
      </c>
    </row>
    <row r="469" spans="1:22" x14ac:dyDescent="0.25">
      <c r="A469" t="s">
        <v>134</v>
      </c>
      <c r="B469" s="37">
        <v>13</v>
      </c>
      <c r="C469" t="str">
        <f>_xlfn.XLOOKUP(B469,'Centro de Custo'!A$2:A$45,'Centro de Custo'!B$2:B$45)</f>
        <v>Terceirizados</v>
      </c>
      <c r="E469" s="39">
        <v>-7000</v>
      </c>
      <c r="F469" s="40" t="s">
        <v>10</v>
      </c>
      <c r="G469" s="41">
        <v>45540</v>
      </c>
      <c r="H469" s="42">
        <f>YEAR(Tabela3[[#This Row],[Data]])</f>
        <v>2024</v>
      </c>
      <c r="I469" s="42" t="str">
        <f>_xlfn.XLOOKUP(J469,'Centro de Custo'!J$2:J$13,'Centro de Custo'!K$2:K$13)</f>
        <v>Setembro</v>
      </c>
      <c r="J469" s="43">
        <f>MONTH(Tabela3[[#This Row],[Data]])</f>
        <v>9</v>
      </c>
      <c r="K469" s="39">
        <f>SUM(E$3:Tabela3[[#This Row],[Valor]])</f>
        <v>3275477.9500000007</v>
      </c>
      <c r="L469" s="40">
        <f t="shared" si="7"/>
        <v>2.22375</v>
      </c>
      <c r="M469" s="40"/>
      <c r="N469" s="40"/>
      <c r="O469" s="40"/>
      <c r="P469" s="39"/>
      <c r="Q469" s="39"/>
      <c r="R469" s="39"/>
      <c r="S469" s="39"/>
      <c r="T469" s="39"/>
      <c r="V469">
        <f>IF(Tabela3[[#This Row],[Pago]]&lt;&gt;"",IF(F470="",Tabela3[[#This Row],[Saldo]],0))</f>
        <v>0</v>
      </c>
    </row>
    <row r="470" spans="1:22" x14ac:dyDescent="0.25">
      <c r="A470" t="s">
        <v>55</v>
      </c>
      <c r="B470" s="37">
        <v>10</v>
      </c>
      <c r="C470" t="str">
        <f>_xlfn.XLOOKUP(B470,'Centro de Custo'!A$2:A$45,'Centro de Custo'!B$2:B$45)</f>
        <v>Retirada Mensal</v>
      </c>
      <c r="E470" s="39">
        <v>-11600</v>
      </c>
      <c r="F470" s="40" t="s">
        <v>10</v>
      </c>
      <c r="G470" s="41">
        <v>45540</v>
      </c>
      <c r="H470" s="42">
        <f>YEAR(Tabela3[[#This Row],[Data]])</f>
        <v>2024</v>
      </c>
      <c r="I470" s="42" t="str">
        <f>_xlfn.XLOOKUP(J470,'Centro de Custo'!J$2:J$13,'Centro de Custo'!K$2:K$13)</f>
        <v>Setembro</v>
      </c>
      <c r="J470" s="43">
        <f>MONTH(Tabela3[[#This Row],[Data]])</f>
        <v>9</v>
      </c>
      <c r="K470" s="39">
        <f>SUM(E$3:Tabela3[[#This Row],[Valor]])</f>
        <v>3263877.9500000007</v>
      </c>
      <c r="L470" s="40">
        <f t="shared" si="7"/>
        <v>2.22375</v>
      </c>
      <c r="M470" s="40"/>
      <c r="N470" s="40"/>
      <c r="O470" s="40"/>
      <c r="P470" s="39"/>
      <c r="Q470" s="39"/>
      <c r="R470" s="39"/>
      <c r="S470" s="39"/>
      <c r="T470" s="39"/>
      <c r="V470">
        <f>IF(Tabela3[[#This Row],[Pago]]&lt;&gt;"",IF(F471="",Tabela3[[#This Row],[Saldo]],0))</f>
        <v>0</v>
      </c>
    </row>
    <row r="471" spans="1:22" x14ac:dyDescent="0.25">
      <c r="A471" t="s">
        <v>91</v>
      </c>
      <c r="B471" s="37">
        <v>10</v>
      </c>
      <c r="C471" t="str">
        <f>_xlfn.XLOOKUP(B471,'Centro de Custo'!A$2:A$45,'Centro de Custo'!B$2:B$45)</f>
        <v>Retirada Mensal</v>
      </c>
      <c r="E471" s="39">
        <v>-12000</v>
      </c>
      <c r="F471" s="40" t="s">
        <v>10</v>
      </c>
      <c r="G471" s="41">
        <v>45540</v>
      </c>
      <c r="H471" s="42">
        <f>YEAR(Tabela3[[#This Row],[Data]])</f>
        <v>2024</v>
      </c>
      <c r="I471" s="42" t="str">
        <f>_xlfn.XLOOKUP(J471,'Centro de Custo'!J$2:J$13,'Centro de Custo'!K$2:K$13)</f>
        <v>Setembro</v>
      </c>
      <c r="J471" s="43">
        <f>MONTH(Tabela3[[#This Row],[Data]])</f>
        <v>9</v>
      </c>
      <c r="K471" s="39">
        <f>SUM(E$3:Tabela3[[#This Row],[Valor]])</f>
        <v>3251877.9500000007</v>
      </c>
      <c r="L471" s="40">
        <f t="shared" si="7"/>
        <v>2.22375</v>
      </c>
      <c r="M471" s="40"/>
      <c r="N471" s="40"/>
      <c r="O471" s="40"/>
      <c r="P471" s="39"/>
      <c r="Q471" s="39"/>
      <c r="R471" s="39"/>
      <c r="S471" s="39"/>
      <c r="T471" s="39"/>
      <c r="V471">
        <f>IF(Tabela3[[#This Row],[Pago]]&lt;&gt;"",IF(F472="",Tabela3[[#This Row],[Saldo]],0))</f>
        <v>0</v>
      </c>
    </row>
    <row r="472" spans="1:22" x14ac:dyDescent="0.25">
      <c r="A472" t="s">
        <v>92</v>
      </c>
      <c r="B472" s="37">
        <v>10</v>
      </c>
      <c r="C472" t="str">
        <f>_xlfn.XLOOKUP(B472,'Centro de Custo'!A$2:A$45,'Centro de Custo'!B$2:B$45)</f>
        <v>Retirada Mensal</v>
      </c>
      <c r="E472" s="39">
        <v>-12160</v>
      </c>
      <c r="F472" s="40" t="s">
        <v>10</v>
      </c>
      <c r="G472" s="41">
        <v>45540</v>
      </c>
      <c r="H472" s="42">
        <f>YEAR(Tabela3[[#This Row],[Data]])</f>
        <v>2024</v>
      </c>
      <c r="I472" s="42" t="str">
        <f>_xlfn.XLOOKUP(J472,'Centro de Custo'!J$2:J$13,'Centro de Custo'!K$2:K$13)</f>
        <v>Setembro</v>
      </c>
      <c r="J472" s="43">
        <f>MONTH(Tabela3[[#This Row],[Data]])</f>
        <v>9</v>
      </c>
      <c r="K472" s="39">
        <f>SUM(E$3:Tabela3[[#This Row],[Valor]])</f>
        <v>3239717.9500000007</v>
      </c>
      <c r="L472" s="40">
        <f t="shared" si="7"/>
        <v>2.22375</v>
      </c>
      <c r="M472" s="40"/>
      <c r="N472" s="40"/>
      <c r="O472" s="40"/>
      <c r="P472" s="39"/>
      <c r="Q472" s="39"/>
      <c r="R472" s="39"/>
      <c r="S472" s="39"/>
      <c r="T472" s="39"/>
      <c r="V472">
        <f>IF(Tabela3[[#This Row],[Pago]]&lt;&gt;"",IF(F473="",Tabela3[[#This Row],[Saldo]],0))</f>
        <v>0</v>
      </c>
    </row>
    <row r="473" spans="1:22" x14ac:dyDescent="0.25">
      <c r="A473" t="s">
        <v>283</v>
      </c>
      <c r="B473" s="37">
        <v>10</v>
      </c>
      <c r="C473" t="str">
        <f>_xlfn.XLOOKUP(B473,'Centro de Custo'!A$2:A$45,'Centro de Custo'!B$2:B$45)</f>
        <v>Retirada Mensal</v>
      </c>
      <c r="E473" s="39">
        <v>-23000</v>
      </c>
      <c r="F473" s="40" t="s">
        <v>10</v>
      </c>
      <c r="G473" s="41">
        <v>45540</v>
      </c>
      <c r="H473" s="42">
        <f>YEAR(Tabela3[[#This Row],[Data]])</f>
        <v>2024</v>
      </c>
      <c r="I473" s="42" t="str">
        <f>_xlfn.XLOOKUP(J473,'Centro de Custo'!J$2:J$13,'Centro de Custo'!K$2:K$13)</f>
        <v>Setembro</v>
      </c>
      <c r="J473" s="43">
        <f>MONTH(Tabela3[[#This Row],[Data]])</f>
        <v>9</v>
      </c>
      <c r="K473" s="39">
        <f>SUM(E$3:Tabela3[[#This Row],[Valor]])</f>
        <v>3216717.9500000007</v>
      </c>
      <c r="L473" s="40">
        <f t="shared" si="7"/>
        <v>2.22375</v>
      </c>
      <c r="M473" s="40"/>
      <c r="N473" s="40"/>
      <c r="O473" s="40"/>
      <c r="P473" s="39"/>
      <c r="Q473" s="39"/>
      <c r="R473" s="39"/>
      <c r="S473" s="39"/>
      <c r="T473" s="39"/>
      <c r="V473">
        <f>IF(Tabela3[[#This Row],[Pago]]&lt;&gt;"",IF(F474="",Tabela3[[#This Row],[Saldo]],0))</f>
        <v>0</v>
      </c>
    </row>
    <row r="474" spans="1:22" x14ac:dyDescent="0.25">
      <c r="A474" t="s">
        <v>51</v>
      </c>
      <c r="B474" s="37">
        <v>40</v>
      </c>
      <c r="C474" t="str">
        <f>_xlfn.XLOOKUP(B474,'Centro de Custo'!A$2:A$45,'Centro de Custo'!B$2:B$45)</f>
        <v>Aplicação Financeira</v>
      </c>
      <c r="E474" s="39">
        <v>-3100000</v>
      </c>
      <c r="F474" s="40" t="s">
        <v>10</v>
      </c>
      <c r="G474" s="41">
        <v>45540</v>
      </c>
      <c r="H474" s="42">
        <f>YEAR(Tabela3[[#This Row],[Data]])</f>
        <v>2024</v>
      </c>
      <c r="I474" s="42" t="str">
        <f>_xlfn.XLOOKUP(J474,'Centro de Custo'!J$2:J$13,'Centro de Custo'!K$2:K$13)</f>
        <v>Setembro</v>
      </c>
      <c r="J474" s="43">
        <f>MONTH(Tabela3[[#This Row],[Data]])</f>
        <v>9</v>
      </c>
      <c r="K474" s="39">
        <f>SUM(E$3:Tabela3[[#This Row],[Valor]])</f>
        <v>116717.95000000065</v>
      </c>
      <c r="L474" s="40">
        <f t="shared" si="7"/>
        <v>2.22375</v>
      </c>
      <c r="M474" s="40"/>
      <c r="N474" s="40"/>
      <c r="O474" s="40"/>
      <c r="P474" s="39"/>
      <c r="Q474" s="39"/>
      <c r="R474" s="39"/>
      <c r="S474" s="39"/>
      <c r="T474" s="39"/>
      <c r="V474">
        <f>IF(Tabela3[[#This Row],[Pago]]&lt;&gt;"",IF(F475="",Tabela3[[#This Row],[Saldo]],0))</f>
        <v>0</v>
      </c>
    </row>
    <row r="475" spans="1:22" x14ac:dyDescent="0.25">
      <c r="A475" t="s">
        <v>155</v>
      </c>
      <c r="B475" s="37">
        <v>50</v>
      </c>
      <c r="C475" t="str">
        <f>_xlfn.XLOOKUP(B475,'Centro de Custo'!A$2:A$45,'Centro de Custo'!B$2:B$45)</f>
        <v>Empréstimos</v>
      </c>
      <c r="E475" s="39">
        <v>25000</v>
      </c>
      <c r="F475" s="40" t="s">
        <v>10</v>
      </c>
      <c r="G475" s="41">
        <v>45541</v>
      </c>
      <c r="H475" s="42">
        <f>YEAR(Tabela3[[#This Row],[Data]])</f>
        <v>2024</v>
      </c>
      <c r="I475" s="42" t="str">
        <f>_xlfn.XLOOKUP(J475,'Centro de Custo'!J$2:J$13,'Centro de Custo'!K$2:K$13)</f>
        <v>Setembro</v>
      </c>
      <c r="J475" s="43">
        <f>MONTH(Tabela3[[#This Row],[Data]])</f>
        <v>9</v>
      </c>
      <c r="K475" s="39">
        <f>SUM(E$3:Tabela3[[#This Row],[Valor]])</f>
        <v>141717.95000000065</v>
      </c>
      <c r="L475" s="40">
        <f t="shared" si="7"/>
        <v>2.22375</v>
      </c>
      <c r="M475" s="40"/>
      <c r="N475" s="40"/>
      <c r="O475" s="40"/>
      <c r="P475" s="39"/>
      <c r="Q475" s="39"/>
      <c r="R475" s="39"/>
      <c r="S475" s="39"/>
      <c r="T475" s="39"/>
      <c r="V475">
        <f>IF(Tabela3[[#This Row],[Pago]]&lt;&gt;"",IF(F476="",Tabela3[[#This Row],[Saldo]],0))</f>
        <v>0</v>
      </c>
    </row>
    <row r="476" spans="1:22" x14ac:dyDescent="0.25">
      <c r="A476" t="s">
        <v>155</v>
      </c>
      <c r="B476" s="37">
        <v>11</v>
      </c>
      <c r="C476" t="str">
        <f>_xlfn.XLOOKUP(B476,'Centro de Custo'!A$2:A$45,'Centro de Custo'!B$2:B$45)</f>
        <v>Distribuição de Lucro</v>
      </c>
      <c r="E476" s="39">
        <v>-25000</v>
      </c>
      <c r="F476" s="40" t="s">
        <v>10</v>
      </c>
      <c r="G476" s="41">
        <v>45541</v>
      </c>
      <c r="H476" s="42">
        <f>YEAR(Tabela3[[#This Row],[Data]])</f>
        <v>2024</v>
      </c>
      <c r="I476" s="42" t="str">
        <f>_xlfn.XLOOKUP(J476,'Centro de Custo'!J$2:J$13,'Centro de Custo'!K$2:K$13)</f>
        <v>Setembro</v>
      </c>
      <c r="J476" s="43">
        <f>MONTH(Tabela3[[#This Row],[Data]])</f>
        <v>9</v>
      </c>
      <c r="K476" s="39">
        <f>SUM(E$3:Tabela3[[#This Row],[Valor]])</f>
        <v>116717.95000000065</v>
      </c>
      <c r="L476" s="40">
        <f t="shared" si="7"/>
        <v>2.22375</v>
      </c>
      <c r="M476" s="40"/>
      <c r="N476" s="40"/>
      <c r="O476" s="40"/>
      <c r="P476" s="39"/>
      <c r="Q476" s="39"/>
      <c r="R476" s="39"/>
      <c r="S476" s="39"/>
      <c r="T476" s="39"/>
      <c r="V476">
        <f>IF(Tabela3[[#This Row],[Pago]]&lt;&gt;"",IF(F477="",Tabela3[[#This Row],[Saldo]],0))</f>
        <v>0</v>
      </c>
    </row>
    <row r="477" spans="1:22" x14ac:dyDescent="0.25">
      <c r="A477" t="s">
        <v>178</v>
      </c>
      <c r="B477" s="37">
        <v>20</v>
      </c>
      <c r="C477" t="str">
        <f>_xlfn.XLOOKUP(B477,'Centro de Custo'!A$2:A$45,'Centro de Custo'!B$2:B$45)</f>
        <v>Desp. ADM</v>
      </c>
      <c r="E477" s="39">
        <v>-139.9</v>
      </c>
      <c r="F477" s="40" t="s">
        <v>10</v>
      </c>
      <c r="G477" s="41">
        <v>45544</v>
      </c>
      <c r="H477" s="42">
        <f>YEAR(Tabela3[[#This Row],[Data]])</f>
        <v>2024</v>
      </c>
      <c r="I477" s="42" t="str">
        <f>_xlfn.XLOOKUP(J477,'Centro de Custo'!J$2:J$13,'Centro de Custo'!K$2:K$13)</f>
        <v>Setembro</v>
      </c>
      <c r="J477" s="43">
        <f>MONTH(Tabela3[[#This Row],[Data]])</f>
        <v>9</v>
      </c>
      <c r="K477" s="39">
        <f>SUM(E$3:Tabela3[[#This Row],[Valor]])</f>
        <v>116578.05000000066</v>
      </c>
      <c r="L477" s="40">
        <f t="shared" si="7"/>
        <v>2.22375</v>
      </c>
      <c r="M477" s="40"/>
      <c r="N477" s="40"/>
      <c r="O477" s="40"/>
      <c r="P477" s="39"/>
      <c r="Q477" s="39"/>
      <c r="R477" s="39"/>
      <c r="S477" s="39"/>
      <c r="T477" s="39"/>
      <c r="V477">
        <f>IF(Tabela3[[#This Row],[Pago]]&lt;&gt;"",IF(F478="",Tabela3[[#This Row],[Saldo]],0))</f>
        <v>0</v>
      </c>
    </row>
    <row r="478" spans="1:22" x14ac:dyDescent="0.25">
      <c r="A478" t="s">
        <v>215</v>
      </c>
      <c r="B478" s="37">
        <v>20</v>
      </c>
      <c r="C478" t="str">
        <f>_xlfn.XLOOKUP(B478,'Centro de Custo'!A$2:A$45,'Centro de Custo'!B$2:B$45)</f>
        <v>Desp. ADM</v>
      </c>
      <c r="E478" s="39">
        <v>-311</v>
      </c>
      <c r="F478" s="40" t="s">
        <v>10</v>
      </c>
      <c r="G478" s="41">
        <v>45544</v>
      </c>
      <c r="H478" s="42">
        <f>YEAR(Tabela3[[#This Row],[Data]])</f>
        <v>2024</v>
      </c>
      <c r="I478" s="42" t="str">
        <f>_xlfn.XLOOKUP(J478,'Centro de Custo'!J$2:J$13,'Centro de Custo'!K$2:K$13)</f>
        <v>Setembro</v>
      </c>
      <c r="J478" s="43">
        <f>MONTH(Tabela3[[#This Row],[Data]])</f>
        <v>9</v>
      </c>
      <c r="K478" s="39">
        <f>SUM(E$3:Tabela3[[#This Row],[Valor]])</f>
        <v>116267.05000000066</v>
      </c>
      <c r="L478" s="40">
        <f t="shared" si="7"/>
        <v>2.22375</v>
      </c>
      <c r="M478" s="40"/>
      <c r="N478" s="40"/>
      <c r="O478" s="40"/>
      <c r="P478" s="39"/>
      <c r="Q478" s="39"/>
      <c r="R478" s="39"/>
      <c r="S478" s="39"/>
      <c r="T478" s="39"/>
      <c r="V478">
        <f>IF(Tabela3[[#This Row],[Pago]]&lt;&gt;"",IF(F479="",Tabela3[[#This Row],[Saldo]],0))</f>
        <v>0</v>
      </c>
    </row>
    <row r="479" spans="1:22" x14ac:dyDescent="0.25">
      <c r="A479" t="s">
        <v>190</v>
      </c>
      <c r="B479" s="37">
        <v>13</v>
      </c>
      <c r="C479" t="str">
        <f>_xlfn.XLOOKUP(B479,'Centro de Custo'!A$2:A$45,'Centro de Custo'!B$2:B$45)</f>
        <v>Terceirizados</v>
      </c>
      <c r="E479" s="39">
        <v>-4886.44</v>
      </c>
      <c r="F479" s="40" t="s">
        <v>10</v>
      </c>
      <c r="G479" s="41">
        <v>45544</v>
      </c>
      <c r="H479" s="42">
        <f>YEAR(Tabela3[[#This Row],[Data]])</f>
        <v>2024</v>
      </c>
      <c r="I479" s="42" t="str">
        <f>_xlfn.XLOOKUP(J479,'Centro de Custo'!J$2:J$13,'Centro de Custo'!K$2:K$13)</f>
        <v>Setembro</v>
      </c>
      <c r="J479" s="43">
        <f>MONTH(Tabela3[[#This Row],[Data]])</f>
        <v>9</v>
      </c>
      <c r="K479" s="39">
        <f>SUM(E$3:Tabela3[[#This Row],[Valor]])</f>
        <v>111380.61000000066</v>
      </c>
      <c r="L479" s="40">
        <f t="shared" si="7"/>
        <v>2.22375</v>
      </c>
      <c r="M479" s="40"/>
      <c r="N479" s="40"/>
      <c r="O479" s="40"/>
      <c r="P479" s="39"/>
      <c r="Q479" s="39"/>
      <c r="R479" s="39"/>
      <c r="S479" s="39"/>
      <c r="T479" s="39"/>
      <c r="V479">
        <f>IF(Tabela3[[#This Row],[Pago]]&lt;&gt;"",IF(F480="",Tabela3[[#This Row],[Saldo]],0))</f>
        <v>0</v>
      </c>
    </row>
    <row r="480" spans="1:22" x14ac:dyDescent="0.25">
      <c r="A480" t="s">
        <v>284</v>
      </c>
      <c r="B480" s="37">
        <v>11</v>
      </c>
      <c r="C480" t="str">
        <f>_xlfn.XLOOKUP(B480,'Centro de Custo'!A$2:A$45,'Centro de Custo'!B$2:B$45)</f>
        <v>Distribuição de Lucro</v>
      </c>
      <c r="E480" s="39">
        <v>-80000</v>
      </c>
      <c r="F480" s="40" t="s">
        <v>10</v>
      </c>
      <c r="G480" s="41">
        <v>45544</v>
      </c>
      <c r="H480" s="42">
        <f>YEAR(Tabela3[[#This Row],[Data]])</f>
        <v>2024</v>
      </c>
      <c r="I480" s="42" t="str">
        <f>_xlfn.XLOOKUP(J480,'Centro de Custo'!J$2:J$13,'Centro de Custo'!K$2:K$13)</f>
        <v>Setembro</v>
      </c>
      <c r="J480" s="43">
        <f>MONTH(Tabela3[[#This Row],[Data]])</f>
        <v>9</v>
      </c>
      <c r="K480" s="39">
        <f>SUM(E$3:Tabela3[[#This Row],[Valor]])</f>
        <v>31380.610000000655</v>
      </c>
      <c r="L480" s="40">
        <f t="shared" si="7"/>
        <v>2.22375</v>
      </c>
      <c r="M480" s="40"/>
      <c r="N480" s="40"/>
      <c r="O480" s="40"/>
      <c r="P480" s="39"/>
      <c r="Q480" s="39"/>
      <c r="R480" s="39"/>
      <c r="S480" s="39"/>
      <c r="T480" s="39"/>
      <c r="V480">
        <f>IF(Tabela3[[#This Row],[Pago]]&lt;&gt;"",IF(F481="",Tabela3[[#This Row],[Saldo]],0))</f>
        <v>0</v>
      </c>
    </row>
    <row r="481" spans="1:22" x14ac:dyDescent="0.25">
      <c r="A481" t="s">
        <v>285</v>
      </c>
      <c r="B481" s="37">
        <v>15</v>
      </c>
      <c r="C481" t="str">
        <f>_xlfn.XLOOKUP(B481,'Centro de Custo'!A$2:A$45,'Centro de Custo'!B$2:B$45)</f>
        <v>Viagens</v>
      </c>
      <c r="E481" s="39">
        <v>-500</v>
      </c>
      <c r="F481" s="40" t="s">
        <v>10</v>
      </c>
      <c r="G481" s="41">
        <v>45545</v>
      </c>
      <c r="H481" s="42">
        <f>YEAR(Tabela3[[#This Row],[Data]])</f>
        <v>2024</v>
      </c>
      <c r="I481" s="42" t="str">
        <f>_xlfn.XLOOKUP(J481,'Centro de Custo'!J$2:J$13,'Centro de Custo'!K$2:K$13)</f>
        <v>Setembro</v>
      </c>
      <c r="J481" s="43">
        <f>MONTH(Tabela3[[#This Row],[Data]])</f>
        <v>9</v>
      </c>
      <c r="K481" s="39">
        <f>SUM(E$3:Tabela3[[#This Row],[Valor]])</f>
        <v>30880.610000000655</v>
      </c>
      <c r="L481" s="40">
        <f t="shared" si="7"/>
        <v>2.22375</v>
      </c>
      <c r="M481" s="40"/>
      <c r="N481" s="40"/>
      <c r="O481" s="40"/>
      <c r="P481" s="39"/>
      <c r="Q481" s="39"/>
      <c r="R481" s="39"/>
      <c r="S481" s="39"/>
      <c r="T481" s="39"/>
      <c r="V481">
        <f>IF(Tabela3[[#This Row],[Pago]]&lt;&gt;"",IF(F482="",Tabela3[[#This Row],[Saldo]],0))</f>
        <v>0</v>
      </c>
    </row>
    <row r="482" spans="1:22" x14ac:dyDescent="0.25">
      <c r="A482" t="s">
        <v>286</v>
      </c>
      <c r="B482" s="37">
        <v>13</v>
      </c>
      <c r="C482" t="str">
        <f>_xlfn.XLOOKUP(B482,'Centro de Custo'!A$2:A$45,'Centro de Custo'!B$2:B$45)</f>
        <v>Terceirizados</v>
      </c>
      <c r="E482" s="39">
        <v>-30000</v>
      </c>
      <c r="F482" s="40" t="s">
        <v>10</v>
      </c>
      <c r="G482" s="41">
        <v>45546</v>
      </c>
      <c r="H482" s="42">
        <f>YEAR(Tabela3[[#This Row],[Data]])</f>
        <v>2024</v>
      </c>
      <c r="I482" s="42" t="str">
        <f>_xlfn.XLOOKUP(J482,'Centro de Custo'!J$2:J$13,'Centro de Custo'!K$2:K$13)</f>
        <v>Setembro</v>
      </c>
      <c r="J482" s="43">
        <f>MONTH(Tabela3[[#This Row],[Data]])</f>
        <v>9</v>
      </c>
      <c r="K482" s="39">
        <f>SUM(E$3:Tabela3[[#This Row],[Valor]])</f>
        <v>880.6100000006554</v>
      </c>
      <c r="L482" s="40">
        <f t="shared" si="7"/>
        <v>2.22375</v>
      </c>
      <c r="M482" s="40"/>
      <c r="N482" s="40"/>
      <c r="O482" s="40"/>
      <c r="P482" s="39"/>
      <c r="Q482" s="39"/>
      <c r="R482" s="39"/>
      <c r="S482" s="39"/>
      <c r="T482" s="39"/>
      <c r="V482">
        <f>IF(Tabela3[[#This Row],[Pago]]&lt;&gt;"",IF(F483="",Tabela3[[#This Row],[Saldo]],0))</f>
        <v>0</v>
      </c>
    </row>
    <row r="483" spans="1:22" x14ac:dyDescent="0.25">
      <c r="A483" t="s">
        <v>265</v>
      </c>
      <c r="B483" s="37">
        <v>20</v>
      </c>
      <c r="C483" t="str">
        <f>_xlfn.XLOOKUP(B483,'Centro de Custo'!A$2:A$45,'Centro de Custo'!B$2:B$45)</f>
        <v>Desp. ADM</v>
      </c>
      <c r="E483" s="39">
        <v>-132.12</v>
      </c>
      <c r="F483" s="40" t="s">
        <v>10</v>
      </c>
      <c r="G483" s="41">
        <v>45551</v>
      </c>
      <c r="H483" s="42">
        <f>YEAR(Tabela3[[#This Row],[Data]])</f>
        <v>2024</v>
      </c>
      <c r="I483" s="42" t="str">
        <f>_xlfn.XLOOKUP(J483,'Centro de Custo'!J$2:J$13,'Centro de Custo'!K$2:K$13)</f>
        <v>Setembro</v>
      </c>
      <c r="J483" s="43">
        <f>MONTH(Tabela3[[#This Row],[Data]])</f>
        <v>9</v>
      </c>
      <c r="K483" s="39">
        <f>SUM(E$3:Tabela3[[#This Row],[Valor]])</f>
        <v>748.4900000006554</v>
      </c>
      <c r="L483" s="40">
        <f t="shared" si="7"/>
        <v>2.22375</v>
      </c>
      <c r="M483" s="40"/>
      <c r="N483" s="40"/>
      <c r="O483" s="40"/>
      <c r="P483" s="39"/>
      <c r="Q483" s="39"/>
      <c r="R483" s="39"/>
      <c r="S483" s="39"/>
      <c r="T483" s="39"/>
      <c r="V483">
        <f>IF(Tabela3[[#This Row],[Pago]]&lt;&gt;"",IF(F484="",Tabela3[[#This Row],[Saldo]],0))</f>
        <v>0</v>
      </c>
    </row>
    <row r="484" spans="1:22" x14ac:dyDescent="0.25">
      <c r="A484" t="s">
        <v>266</v>
      </c>
      <c r="B484" s="37">
        <v>20</v>
      </c>
      <c r="C484" t="str">
        <f>_xlfn.XLOOKUP(B484,'Centro de Custo'!A$2:A$45,'Centro de Custo'!B$2:B$45)</f>
        <v>Desp. ADM</v>
      </c>
      <c r="E484" s="39">
        <v>-611</v>
      </c>
      <c r="F484" s="40" t="s">
        <v>10</v>
      </c>
      <c r="G484" s="41">
        <v>45551</v>
      </c>
      <c r="H484" s="42">
        <f>YEAR(Tabela3[[#This Row],[Data]])</f>
        <v>2024</v>
      </c>
      <c r="I484" s="42" t="str">
        <f>_xlfn.XLOOKUP(J484,'Centro de Custo'!J$2:J$13,'Centro de Custo'!K$2:K$13)</f>
        <v>Setembro</v>
      </c>
      <c r="J484" s="43">
        <f>MONTH(Tabela3[[#This Row],[Data]])</f>
        <v>9</v>
      </c>
      <c r="K484" s="39">
        <f>SUM(E$3:Tabela3[[#This Row],[Valor]])</f>
        <v>137.4900000006554</v>
      </c>
      <c r="L484" s="40">
        <f t="shared" si="7"/>
        <v>2.22375</v>
      </c>
      <c r="M484" s="40"/>
      <c r="N484" s="40"/>
      <c r="O484" s="40"/>
      <c r="P484" s="39"/>
      <c r="Q484" s="39"/>
      <c r="R484" s="39"/>
      <c r="S484" s="39"/>
      <c r="T484" s="39"/>
      <c r="V484">
        <f>IF(Tabela3[[#This Row],[Pago]]&lt;&gt;"",IF(F485="",Tabela3[[#This Row],[Saldo]],0))</f>
        <v>0</v>
      </c>
    </row>
    <row r="485" spans="1:22" x14ac:dyDescent="0.25">
      <c r="A485" t="s">
        <v>287</v>
      </c>
      <c r="B485" s="37">
        <v>41</v>
      </c>
      <c r="C485" t="str">
        <f>_xlfn.XLOOKUP(B485,'Centro de Custo'!A$2:A$45,'Centro de Custo'!B$2:B$45)</f>
        <v>Resgate Financeiro</v>
      </c>
      <c r="E485" s="39">
        <v>200000</v>
      </c>
      <c r="F485" s="40" t="s">
        <v>10</v>
      </c>
      <c r="G485" s="41">
        <v>45552</v>
      </c>
      <c r="H485" s="42">
        <f>YEAR(Tabela3[[#This Row],[Data]])</f>
        <v>2024</v>
      </c>
      <c r="I485" s="42" t="str">
        <f>_xlfn.XLOOKUP(J485,'Centro de Custo'!J$2:J$13,'Centro de Custo'!K$2:K$13)</f>
        <v>Setembro</v>
      </c>
      <c r="J485" s="43">
        <f>MONTH(Tabela3[[#This Row],[Data]])</f>
        <v>9</v>
      </c>
      <c r="K485" s="39">
        <f>SUM(E$3:Tabela3[[#This Row],[Valor]])</f>
        <v>200137.49000000066</v>
      </c>
      <c r="L485" s="40">
        <f t="shared" si="7"/>
        <v>2.22375</v>
      </c>
      <c r="M485" s="40"/>
      <c r="N485" s="40"/>
      <c r="O485" s="40"/>
      <c r="P485" s="39"/>
      <c r="Q485" s="39"/>
      <c r="R485" s="39"/>
      <c r="S485" s="39"/>
      <c r="T485" s="39"/>
      <c r="V485">
        <f>IF(Tabela3[[#This Row],[Pago]]&lt;&gt;"",IF(F486="",Tabela3[[#This Row],[Saldo]],0))</f>
        <v>0</v>
      </c>
    </row>
    <row r="486" spans="1:22" x14ac:dyDescent="0.25">
      <c r="A486" t="s">
        <v>239</v>
      </c>
      <c r="B486" s="37">
        <v>13</v>
      </c>
      <c r="C486" t="str">
        <f>_xlfn.XLOOKUP(B486,'Centro de Custo'!A$2:A$45,'Centro de Custo'!B$2:B$45)</f>
        <v>Terceirizados</v>
      </c>
      <c r="D486" t="s">
        <v>76</v>
      </c>
      <c r="E486" s="39">
        <v>-7240</v>
      </c>
      <c r="F486" s="40" t="s">
        <v>10</v>
      </c>
      <c r="G486" s="41">
        <v>45553</v>
      </c>
      <c r="H486" s="42">
        <f>YEAR(Tabela3[[#This Row],[Data]])</f>
        <v>2024</v>
      </c>
      <c r="I486" s="42" t="str">
        <f>_xlfn.XLOOKUP(J486,'Centro de Custo'!J$2:J$13,'Centro de Custo'!K$2:K$13)</f>
        <v>Setembro</v>
      </c>
      <c r="J486" s="43">
        <f>MONTH(Tabela3[[#This Row],[Data]])</f>
        <v>9</v>
      </c>
      <c r="K486" s="39">
        <f>SUM(E$3:Tabela3[[#This Row],[Valor]])</f>
        <v>192897.49000000066</v>
      </c>
      <c r="L486" s="40">
        <f t="shared" si="7"/>
        <v>2.22375</v>
      </c>
      <c r="M486" s="40"/>
      <c r="N486" s="40"/>
      <c r="O486" s="40"/>
      <c r="P486" s="39"/>
      <c r="Q486" s="39"/>
      <c r="R486" s="39"/>
      <c r="S486" s="39"/>
      <c r="T486" s="39"/>
      <c r="V486">
        <f>IF(Tabela3[[#This Row],[Pago]]&lt;&gt;"",IF(F487="",Tabela3[[#This Row],[Saldo]],0))</f>
        <v>0</v>
      </c>
    </row>
    <row r="487" spans="1:22" x14ac:dyDescent="0.25">
      <c r="A487" t="s">
        <v>288</v>
      </c>
      <c r="B487" s="37">
        <v>20</v>
      </c>
      <c r="C487" t="str">
        <f>_xlfn.XLOOKUP(B487,'Centro de Custo'!A$2:A$45,'Centro de Custo'!B$2:B$45)</f>
        <v>Desp. ADM</v>
      </c>
      <c r="E487" s="39">
        <v>-265.3</v>
      </c>
      <c r="F487" s="40" t="s">
        <v>10</v>
      </c>
      <c r="G487" s="41">
        <v>45555</v>
      </c>
      <c r="H487" s="42">
        <f>YEAR(Tabela3[[#This Row],[Data]])</f>
        <v>2024</v>
      </c>
      <c r="I487" s="42" t="str">
        <f>_xlfn.XLOOKUP(J487,'Centro de Custo'!J$2:J$13,'Centro de Custo'!K$2:K$13)</f>
        <v>Setembro</v>
      </c>
      <c r="J487" s="43">
        <f>MONTH(Tabela3[[#This Row],[Data]])</f>
        <v>9</v>
      </c>
      <c r="K487" s="39">
        <f>SUM(E$3:Tabela3[[#This Row],[Valor]])</f>
        <v>192632.19000000067</v>
      </c>
      <c r="L487" s="40">
        <f t="shared" si="7"/>
        <v>2.22375</v>
      </c>
      <c r="M487" s="40"/>
      <c r="N487" s="40"/>
      <c r="O487" s="40"/>
      <c r="P487" s="39"/>
      <c r="Q487" s="39"/>
      <c r="R487" s="39"/>
      <c r="S487" s="39"/>
      <c r="T487" s="39"/>
      <c r="V487">
        <f>IF(Tabela3[[#This Row],[Pago]]&lt;&gt;"",IF(F488="",Tabela3[[#This Row],[Saldo]],0))</f>
        <v>0</v>
      </c>
    </row>
    <row r="488" spans="1:22" x14ac:dyDescent="0.25">
      <c r="A488" t="s">
        <v>289</v>
      </c>
      <c r="B488" s="37">
        <v>15</v>
      </c>
      <c r="C488" t="str">
        <f>_xlfn.XLOOKUP(B488,'Centro de Custo'!A$2:A$45,'Centro de Custo'!B$2:B$45)</f>
        <v>Viagens</v>
      </c>
      <c r="E488" s="39">
        <v>-488</v>
      </c>
      <c r="F488" s="40" t="s">
        <v>10</v>
      </c>
      <c r="G488" s="41">
        <v>45559</v>
      </c>
      <c r="H488" s="42">
        <f>YEAR(Tabela3[[#This Row],[Data]])</f>
        <v>2024</v>
      </c>
      <c r="I488" s="42" t="str">
        <f>_xlfn.XLOOKUP(J488,'Centro de Custo'!J$2:J$13,'Centro de Custo'!K$2:K$13)</f>
        <v>Setembro</v>
      </c>
      <c r="J488" s="43">
        <f>MONTH(Tabela3[[#This Row],[Data]])</f>
        <v>9</v>
      </c>
      <c r="K488" s="39">
        <f>SUM(E$3:Tabela3[[#This Row],[Valor]])</f>
        <v>192144.19000000067</v>
      </c>
      <c r="L488" s="40">
        <f t="shared" si="7"/>
        <v>2.22375</v>
      </c>
      <c r="M488" s="40"/>
      <c r="N488" s="40"/>
      <c r="O488" s="40"/>
      <c r="P488" s="39"/>
      <c r="Q488" s="39"/>
      <c r="R488" s="39"/>
      <c r="S488" s="39"/>
      <c r="T488" s="39"/>
      <c r="V488">
        <f>IF(Tabela3[[#This Row],[Pago]]&lt;&gt;"",IF(F489="",Tabela3[[#This Row],[Saldo]],0))</f>
        <v>0</v>
      </c>
    </row>
    <row r="489" spans="1:22" x14ac:dyDescent="0.25">
      <c r="A489" t="s">
        <v>290</v>
      </c>
      <c r="B489" s="37">
        <v>13</v>
      </c>
      <c r="C489" t="str">
        <f>_xlfn.XLOOKUP(B489,'Centro de Custo'!A$2:A$45,'Centro de Custo'!B$2:B$45)</f>
        <v>Terceirizados</v>
      </c>
      <c r="E489" s="39">
        <v>-50000</v>
      </c>
      <c r="F489" s="40" t="s">
        <v>10</v>
      </c>
      <c r="G489" s="41">
        <v>45559</v>
      </c>
      <c r="H489" s="42">
        <f>YEAR(Tabela3[[#This Row],[Data]])</f>
        <v>2024</v>
      </c>
      <c r="I489" s="42" t="str">
        <f>_xlfn.XLOOKUP(J489,'Centro de Custo'!J$2:J$13,'Centro de Custo'!K$2:K$13)</f>
        <v>Setembro</v>
      </c>
      <c r="J489" s="43">
        <f>MONTH(Tabela3[[#This Row],[Data]])</f>
        <v>9</v>
      </c>
      <c r="K489" s="39">
        <f>SUM(E$3:Tabela3[[#This Row],[Valor]])</f>
        <v>142144.19000000067</v>
      </c>
      <c r="L489" s="40">
        <f t="shared" si="7"/>
        <v>2.22375</v>
      </c>
      <c r="M489" s="40"/>
      <c r="N489" s="40"/>
      <c r="O489" s="40"/>
      <c r="P489" s="39"/>
      <c r="Q489" s="39"/>
      <c r="R489" s="39"/>
      <c r="S489" s="39"/>
      <c r="T489" s="39"/>
      <c r="V489">
        <f>IF(Tabela3[[#This Row],[Pago]]&lt;&gt;"",IF(F490="",Tabela3[[#This Row],[Saldo]],0))</f>
        <v>0</v>
      </c>
    </row>
    <row r="490" spans="1:22" x14ac:dyDescent="0.25">
      <c r="A490" t="s">
        <v>224</v>
      </c>
      <c r="B490" s="37">
        <v>20</v>
      </c>
      <c r="C490" t="str">
        <f>_xlfn.XLOOKUP(B490,'Centro de Custo'!A$2:A$45,'Centro de Custo'!B$2:B$45)</f>
        <v>Desp. ADM</v>
      </c>
      <c r="E490" s="39">
        <v>-25.85</v>
      </c>
      <c r="F490" s="40" t="s">
        <v>10</v>
      </c>
      <c r="G490" s="41">
        <v>45560</v>
      </c>
      <c r="H490" s="42">
        <f>YEAR(Tabela3[[#This Row],[Data]])</f>
        <v>2024</v>
      </c>
      <c r="I490" s="42" t="str">
        <f>_xlfn.XLOOKUP(J490,'Centro de Custo'!J$2:J$13,'Centro de Custo'!K$2:K$13)</f>
        <v>Setembro</v>
      </c>
      <c r="J490" s="43">
        <f>MONTH(Tabela3[[#This Row],[Data]])</f>
        <v>9</v>
      </c>
      <c r="K490" s="39">
        <f>SUM(E$3:Tabela3[[#This Row],[Valor]])</f>
        <v>142118.34000000067</v>
      </c>
      <c r="L490" s="40">
        <f t="shared" si="7"/>
        <v>2.22375</v>
      </c>
      <c r="M490" s="40"/>
      <c r="N490" s="40"/>
      <c r="O490" s="40"/>
      <c r="P490" s="39"/>
      <c r="Q490" s="39"/>
      <c r="R490" s="39"/>
      <c r="S490" s="39"/>
      <c r="T490" s="39"/>
      <c r="V490">
        <f>IF(Tabela3[[#This Row],[Pago]]&lt;&gt;"",IF(F491="",Tabela3[[#This Row],[Saldo]],0))</f>
        <v>0</v>
      </c>
    </row>
    <row r="491" spans="1:22" x14ac:dyDescent="0.25">
      <c r="A491" t="s">
        <v>291</v>
      </c>
      <c r="B491" s="37">
        <v>13</v>
      </c>
      <c r="C491" t="str">
        <f>_xlfn.XLOOKUP(B491,'Centro de Custo'!A$2:A$45,'Centro de Custo'!B$2:B$45)</f>
        <v>Terceirizados</v>
      </c>
      <c r="E491" s="39">
        <v>-12672.17</v>
      </c>
      <c r="F491" s="40" t="s">
        <v>10</v>
      </c>
      <c r="G491" s="41">
        <v>45561</v>
      </c>
      <c r="H491" s="42">
        <f>YEAR(Tabela3[[#This Row],[Data]])</f>
        <v>2024</v>
      </c>
      <c r="I491" s="42" t="str">
        <f>_xlfn.XLOOKUP(J491,'Centro de Custo'!J$2:J$13,'Centro de Custo'!K$2:K$13)</f>
        <v>Setembro</v>
      </c>
      <c r="J491" s="43">
        <f>MONTH(Tabela3[[#This Row],[Data]])</f>
        <v>9</v>
      </c>
      <c r="K491" s="39">
        <f>SUM(E$3:Tabela3[[#This Row],[Valor]])</f>
        <v>129446.17000000067</v>
      </c>
      <c r="L491" s="40">
        <f t="shared" si="7"/>
        <v>2.22375</v>
      </c>
      <c r="M491" s="40"/>
      <c r="N491" s="40"/>
      <c r="O491" s="40"/>
      <c r="P491" s="39"/>
      <c r="Q491" s="39"/>
      <c r="R491" s="39"/>
      <c r="S491" s="39"/>
      <c r="T491" s="39"/>
      <c r="V491">
        <f>IF(Tabela3[[#This Row],[Pago]]&lt;&gt;"",IF(F492="",Tabela3[[#This Row],[Saldo]],0))</f>
        <v>0</v>
      </c>
    </row>
    <row r="492" spans="1:22" x14ac:dyDescent="0.25">
      <c r="A492" t="s">
        <v>292</v>
      </c>
      <c r="B492" s="37">
        <v>13</v>
      </c>
      <c r="C492" t="str">
        <f>_xlfn.XLOOKUP(B492,'Centro de Custo'!A$2:A$45,'Centro de Custo'!B$2:B$45)</f>
        <v>Terceirizados</v>
      </c>
      <c r="E492" s="39">
        <v>-16000</v>
      </c>
      <c r="F492" s="40" t="s">
        <v>10</v>
      </c>
      <c r="G492" s="41">
        <v>45562</v>
      </c>
      <c r="H492" s="42">
        <f>YEAR(Tabela3[[#This Row],[Data]])</f>
        <v>2024</v>
      </c>
      <c r="I492" s="42" t="str">
        <f>_xlfn.XLOOKUP(J492,'Centro de Custo'!J$2:J$13,'Centro de Custo'!K$2:K$13)</f>
        <v>Setembro</v>
      </c>
      <c r="J492" s="43">
        <f>MONTH(Tabela3[[#This Row],[Data]])</f>
        <v>9</v>
      </c>
      <c r="K492" s="39">
        <f>SUM(E$3:Tabela3[[#This Row],[Valor]])</f>
        <v>113446.17000000067</v>
      </c>
      <c r="L492" s="40">
        <f t="shared" si="7"/>
        <v>2.22375</v>
      </c>
      <c r="M492" s="40"/>
      <c r="N492" s="40"/>
      <c r="O492" s="40"/>
      <c r="P492" s="39"/>
      <c r="Q492" s="39"/>
      <c r="R492" s="39"/>
      <c r="S492" s="39"/>
      <c r="T492" s="39"/>
      <c r="V492">
        <f>IF(Tabela3[[#This Row],[Pago]]&lt;&gt;"",IF(F493="",Tabela3[[#This Row],[Saldo]],0))</f>
        <v>0</v>
      </c>
    </row>
    <row r="493" spans="1:22" x14ac:dyDescent="0.25">
      <c r="A493" t="s">
        <v>293</v>
      </c>
      <c r="B493" s="37">
        <v>30</v>
      </c>
      <c r="C493" t="str">
        <f>_xlfn.XLOOKUP(B493,'Centro de Custo'!A$2:A$45,'Centro de Custo'!B$2:B$45)</f>
        <v>Impostos</v>
      </c>
      <c r="E493" s="39">
        <v>-13748.99</v>
      </c>
      <c r="F493" s="40" t="s">
        <v>10</v>
      </c>
      <c r="G493" s="41">
        <v>45565</v>
      </c>
      <c r="H493" s="42">
        <f>YEAR(Tabela3[[#This Row],[Data]])</f>
        <v>2024</v>
      </c>
      <c r="I493" s="42" t="str">
        <f>_xlfn.XLOOKUP(J493,'Centro de Custo'!J$2:J$13,'Centro de Custo'!K$2:K$13)</f>
        <v>Setembro</v>
      </c>
      <c r="J493" s="43">
        <f>MONTH(Tabela3[[#This Row],[Data]])</f>
        <v>9</v>
      </c>
      <c r="K493" s="39">
        <f>SUM(E$3:Tabela3[[#This Row],[Valor]])</f>
        <v>99697.18000000066</v>
      </c>
      <c r="L493" s="40">
        <f t="shared" si="7"/>
        <v>2.22375</v>
      </c>
      <c r="M493" s="40"/>
      <c r="N493" s="40"/>
      <c r="O493" s="40"/>
      <c r="P493" s="39"/>
      <c r="Q493" s="39"/>
      <c r="R493" s="39"/>
      <c r="S493" s="39"/>
      <c r="T493" s="39"/>
      <c r="V493">
        <f>IF(Tabela3[[#This Row],[Pago]]&lt;&gt;"",IF(F494="",Tabela3[[#This Row],[Saldo]],0))</f>
        <v>0</v>
      </c>
    </row>
    <row r="494" spans="1:22" x14ac:dyDescent="0.25">
      <c r="A494" t="s">
        <v>134</v>
      </c>
      <c r="B494" s="37">
        <v>13</v>
      </c>
      <c r="C494" t="str">
        <f>_xlfn.XLOOKUP(B494,'Centro de Custo'!A$2:A$45,'Centro de Custo'!B$2:B$45)</f>
        <v>Terceirizados</v>
      </c>
      <c r="E494" s="39">
        <v>-7000</v>
      </c>
      <c r="F494" s="40" t="s">
        <v>10</v>
      </c>
      <c r="G494" s="41">
        <v>45566</v>
      </c>
      <c r="H494" s="42">
        <f>YEAR(Tabela3[[#This Row],[Data]])</f>
        <v>2024</v>
      </c>
      <c r="I494" s="42" t="str">
        <f>_xlfn.XLOOKUP(J494,'Centro de Custo'!J$2:J$13,'Centro de Custo'!K$2:K$13)</f>
        <v>Outubro</v>
      </c>
      <c r="J494" s="43">
        <f>MONTH(Tabela3[[#This Row],[Data]])</f>
        <v>10</v>
      </c>
      <c r="K494" s="39">
        <f>SUM(E$3:Tabela3[[#This Row],[Valor]])</f>
        <v>92697.18000000066</v>
      </c>
      <c r="L494" s="40">
        <f t="shared" si="7"/>
        <v>2.22375</v>
      </c>
      <c r="M494" s="40"/>
      <c r="N494" s="40"/>
      <c r="O494" s="40"/>
      <c r="P494" s="39"/>
      <c r="Q494" s="39"/>
      <c r="R494" s="39"/>
      <c r="S494" s="39"/>
      <c r="T494" s="39"/>
      <c r="V494">
        <f>IF(Tabela3[[#This Row],[Pago]]&lt;&gt;"",IF(F495="",Tabela3[[#This Row],[Saldo]],0))</f>
        <v>0</v>
      </c>
    </row>
    <row r="495" spans="1:22" x14ac:dyDescent="0.25">
      <c r="A495" t="s">
        <v>104</v>
      </c>
      <c r="B495" s="37">
        <v>10</v>
      </c>
      <c r="C495" t="str">
        <f>_xlfn.XLOOKUP(B495,'Centro de Custo'!A$2:A$45,'Centro de Custo'!B$2:B$45)</f>
        <v>Retirada Mensal</v>
      </c>
      <c r="E495" s="39">
        <v>-10000</v>
      </c>
      <c r="F495" s="40" t="s">
        <v>10</v>
      </c>
      <c r="G495" s="41">
        <v>45566</v>
      </c>
      <c r="H495" s="42">
        <f>YEAR(Tabela3[[#This Row],[Data]])</f>
        <v>2024</v>
      </c>
      <c r="I495" s="42" t="str">
        <f>_xlfn.XLOOKUP(J495,'Centro de Custo'!J$2:J$13,'Centro de Custo'!K$2:K$13)</f>
        <v>Outubro</v>
      </c>
      <c r="J495" s="43">
        <f>MONTH(Tabela3[[#This Row],[Data]])</f>
        <v>10</v>
      </c>
      <c r="K495" s="39">
        <f>SUM(E$3:Tabela3[[#This Row],[Valor]])</f>
        <v>82697.18000000066</v>
      </c>
      <c r="L495" s="40">
        <f t="shared" si="7"/>
        <v>2.22375</v>
      </c>
      <c r="M495" s="40"/>
      <c r="N495" s="40"/>
      <c r="O495" s="40"/>
      <c r="P495" s="39"/>
      <c r="Q495" s="39"/>
      <c r="R495" s="39"/>
      <c r="S495" s="39"/>
      <c r="T495" s="39"/>
      <c r="V495">
        <f>IF(Tabela3[[#This Row],[Pago]]&lt;&gt;"",IF(F496="",Tabela3[[#This Row],[Saldo]],0))</f>
        <v>0</v>
      </c>
    </row>
    <row r="496" spans="1:22" x14ac:dyDescent="0.25">
      <c r="A496" t="s">
        <v>124</v>
      </c>
      <c r="B496" s="37">
        <v>10</v>
      </c>
      <c r="C496" t="str">
        <f>_xlfn.XLOOKUP(B496,'Centro de Custo'!A$2:A$45,'Centro de Custo'!B$2:B$45)</f>
        <v>Retirada Mensal</v>
      </c>
      <c r="E496" s="39">
        <v>-10250</v>
      </c>
      <c r="F496" s="40" t="s">
        <v>10</v>
      </c>
      <c r="G496" s="41">
        <v>45566</v>
      </c>
      <c r="H496" s="42">
        <f>YEAR(Tabela3[[#This Row],[Data]])</f>
        <v>2024</v>
      </c>
      <c r="I496" s="42" t="str">
        <f>_xlfn.XLOOKUP(J496,'Centro de Custo'!J$2:J$13,'Centro de Custo'!K$2:K$13)</f>
        <v>Outubro</v>
      </c>
      <c r="J496" s="43">
        <f>MONTH(Tabela3[[#This Row],[Data]])</f>
        <v>10</v>
      </c>
      <c r="K496" s="39">
        <f>SUM(E$3:Tabela3[[#This Row],[Valor]])</f>
        <v>72447.18000000066</v>
      </c>
      <c r="L496" s="40">
        <f t="shared" si="7"/>
        <v>2.22375</v>
      </c>
      <c r="M496" s="40"/>
      <c r="N496" s="40"/>
      <c r="O496" s="40"/>
      <c r="P496" s="39"/>
      <c r="Q496" s="39"/>
      <c r="R496" s="39"/>
      <c r="S496" s="39"/>
      <c r="T496" s="39"/>
      <c r="V496">
        <f>IF(Tabela3[[#This Row],[Pago]]&lt;&gt;"",IF(F497="",Tabela3[[#This Row],[Saldo]],0))</f>
        <v>0</v>
      </c>
    </row>
    <row r="497" spans="1:22" x14ac:dyDescent="0.25">
      <c r="A497" t="s">
        <v>55</v>
      </c>
      <c r="B497" s="37">
        <v>10</v>
      </c>
      <c r="C497" t="str">
        <f>_xlfn.XLOOKUP(B497,'Centro de Custo'!A$2:A$45,'Centro de Custo'!B$2:B$45)</f>
        <v>Retirada Mensal</v>
      </c>
      <c r="E497" s="39">
        <v>-11600</v>
      </c>
      <c r="F497" s="40" t="s">
        <v>10</v>
      </c>
      <c r="G497" s="41">
        <v>45566</v>
      </c>
      <c r="H497" s="42">
        <f>YEAR(Tabela3[[#This Row],[Data]])</f>
        <v>2024</v>
      </c>
      <c r="I497" s="42" t="str">
        <f>_xlfn.XLOOKUP(J497,'Centro de Custo'!J$2:J$13,'Centro de Custo'!K$2:K$13)</f>
        <v>Outubro</v>
      </c>
      <c r="J497" s="43">
        <f>MONTH(Tabela3[[#This Row],[Data]])</f>
        <v>10</v>
      </c>
      <c r="K497" s="39">
        <f>SUM(E$3:Tabela3[[#This Row],[Valor]])</f>
        <v>60847.18000000066</v>
      </c>
      <c r="L497" s="40">
        <f t="shared" si="7"/>
        <v>2.22375</v>
      </c>
      <c r="M497" s="40"/>
      <c r="N497" s="40"/>
      <c r="O497" s="40"/>
      <c r="P497" s="39"/>
      <c r="Q497" s="39"/>
      <c r="R497" s="39"/>
      <c r="S497" s="39"/>
      <c r="T497" s="39"/>
      <c r="V497">
        <f>IF(Tabela3[[#This Row],[Pago]]&lt;&gt;"",IF(F498="",Tabela3[[#This Row],[Saldo]],0))</f>
        <v>0</v>
      </c>
    </row>
    <row r="498" spans="1:22" x14ac:dyDescent="0.25">
      <c r="A498" t="s">
        <v>91</v>
      </c>
      <c r="B498" s="37">
        <v>10</v>
      </c>
      <c r="C498" t="str">
        <f>_xlfn.XLOOKUP(B498,'Centro de Custo'!A$2:A$45,'Centro de Custo'!B$2:B$45)</f>
        <v>Retirada Mensal</v>
      </c>
      <c r="E498" s="39">
        <v>-11650</v>
      </c>
      <c r="F498" s="40" t="s">
        <v>10</v>
      </c>
      <c r="G498" s="41">
        <v>45566</v>
      </c>
      <c r="H498" s="42">
        <f>YEAR(Tabela3[[#This Row],[Data]])</f>
        <v>2024</v>
      </c>
      <c r="I498" s="42" t="str">
        <f>_xlfn.XLOOKUP(J498,'Centro de Custo'!J$2:J$13,'Centro de Custo'!K$2:K$13)</f>
        <v>Outubro</v>
      </c>
      <c r="J498" s="43">
        <f>MONTH(Tabela3[[#This Row],[Data]])</f>
        <v>10</v>
      </c>
      <c r="K498" s="39">
        <f>SUM(E$3:Tabela3[[#This Row],[Valor]])</f>
        <v>49197.18000000066</v>
      </c>
      <c r="L498" s="40">
        <f t="shared" si="7"/>
        <v>2.22375</v>
      </c>
      <c r="M498" s="40"/>
      <c r="N498" s="40"/>
      <c r="O498" s="40"/>
      <c r="P498" s="39"/>
      <c r="Q498" s="39"/>
      <c r="R498" s="39"/>
      <c r="S498" s="39"/>
      <c r="T498" s="39"/>
      <c r="V498">
        <f>IF(Tabela3[[#This Row],[Pago]]&lt;&gt;"",IF(F499="",Tabela3[[#This Row],[Saldo]],0))</f>
        <v>0</v>
      </c>
    </row>
    <row r="499" spans="1:22" x14ac:dyDescent="0.25">
      <c r="A499" t="s">
        <v>110</v>
      </c>
      <c r="B499" s="37">
        <v>10</v>
      </c>
      <c r="C499" t="str">
        <f>_xlfn.XLOOKUP(B499,'Centro de Custo'!A$2:A$45,'Centro de Custo'!B$2:B$45)</f>
        <v>Retirada Mensal</v>
      </c>
      <c r="E499" s="39">
        <v>-13500</v>
      </c>
      <c r="F499" s="40" t="s">
        <v>10</v>
      </c>
      <c r="G499" s="41">
        <v>45566</v>
      </c>
      <c r="H499" s="42">
        <f>YEAR(Tabela3[[#This Row],[Data]])</f>
        <v>2024</v>
      </c>
      <c r="I499" s="42" t="str">
        <f>_xlfn.XLOOKUP(J499,'Centro de Custo'!J$2:J$13,'Centro de Custo'!K$2:K$13)</f>
        <v>Outubro</v>
      </c>
      <c r="J499" s="43">
        <f>MONTH(Tabela3[[#This Row],[Data]])</f>
        <v>10</v>
      </c>
      <c r="K499" s="39">
        <f>SUM(E$3:Tabela3[[#This Row],[Valor]])</f>
        <v>35697.18000000066</v>
      </c>
      <c r="L499" s="40">
        <f t="shared" si="7"/>
        <v>2.22375</v>
      </c>
      <c r="M499" s="40"/>
      <c r="N499" s="40"/>
      <c r="O499" s="40"/>
      <c r="P499" s="39"/>
      <c r="Q499" s="39"/>
      <c r="R499" s="39"/>
      <c r="S499" s="39"/>
      <c r="T499" s="39"/>
      <c r="V499">
        <f>IF(Tabela3[[#This Row],[Pago]]&lt;&gt;"",IF(F500="",Tabela3[[#This Row],[Saldo]],0))</f>
        <v>0</v>
      </c>
    </row>
    <row r="500" spans="1:22" x14ac:dyDescent="0.25">
      <c r="A500" t="s">
        <v>178</v>
      </c>
      <c r="B500" s="37">
        <v>20</v>
      </c>
      <c r="C500" t="str">
        <f>_xlfn.XLOOKUP(B500,'Centro de Custo'!A$2:A$45,'Centro de Custo'!B$2:B$45)</f>
        <v>Desp. ADM</v>
      </c>
      <c r="E500" s="39">
        <v>-139.9</v>
      </c>
      <c r="F500" s="40" t="s">
        <v>10</v>
      </c>
      <c r="G500" s="41">
        <v>45567</v>
      </c>
      <c r="H500" s="42">
        <f>YEAR(Tabela3[[#This Row],[Data]])</f>
        <v>2024</v>
      </c>
      <c r="I500" s="42" t="str">
        <f>_xlfn.XLOOKUP(J500,'Centro de Custo'!J$2:J$13,'Centro de Custo'!K$2:K$13)</f>
        <v>Outubro</v>
      </c>
      <c r="J500" s="43">
        <f>MONTH(Tabela3[[#This Row],[Data]])</f>
        <v>10</v>
      </c>
      <c r="K500" s="39">
        <f>SUM(E$3:Tabela3[[#This Row],[Valor]])</f>
        <v>35557.28000000066</v>
      </c>
      <c r="L500" s="40">
        <f t="shared" si="7"/>
        <v>2.22375</v>
      </c>
      <c r="M500" s="40"/>
      <c r="N500" s="40"/>
      <c r="O500" s="40"/>
      <c r="P500" s="39"/>
      <c r="Q500" s="39"/>
      <c r="R500" s="39"/>
      <c r="S500" s="39"/>
      <c r="T500" s="39"/>
      <c r="V500">
        <f>IF(Tabela3[[#This Row],[Pago]]&lt;&gt;"",IF(F501="",Tabela3[[#This Row],[Saldo]],0))</f>
        <v>0</v>
      </c>
    </row>
    <row r="501" spans="1:22" x14ac:dyDescent="0.25">
      <c r="A501" t="s">
        <v>244</v>
      </c>
      <c r="B501" s="37">
        <v>13</v>
      </c>
      <c r="C501" t="str">
        <f>_xlfn.XLOOKUP(B501,'Centro de Custo'!A$2:A$45,'Centro de Custo'!B$2:B$45)</f>
        <v>Terceirizados</v>
      </c>
      <c r="E501" s="39">
        <v>-500</v>
      </c>
      <c r="F501" s="40" t="s">
        <v>10</v>
      </c>
      <c r="G501" s="41">
        <v>45567</v>
      </c>
      <c r="H501" s="42">
        <f>YEAR(Tabela3[[#This Row],[Data]])</f>
        <v>2024</v>
      </c>
      <c r="I501" s="42" t="str">
        <f>_xlfn.XLOOKUP(J501,'Centro de Custo'!J$2:J$13,'Centro de Custo'!K$2:K$13)</f>
        <v>Outubro</v>
      </c>
      <c r="J501" s="43">
        <f>MONTH(Tabela3[[#This Row],[Data]])</f>
        <v>10</v>
      </c>
      <c r="K501" s="39">
        <f>SUM(E$3:Tabela3[[#This Row],[Valor]])</f>
        <v>35057.28000000066</v>
      </c>
      <c r="L501" s="40">
        <f t="shared" si="7"/>
        <v>2.22375</v>
      </c>
      <c r="M501" s="40"/>
      <c r="N501" s="40"/>
      <c r="O501" s="40"/>
      <c r="P501" s="39"/>
      <c r="Q501" s="39"/>
      <c r="R501" s="39"/>
      <c r="S501" s="39"/>
      <c r="T501" s="39"/>
      <c r="V501">
        <f>IF(Tabela3[[#This Row],[Pago]]&lt;&gt;"",IF(F502="",Tabela3[[#This Row],[Saldo]],0))</f>
        <v>0</v>
      </c>
    </row>
    <row r="502" spans="1:22" x14ac:dyDescent="0.25">
      <c r="A502" t="s">
        <v>294</v>
      </c>
      <c r="B502" s="37">
        <v>20</v>
      </c>
      <c r="C502" t="str">
        <f>_xlfn.XLOOKUP(B502,'Centro de Custo'!A$2:A$45,'Centro de Custo'!B$2:B$45)</f>
        <v>Desp. ADM</v>
      </c>
      <c r="E502" s="39">
        <v>-70</v>
      </c>
      <c r="F502" s="40" t="s">
        <v>10</v>
      </c>
      <c r="G502" s="41">
        <v>45568</v>
      </c>
      <c r="H502" s="42">
        <f>YEAR(Tabela3[[#This Row],[Data]])</f>
        <v>2024</v>
      </c>
      <c r="I502" s="42" t="str">
        <f>_xlfn.XLOOKUP(J502,'Centro de Custo'!J$2:J$13,'Centro de Custo'!K$2:K$13)</f>
        <v>Outubro</v>
      </c>
      <c r="J502" s="43">
        <f>MONTH(Tabela3[[#This Row],[Data]])</f>
        <v>10</v>
      </c>
      <c r="K502" s="39">
        <f>SUM(E$3:Tabela3[[#This Row],[Valor]])</f>
        <v>34987.28000000066</v>
      </c>
      <c r="L502" s="40">
        <f t="shared" si="7"/>
        <v>2.22375</v>
      </c>
      <c r="M502" s="40"/>
      <c r="N502" s="40"/>
      <c r="O502" s="40"/>
      <c r="P502" s="39"/>
      <c r="Q502" s="39"/>
      <c r="R502" s="39"/>
      <c r="S502" s="39"/>
      <c r="T502" s="39"/>
      <c r="V502">
        <f>IF(Tabela3[[#This Row],[Pago]]&lt;&gt;"",IF(F503="",Tabela3[[#This Row],[Saldo]],0))</f>
        <v>0</v>
      </c>
    </row>
    <row r="503" spans="1:22" x14ac:dyDescent="0.25">
      <c r="A503" t="s">
        <v>198</v>
      </c>
      <c r="B503" s="37">
        <v>20</v>
      </c>
      <c r="C503" t="str">
        <f>_xlfn.XLOOKUP(B503,'Centro de Custo'!A$2:A$45,'Centro de Custo'!B$2:B$45)</f>
        <v>Desp. ADM</v>
      </c>
      <c r="E503" s="39">
        <v>-9308.67</v>
      </c>
      <c r="F503" s="40" t="s">
        <v>10</v>
      </c>
      <c r="G503" s="41">
        <v>45568</v>
      </c>
      <c r="H503" s="42">
        <f>YEAR(Tabela3[[#This Row],[Data]])</f>
        <v>2024</v>
      </c>
      <c r="I503" s="42" t="str">
        <f>_xlfn.XLOOKUP(J503,'Centro de Custo'!J$2:J$13,'Centro de Custo'!K$2:K$13)</f>
        <v>Outubro</v>
      </c>
      <c r="J503" s="43">
        <f>MONTH(Tabela3[[#This Row],[Data]])</f>
        <v>10</v>
      </c>
      <c r="K503" s="39">
        <f>SUM(E$3:Tabela3[[#This Row],[Valor]])</f>
        <v>25678.610000000663</v>
      </c>
      <c r="L503" s="40">
        <f t="shared" si="7"/>
        <v>2.22375</v>
      </c>
      <c r="M503" s="40"/>
      <c r="N503" s="40"/>
      <c r="O503" s="40"/>
      <c r="P503" s="39"/>
      <c r="Q503" s="39"/>
      <c r="R503" s="39"/>
      <c r="S503" s="39"/>
      <c r="T503" s="39"/>
      <c r="V503">
        <f>IF(Tabela3[[#This Row],[Pago]]&lt;&gt;"",IF(F504="",Tabela3[[#This Row],[Saldo]],0))</f>
        <v>0</v>
      </c>
    </row>
    <row r="504" spans="1:22" x14ac:dyDescent="0.25">
      <c r="A504" t="s">
        <v>295</v>
      </c>
      <c r="B504" s="37">
        <v>20</v>
      </c>
      <c r="C504" t="str">
        <f>_xlfn.XLOOKUP(B504,'Centro de Custo'!A$2:A$45,'Centro de Custo'!B$2:B$45)</f>
        <v>Desp. ADM</v>
      </c>
      <c r="E504" s="39">
        <v>-77.74</v>
      </c>
      <c r="F504" s="40" t="s">
        <v>10</v>
      </c>
      <c r="G504" s="41">
        <v>45573</v>
      </c>
      <c r="H504" s="42">
        <f>YEAR(Tabela3[[#This Row],[Data]])</f>
        <v>2024</v>
      </c>
      <c r="I504" s="42" t="str">
        <f>_xlfn.XLOOKUP(J504,'Centro de Custo'!J$2:J$13,'Centro de Custo'!K$2:K$13)</f>
        <v>Outubro</v>
      </c>
      <c r="J504" s="43">
        <f>MONTH(Tabela3[[#This Row],[Data]])</f>
        <v>10</v>
      </c>
      <c r="K504" s="39">
        <f>SUM(E$3:Tabela3[[#This Row],[Valor]])</f>
        <v>25600.87000000066</v>
      </c>
      <c r="L504" s="40">
        <f t="shared" si="7"/>
        <v>2.22375</v>
      </c>
      <c r="M504" s="40"/>
      <c r="N504" s="40"/>
      <c r="O504" s="40"/>
      <c r="P504" s="39"/>
      <c r="Q504" s="39"/>
      <c r="R504" s="39"/>
      <c r="S504" s="39"/>
      <c r="T504" s="39"/>
      <c r="V504">
        <f>IF(Tabela3[[#This Row],[Pago]]&lt;&gt;"",IF(F505="",Tabela3[[#This Row],[Saldo]],0))</f>
        <v>0</v>
      </c>
    </row>
    <row r="505" spans="1:22" x14ac:dyDescent="0.25">
      <c r="A505" t="s">
        <v>256</v>
      </c>
      <c r="B505" s="37">
        <v>10</v>
      </c>
      <c r="C505" t="str">
        <f>_xlfn.XLOOKUP(B505,'Centro de Custo'!A$2:A$45,'Centro de Custo'!B$2:B$45)</f>
        <v>Retirada Mensal</v>
      </c>
      <c r="E505" s="39">
        <v>-357.46</v>
      </c>
      <c r="F505" s="40" t="s">
        <v>10</v>
      </c>
      <c r="G505" s="41">
        <v>45574</v>
      </c>
      <c r="H505" s="42">
        <f>YEAR(Tabela3[[#This Row],[Data]])</f>
        <v>2024</v>
      </c>
      <c r="I505" s="42" t="str">
        <f>_xlfn.XLOOKUP(J505,'Centro de Custo'!J$2:J$13,'Centro de Custo'!K$2:K$13)</f>
        <v>Outubro</v>
      </c>
      <c r="J505" s="43">
        <f>MONTH(Tabela3[[#This Row],[Data]])</f>
        <v>10</v>
      </c>
      <c r="K505" s="39">
        <f>SUM(E$3:Tabela3[[#This Row],[Valor]])</f>
        <v>25243.410000000662</v>
      </c>
      <c r="L505" s="40">
        <f t="shared" si="7"/>
        <v>2.22375</v>
      </c>
      <c r="M505" s="40"/>
      <c r="N505" s="40"/>
      <c r="O505" s="40"/>
      <c r="P505" s="39"/>
      <c r="Q505" s="39"/>
      <c r="R505" s="39"/>
      <c r="S505" s="39"/>
      <c r="T505" s="39"/>
      <c r="V505">
        <f>IF(Tabela3[[#This Row],[Pago]]&lt;&gt;"",IF(F506="",Tabela3[[#This Row],[Saldo]],0))</f>
        <v>0</v>
      </c>
    </row>
    <row r="506" spans="1:22" x14ac:dyDescent="0.25">
      <c r="A506" t="s">
        <v>167</v>
      </c>
      <c r="B506" s="37">
        <v>20</v>
      </c>
      <c r="C506" t="str">
        <f>_xlfn.XLOOKUP(B506,'Centro de Custo'!A$2:A$45,'Centro de Custo'!B$2:B$45)</f>
        <v>Desp. ADM</v>
      </c>
      <c r="E506" s="39">
        <v>-473.88</v>
      </c>
      <c r="F506" s="40" t="s">
        <v>10</v>
      </c>
      <c r="G506" s="41">
        <v>45574</v>
      </c>
      <c r="H506" s="42">
        <f>YEAR(Tabela3[[#This Row],[Data]])</f>
        <v>2024</v>
      </c>
      <c r="I506" s="42" t="str">
        <f>_xlfn.XLOOKUP(J506,'Centro de Custo'!J$2:J$13,'Centro de Custo'!K$2:K$13)</f>
        <v>Outubro</v>
      </c>
      <c r="J506" s="43">
        <f>MONTH(Tabela3[[#This Row],[Data]])</f>
        <v>10</v>
      </c>
      <c r="K506" s="39">
        <f>SUM(E$3:Tabela3[[#This Row],[Valor]])</f>
        <v>24769.53000000066</v>
      </c>
      <c r="L506" s="40">
        <f t="shared" si="7"/>
        <v>2.22375</v>
      </c>
      <c r="M506" s="40"/>
      <c r="N506" s="40"/>
      <c r="O506" s="40"/>
      <c r="P506" s="39"/>
      <c r="Q506" s="39"/>
      <c r="R506" s="39"/>
      <c r="S506" s="39"/>
      <c r="T506" s="39"/>
      <c r="V506">
        <f>IF(Tabela3[[#This Row],[Pago]]&lt;&gt;"",IF(F507="",Tabela3[[#This Row],[Saldo]],0))</f>
        <v>0</v>
      </c>
    </row>
    <row r="507" spans="1:22" x14ac:dyDescent="0.25">
      <c r="A507" t="s">
        <v>231</v>
      </c>
      <c r="B507" s="37">
        <v>10</v>
      </c>
      <c r="C507" t="str">
        <f>_xlfn.XLOOKUP(B507,'Centro de Custo'!A$2:A$45,'Centro de Custo'!B$2:B$45)</f>
        <v>Retirada Mensal</v>
      </c>
      <c r="E507" s="39">
        <v>-1515.78</v>
      </c>
      <c r="F507" s="40" t="s">
        <v>10</v>
      </c>
      <c r="G507" s="41">
        <v>45574</v>
      </c>
      <c r="H507" s="42">
        <f>YEAR(Tabela3[[#This Row],[Data]])</f>
        <v>2024</v>
      </c>
      <c r="I507" s="42" t="str">
        <f>_xlfn.XLOOKUP(J507,'Centro de Custo'!J$2:J$13,'Centro de Custo'!K$2:K$13)</f>
        <v>Outubro</v>
      </c>
      <c r="J507" s="43">
        <f>MONTH(Tabela3[[#This Row],[Data]])</f>
        <v>10</v>
      </c>
      <c r="K507" s="39">
        <f>SUM(E$3:Tabela3[[#This Row],[Valor]])</f>
        <v>23253.750000000662</v>
      </c>
      <c r="L507" s="40">
        <f t="shared" si="7"/>
        <v>2.22375</v>
      </c>
      <c r="M507" s="40"/>
      <c r="N507" s="40"/>
      <c r="O507" s="40"/>
      <c r="P507" s="39"/>
      <c r="Q507" s="39"/>
      <c r="R507" s="39"/>
      <c r="S507" s="39"/>
      <c r="T507" s="39"/>
      <c r="V507">
        <f>IF(Tabela3[[#This Row],[Pago]]&lt;&gt;"",IF(F508="",Tabela3[[#This Row],[Saldo]],0))</f>
        <v>0</v>
      </c>
    </row>
    <row r="508" spans="1:22" x14ac:dyDescent="0.25">
      <c r="A508" t="s">
        <v>296</v>
      </c>
      <c r="B508" s="37">
        <v>20</v>
      </c>
      <c r="C508" t="str">
        <f>_xlfn.XLOOKUP(B508,'Centro de Custo'!A$2:A$45,'Centro de Custo'!B$2:B$45)</f>
        <v>Desp. ADM</v>
      </c>
      <c r="E508" s="39">
        <v>-4590</v>
      </c>
      <c r="F508" s="40" t="s">
        <v>10</v>
      </c>
      <c r="G508" s="41">
        <v>45574</v>
      </c>
      <c r="H508" s="42">
        <f>YEAR(Tabela3[[#This Row],[Data]])</f>
        <v>2024</v>
      </c>
      <c r="I508" s="42" t="str">
        <f>_xlfn.XLOOKUP(J508,'Centro de Custo'!J$2:J$13,'Centro de Custo'!K$2:K$13)</f>
        <v>Outubro</v>
      </c>
      <c r="J508" s="43">
        <f>MONTH(Tabela3[[#This Row],[Data]])</f>
        <v>10</v>
      </c>
      <c r="K508" s="39">
        <f>SUM(E$3:Tabela3[[#This Row],[Valor]])</f>
        <v>18663.750000000662</v>
      </c>
      <c r="L508" s="40">
        <f t="shared" si="7"/>
        <v>2.22375</v>
      </c>
      <c r="M508" s="40"/>
      <c r="N508" s="40"/>
      <c r="O508" s="40"/>
      <c r="P508" s="39"/>
      <c r="Q508" s="39"/>
      <c r="R508" s="39"/>
      <c r="S508" s="39"/>
      <c r="T508" s="39"/>
      <c r="V508">
        <f>IF(Tabela3[[#This Row],[Pago]]&lt;&gt;"",IF(F509="",Tabela3[[#This Row],[Saldo]],0))</f>
        <v>0</v>
      </c>
    </row>
    <row r="509" spans="1:22" x14ac:dyDescent="0.25">
      <c r="A509" t="s">
        <v>190</v>
      </c>
      <c r="B509" s="37">
        <v>13</v>
      </c>
      <c r="C509" t="str">
        <f>_xlfn.XLOOKUP(B509,'Centro de Custo'!A$2:A$45,'Centro de Custo'!B$2:B$45)</f>
        <v>Terceirizados</v>
      </c>
      <c r="E509" s="39">
        <v>-4886.44</v>
      </c>
      <c r="F509" s="40" t="s">
        <v>10</v>
      </c>
      <c r="G509" s="41">
        <v>45574</v>
      </c>
      <c r="H509" s="42">
        <f>YEAR(Tabela3[[#This Row],[Data]])</f>
        <v>2024</v>
      </c>
      <c r="I509" s="42" t="str">
        <f>_xlfn.XLOOKUP(J509,'Centro de Custo'!J$2:J$13,'Centro de Custo'!K$2:K$13)</f>
        <v>Outubro</v>
      </c>
      <c r="J509" s="43">
        <f>MONTH(Tabela3[[#This Row],[Data]])</f>
        <v>10</v>
      </c>
      <c r="K509" s="39">
        <f>SUM(E$3:Tabela3[[#This Row],[Valor]])</f>
        <v>13777.310000000663</v>
      </c>
      <c r="L509" s="40">
        <f t="shared" si="7"/>
        <v>2.22375</v>
      </c>
      <c r="M509" s="40"/>
      <c r="N509" s="40"/>
      <c r="O509" s="40"/>
      <c r="P509" s="39"/>
      <c r="Q509" s="39"/>
      <c r="R509" s="39"/>
      <c r="S509" s="39"/>
      <c r="T509" s="39"/>
      <c r="V509">
        <f>IF(Tabela3[[#This Row],[Pago]]&lt;&gt;"",IF(F510="",Tabela3[[#This Row],[Saldo]],0))</f>
        <v>0</v>
      </c>
    </row>
    <row r="510" spans="1:22" x14ac:dyDescent="0.25">
      <c r="A510" t="s">
        <v>204</v>
      </c>
      <c r="B510" s="37">
        <v>20</v>
      </c>
      <c r="C510" t="str">
        <f>_xlfn.XLOOKUP(B510,'Centro de Custo'!A$2:A$45,'Centro de Custo'!B$2:B$45)</f>
        <v>Desp. ADM</v>
      </c>
      <c r="E510" s="39">
        <v>-119.35</v>
      </c>
      <c r="F510" s="40" t="s">
        <v>10</v>
      </c>
      <c r="G510" s="41">
        <v>45582</v>
      </c>
      <c r="H510" s="42">
        <f>YEAR(Tabela3[[#This Row],[Data]])</f>
        <v>2024</v>
      </c>
      <c r="I510" s="42" t="str">
        <f>_xlfn.XLOOKUP(J510,'Centro de Custo'!J$2:J$13,'Centro de Custo'!K$2:K$13)</f>
        <v>Outubro</v>
      </c>
      <c r="J510" s="43">
        <f>MONTH(Tabela3[[#This Row],[Data]])</f>
        <v>10</v>
      </c>
      <c r="K510" s="39">
        <f>SUM(E$3:Tabela3[[#This Row],[Valor]])</f>
        <v>13657.960000000663</v>
      </c>
      <c r="L510" s="40">
        <f t="shared" si="7"/>
        <v>2.22375</v>
      </c>
      <c r="M510" s="40"/>
      <c r="N510" s="40"/>
      <c r="O510" s="40"/>
      <c r="P510" s="39"/>
      <c r="Q510" s="39"/>
      <c r="R510" s="39"/>
      <c r="S510" s="39"/>
      <c r="T510" s="39"/>
      <c r="V510">
        <f>IF(Tabela3[[#This Row],[Pago]]&lt;&gt;"",IF(F511="",Tabela3[[#This Row],[Saldo]],0))</f>
        <v>0</v>
      </c>
    </row>
    <row r="511" spans="1:22" x14ac:dyDescent="0.25">
      <c r="A511" t="s">
        <v>205</v>
      </c>
      <c r="B511" s="37">
        <v>20</v>
      </c>
      <c r="C511" t="str">
        <f>_xlfn.XLOOKUP(B511,'Centro de Custo'!A$2:A$45,'Centro de Custo'!B$2:B$45)</f>
        <v>Desp. ADM</v>
      </c>
      <c r="E511" s="39">
        <v>-600.53</v>
      </c>
      <c r="F511" s="40" t="s">
        <v>10</v>
      </c>
      <c r="G511" s="41">
        <v>45582</v>
      </c>
      <c r="H511" s="42">
        <f>YEAR(Tabela3[[#This Row],[Data]])</f>
        <v>2024</v>
      </c>
      <c r="I511" s="42" t="str">
        <f>_xlfn.XLOOKUP(J511,'Centro de Custo'!J$2:J$13,'Centro de Custo'!K$2:K$13)</f>
        <v>Outubro</v>
      </c>
      <c r="J511" s="43">
        <f>MONTH(Tabela3[[#This Row],[Data]])</f>
        <v>10</v>
      </c>
      <c r="K511" s="39">
        <f>SUM(E$3:Tabela3[[#This Row],[Valor]])</f>
        <v>13057.430000000662</v>
      </c>
      <c r="L511" s="40">
        <f t="shared" si="7"/>
        <v>2.22375</v>
      </c>
      <c r="M511" s="40"/>
      <c r="N511" s="40"/>
      <c r="O511" s="40"/>
      <c r="P511" s="39"/>
      <c r="Q511" s="39"/>
      <c r="R511" s="39"/>
      <c r="S511" s="39"/>
      <c r="T511" s="39"/>
      <c r="V511">
        <f>IF(Tabela3[[#This Row],[Pago]]&lt;&gt;"",IF(F512="",Tabela3[[#This Row],[Saldo]],0))</f>
        <v>0</v>
      </c>
    </row>
    <row r="512" spans="1:22" x14ac:dyDescent="0.25">
      <c r="A512" t="s">
        <v>249</v>
      </c>
      <c r="B512" s="37">
        <v>22</v>
      </c>
      <c r="C512" t="str">
        <f>_xlfn.XLOOKUP(B512,'Centro de Custo'!A$2:A$45,'Centro de Custo'!B$2:B$45)</f>
        <v>Doação</v>
      </c>
      <c r="E512" s="39">
        <v>-8560.58</v>
      </c>
      <c r="F512" s="40" t="s">
        <v>10</v>
      </c>
      <c r="G512" s="41">
        <v>45582</v>
      </c>
      <c r="H512" s="42">
        <f>YEAR(Tabela3[[#This Row],[Data]])</f>
        <v>2024</v>
      </c>
      <c r="I512" s="42" t="str">
        <f>_xlfn.XLOOKUP(J512,'Centro de Custo'!J$2:J$13,'Centro de Custo'!K$2:K$13)</f>
        <v>Outubro</v>
      </c>
      <c r="J512" s="43">
        <f>MONTH(Tabela3[[#This Row],[Data]])</f>
        <v>10</v>
      </c>
      <c r="K512" s="39">
        <f>SUM(E$3:Tabela3[[#This Row],[Valor]])</f>
        <v>4496.8500000006625</v>
      </c>
      <c r="L512" s="40">
        <f t="shared" si="7"/>
        <v>2.22375</v>
      </c>
      <c r="M512" s="40"/>
      <c r="N512" s="40"/>
      <c r="O512" s="40"/>
      <c r="P512" s="39"/>
      <c r="Q512" s="39"/>
      <c r="R512" s="39"/>
      <c r="S512" s="39"/>
      <c r="T512" s="39"/>
      <c r="V512">
        <f>IF(Tabela3[[#This Row],[Pago]]&lt;&gt;"",IF(F513="",Tabela3[[#This Row],[Saldo]],0))</f>
        <v>0</v>
      </c>
    </row>
    <row r="513" spans="1:22" x14ac:dyDescent="0.25">
      <c r="A513" t="s">
        <v>256</v>
      </c>
      <c r="B513" s="37">
        <v>10</v>
      </c>
      <c r="C513" t="str">
        <f>_xlfn.XLOOKUP(B513,'Centro de Custo'!A$2:A$45,'Centro de Custo'!B$2:B$45)</f>
        <v>Retirada Mensal</v>
      </c>
      <c r="E513" s="39">
        <v>-303</v>
      </c>
      <c r="F513" s="40" t="s">
        <v>10</v>
      </c>
      <c r="G513" s="41">
        <v>45587</v>
      </c>
      <c r="H513" s="42">
        <f>YEAR(Tabela3[[#This Row],[Data]])</f>
        <v>2024</v>
      </c>
      <c r="I513" s="42" t="str">
        <f>_xlfn.XLOOKUP(J513,'Centro de Custo'!J$2:J$13,'Centro de Custo'!K$2:K$13)</f>
        <v>Outubro</v>
      </c>
      <c r="J513" s="43">
        <f>MONTH(Tabela3[[#This Row],[Data]])</f>
        <v>10</v>
      </c>
      <c r="K513" s="39">
        <f>SUM(E$3:Tabela3[[#This Row],[Valor]])</f>
        <v>4193.8500000006625</v>
      </c>
      <c r="L513" s="40">
        <f t="shared" si="7"/>
        <v>2.22375</v>
      </c>
      <c r="M513" s="40"/>
      <c r="N513" s="40"/>
      <c r="O513" s="40"/>
      <c r="P513" s="39"/>
      <c r="Q513" s="39"/>
      <c r="R513" s="39"/>
      <c r="S513" s="39"/>
      <c r="T513" s="39"/>
      <c r="V513">
        <f>IF(Tabela3[[#This Row],[Pago]]&lt;&gt;"",IF(F514="",Tabela3[[#This Row],[Saldo]],0))</f>
        <v>0</v>
      </c>
    </row>
    <row r="514" spans="1:22" x14ac:dyDescent="0.25">
      <c r="A514" t="s">
        <v>244</v>
      </c>
      <c r="B514" s="37">
        <v>13</v>
      </c>
      <c r="C514" t="str">
        <f>_xlfn.XLOOKUP(B514,'Centro de Custo'!A$2:A$45,'Centro de Custo'!B$2:B$45)</f>
        <v>Terceirizados</v>
      </c>
      <c r="E514" s="39">
        <v>-500</v>
      </c>
      <c r="F514" s="40" t="s">
        <v>10</v>
      </c>
      <c r="G514" s="41">
        <v>45587</v>
      </c>
      <c r="H514" s="42">
        <f>YEAR(Tabela3[[#This Row],[Data]])</f>
        <v>2024</v>
      </c>
      <c r="I514" s="42" t="str">
        <f>_xlfn.XLOOKUP(J514,'Centro de Custo'!J$2:J$13,'Centro de Custo'!K$2:K$13)</f>
        <v>Outubro</v>
      </c>
      <c r="J514" s="43">
        <f>MONTH(Tabela3[[#This Row],[Data]])</f>
        <v>10</v>
      </c>
      <c r="K514" s="39">
        <f>SUM(E$3:Tabela3[[#This Row],[Valor]])</f>
        <v>3693.8500000006625</v>
      </c>
      <c r="L514" s="40">
        <f t="shared" si="7"/>
        <v>2.22375</v>
      </c>
      <c r="M514" s="40"/>
      <c r="N514" s="40"/>
      <c r="O514" s="40"/>
      <c r="P514" s="39"/>
      <c r="Q514" s="39"/>
      <c r="R514" s="39"/>
      <c r="S514" s="39"/>
      <c r="T514" s="39"/>
      <c r="V514">
        <f>IF(Tabela3[[#This Row],[Pago]]&lt;&gt;"",IF(F515="",Tabela3[[#This Row],[Saldo]],0))</f>
        <v>0</v>
      </c>
    </row>
    <row r="515" spans="1:22" x14ac:dyDescent="0.25">
      <c r="A515" t="s">
        <v>51</v>
      </c>
      <c r="B515" s="37">
        <v>41</v>
      </c>
      <c r="C515" t="str">
        <f>_xlfn.XLOOKUP(B515,'Centro de Custo'!A$2:A$45,'Centro de Custo'!B$2:B$45)</f>
        <v>Resgate Financeiro</v>
      </c>
      <c r="E515" s="39">
        <v>99000</v>
      </c>
      <c r="F515" s="40" t="s">
        <v>10</v>
      </c>
      <c r="G515" s="41">
        <v>45589</v>
      </c>
      <c r="H515" s="42">
        <f>YEAR(Tabela3[[#This Row],[Data]])</f>
        <v>2024</v>
      </c>
      <c r="I515" s="42" t="str">
        <f>_xlfn.XLOOKUP(J515,'Centro de Custo'!J$2:J$13,'Centro de Custo'!K$2:K$13)</f>
        <v>Outubro</v>
      </c>
      <c r="J515" s="43">
        <f>MONTH(Tabela3[[#This Row],[Data]])</f>
        <v>10</v>
      </c>
      <c r="K515" s="39">
        <f>SUM(E$3:Tabela3[[#This Row],[Valor]])</f>
        <v>102693.85000000066</v>
      </c>
      <c r="L515" s="40">
        <f t="shared" ref="L515:L578" si="8">17.79/8</f>
        <v>2.22375</v>
      </c>
      <c r="M515" s="40"/>
      <c r="N515" s="40"/>
      <c r="O515" s="40"/>
      <c r="P515" s="39"/>
      <c r="Q515" s="39"/>
      <c r="R515" s="39"/>
      <c r="S515" s="39"/>
      <c r="T515" s="39"/>
      <c r="V515">
        <f>IF(Tabela3[[#This Row],[Pago]]&lt;&gt;"",IF(F516="",Tabela3[[#This Row],[Saldo]],0))</f>
        <v>0</v>
      </c>
    </row>
    <row r="516" spans="1:22" x14ac:dyDescent="0.25">
      <c r="A516" t="s">
        <v>297</v>
      </c>
      <c r="B516" s="37">
        <v>50</v>
      </c>
      <c r="C516" t="str">
        <f>_xlfn.XLOOKUP(B516,'Centro de Custo'!A$2:A$45,'Centro de Custo'!B$2:B$45)</f>
        <v>Empréstimos</v>
      </c>
      <c r="E516" s="39">
        <v>10000</v>
      </c>
      <c r="F516" s="40" t="s">
        <v>10</v>
      </c>
      <c r="G516" s="41">
        <v>45589</v>
      </c>
      <c r="H516" s="42">
        <f>YEAR(Tabela3[[#This Row],[Data]])</f>
        <v>2024</v>
      </c>
      <c r="I516" s="42" t="str">
        <f>_xlfn.XLOOKUP(J516,'Centro de Custo'!J$2:J$13,'Centro de Custo'!K$2:K$13)</f>
        <v>Outubro</v>
      </c>
      <c r="J516" s="43">
        <f>MONTH(Tabela3[[#This Row],[Data]])</f>
        <v>10</v>
      </c>
      <c r="K516" s="39">
        <f>SUM(E$3:Tabela3[[#This Row],[Valor]])</f>
        <v>112693.85000000066</v>
      </c>
      <c r="L516" s="40">
        <f t="shared" si="8"/>
        <v>2.22375</v>
      </c>
      <c r="M516" s="40"/>
      <c r="N516" s="40"/>
      <c r="O516" s="40"/>
      <c r="P516" s="39"/>
      <c r="Q516" s="39"/>
      <c r="R516" s="39"/>
      <c r="S516" s="39"/>
      <c r="T516" s="39"/>
      <c r="V516">
        <f>IF(Tabela3[[#This Row],[Pago]]&lt;&gt;"",IF(F517="",Tabela3[[#This Row],[Saldo]],0))</f>
        <v>0</v>
      </c>
    </row>
    <row r="517" spans="1:22" x14ac:dyDescent="0.25">
      <c r="A517" t="s">
        <v>298</v>
      </c>
      <c r="B517" s="37">
        <v>4</v>
      </c>
      <c r="C517" t="str">
        <f>_xlfn.XLOOKUP(B517,'Centro de Custo'!A$2:A$45,'Centro de Custo'!B$2:B$45)</f>
        <v>Reforma</v>
      </c>
      <c r="E517" s="39">
        <v>-24793.9</v>
      </c>
      <c r="F517" s="40" t="s">
        <v>10</v>
      </c>
      <c r="G517" s="41">
        <v>45589</v>
      </c>
      <c r="H517" s="42">
        <f>YEAR(Tabela3[[#This Row],[Data]])</f>
        <v>2024</v>
      </c>
      <c r="I517" s="42" t="str">
        <f>_xlfn.XLOOKUP(J517,'Centro de Custo'!J$2:J$13,'Centro de Custo'!K$2:K$13)</f>
        <v>Outubro</v>
      </c>
      <c r="J517" s="43">
        <f>MONTH(Tabela3[[#This Row],[Data]])</f>
        <v>10</v>
      </c>
      <c r="K517" s="39">
        <f>SUM(E$3:Tabela3[[#This Row],[Valor]])</f>
        <v>87899.95000000065</v>
      </c>
      <c r="L517" s="40">
        <f t="shared" si="8"/>
        <v>2.22375</v>
      </c>
      <c r="M517" s="40"/>
      <c r="N517" s="40"/>
      <c r="O517" s="40"/>
      <c r="P517" s="39"/>
      <c r="Q517" s="39"/>
      <c r="R517" s="39"/>
      <c r="S517" s="39"/>
      <c r="T517" s="39"/>
      <c r="V517">
        <f>IF(Tabela3[[#This Row],[Pago]]&lt;&gt;"",IF(F518="",Tabela3[[#This Row],[Saldo]],0))</f>
        <v>0</v>
      </c>
    </row>
    <row r="518" spans="1:22" x14ac:dyDescent="0.25">
      <c r="A518" t="s">
        <v>297</v>
      </c>
      <c r="B518" s="37">
        <v>12</v>
      </c>
      <c r="C518" t="str">
        <f>_xlfn.XLOOKUP(B518,'Centro de Custo'!A$2:A$45,'Centro de Custo'!B$2:B$45)</f>
        <v>Direitos Autorais Terceiros</v>
      </c>
      <c r="E518" s="39">
        <v>-74534</v>
      </c>
      <c r="F518" s="40" t="s">
        <v>10</v>
      </c>
      <c r="G518" s="41">
        <v>45589</v>
      </c>
      <c r="H518" s="42">
        <f>YEAR(Tabela3[[#This Row],[Data]])</f>
        <v>2024</v>
      </c>
      <c r="I518" s="42" t="str">
        <f>_xlfn.XLOOKUP(J518,'Centro de Custo'!J$2:J$13,'Centro de Custo'!K$2:K$13)</f>
        <v>Outubro</v>
      </c>
      <c r="J518" s="43">
        <f>MONTH(Tabela3[[#This Row],[Data]])</f>
        <v>10</v>
      </c>
      <c r="K518" s="39">
        <f>SUM(E$3:Tabela3[[#This Row],[Valor]])</f>
        <v>13365.950000000652</v>
      </c>
      <c r="L518" s="40">
        <f t="shared" si="8"/>
        <v>2.22375</v>
      </c>
      <c r="M518" s="40"/>
      <c r="N518" s="40"/>
      <c r="O518" s="40"/>
      <c r="P518" s="39"/>
      <c r="Q518" s="39"/>
      <c r="R518" s="39"/>
      <c r="S518" s="39"/>
      <c r="T518" s="39"/>
      <c r="V518">
        <f>IF(Tabela3[[#This Row],[Pago]]&lt;&gt;"",IF(F519="",Tabela3[[#This Row],[Saldo]],0))</f>
        <v>0</v>
      </c>
    </row>
    <row r="519" spans="1:22" x14ac:dyDescent="0.25">
      <c r="A519" t="s">
        <v>299</v>
      </c>
      <c r="B519" s="37">
        <v>1</v>
      </c>
      <c r="C519" t="str">
        <f>_xlfn.XLOOKUP(B519,'Centro de Custo'!A$2:A$45,'Centro de Custo'!B$2:B$45)</f>
        <v>Receita de Produto</v>
      </c>
      <c r="E519" s="39">
        <v>1661184.78</v>
      </c>
      <c r="F519" s="40" t="s">
        <v>10</v>
      </c>
      <c r="G519" s="41">
        <v>45590</v>
      </c>
      <c r="H519" s="42">
        <f>YEAR(Tabela3[[#This Row],[Data]])</f>
        <v>2024</v>
      </c>
      <c r="I519" s="42" t="str">
        <f>_xlfn.XLOOKUP(J519,'Centro de Custo'!J$2:J$13,'Centro de Custo'!K$2:K$13)</f>
        <v>Outubro</v>
      </c>
      <c r="J519" s="43">
        <f>MONTH(Tabela3[[#This Row],[Data]])</f>
        <v>10</v>
      </c>
      <c r="K519" s="39">
        <f>SUM(E$3:Tabela3[[#This Row],[Valor]])</f>
        <v>1674550.7300000007</v>
      </c>
      <c r="L519" s="40">
        <f t="shared" si="8"/>
        <v>2.22375</v>
      </c>
      <c r="M519" s="40"/>
      <c r="N519" s="40"/>
      <c r="O519" s="40"/>
      <c r="P519" s="39"/>
      <c r="Q519" s="39"/>
      <c r="R519" s="39"/>
      <c r="S519" s="39"/>
      <c r="T519" s="39"/>
      <c r="V519">
        <f>IF(Tabela3[[#This Row],[Pago]]&lt;&gt;"",IF(F520="",Tabela3[[#This Row],[Saldo]],0))</f>
        <v>0</v>
      </c>
    </row>
    <row r="520" spans="1:22" x14ac:dyDescent="0.25">
      <c r="A520" t="s">
        <v>300</v>
      </c>
      <c r="B520" s="37">
        <v>1</v>
      </c>
      <c r="C520" t="str">
        <f>_xlfn.XLOOKUP(B520,'Centro de Custo'!A$2:A$45,'Centro de Custo'!B$2:B$45)</f>
        <v>Receita de Produto</v>
      </c>
      <c r="E520" s="39">
        <v>838815.2</v>
      </c>
      <c r="F520" s="40" t="s">
        <v>10</v>
      </c>
      <c r="G520" s="41">
        <v>45590</v>
      </c>
      <c r="H520" s="42">
        <f>YEAR(Tabela3[[#This Row],[Data]])</f>
        <v>2024</v>
      </c>
      <c r="I520" s="42" t="str">
        <f>_xlfn.XLOOKUP(J520,'Centro de Custo'!J$2:J$13,'Centro de Custo'!K$2:K$13)</f>
        <v>Outubro</v>
      </c>
      <c r="J520" s="43">
        <f>MONTH(Tabela3[[#This Row],[Data]])</f>
        <v>10</v>
      </c>
      <c r="K520" s="39">
        <f>SUM(E$3:Tabela3[[#This Row],[Valor]])</f>
        <v>2513365.9300000006</v>
      </c>
      <c r="L520" s="40">
        <f t="shared" si="8"/>
        <v>2.22375</v>
      </c>
      <c r="M520" s="40"/>
      <c r="N520" s="40"/>
      <c r="O520" s="40"/>
      <c r="P520" s="39"/>
      <c r="Q520" s="39"/>
      <c r="R520" s="39"/>
      <c r="S520" s="39"/>
      <c r="T520" s="39"/>
      <c r="V520">
        <f>IF(Tabela3[[#This Row],[Pago]]&lt;&gt;"",IF(F521="",Tabela3[[#This Row],[Saldo]],0))</f>
        <v>0</v>
      </c>
    </row>
    <row r="521" spans="1:22" x14ac:dyDescent="0.25">
      <c r="A521" t="s">
        <v>224</v>
      </c>
      <c r="B521" s="37">
        <v>20</v>
      </c>
      <c r="C521" t="str">
        <f>_xlfn.XLOOKUP(B521,'Centro de Custo'!A$2:A$45,'Centro de Custo'!B$2:B$45)</f>
        <v>Desp. ADM</v>
      </c>
      <c r="E521" s="39">
        <v>-25.85</v>
      </c>
      <c r="F521" s="40" t="s">
        <v>10</v>
      </c>
      <c r="G521" s="41">
        <v>45590</v>
      </c>
      <c r="H521" s="42">
        <f>YEAR(Tabela3[[#This Row],[Data]])</f>
        <v>2024</v>
      </c>
      <c r="I521" s="42" t="str">
        <f>_xlfn.XLOOKUP(J521,'Centro de Custo'!J$2:J$13,'Centro de Custo'!K$2:K$13)</f>
        <v>Outubro</v>
      </c>
      <c r="J521" s="43">
        <f>MONTH(Tabela3[[#This Row],[Data]])</f>
        <v>10</v>
      </c>
      <c r="K521" s="39">
        <f>SUM(E$3:Tabela3[[#This Row],[Valor]])</f>
        <v>2513340.0800000005</v>
      </c>
      <c r="L521" s="40">
        <f t="shared" si="8"/>
        <v>2.22375</v>
      </c>
      <c r="M521" s="40"/>
      <c r="N521" s="40"/>
      <c r="O521" s="40"/>
      <c r="P521" s="39"/>
      <c r="Q521" s="39"/>
      <c r="R521" s="39"/>
      <c r="S521" s="39"/>
      <c r="T521" s="39"/>
      <c r="V521">
        <f>IF(Tabela3[[#This Row],[Pago]]&lt;&gt;"",IF(F522="",Tabela3[[#This Row],[Saldo]],0))</f>
        <v>0</v>
      </c>
    </row>
    <row r="522" spans="1:22" x14ac:dyDescent="0.25">
      <c r="A522" t="s">
        <v>301</v>
      </c>
      <c r="B522" s="37">
        <v>4</v>
      </c>
      <c r="C522" t="str">
        <f>_xlfn.XLOOKUP(B522,'Centro de Custo'!A$2:A$45,'Centro de Custo'!B$2:B$45)</f>
        <v>Reforma</v>
      </c>
      <c r="E522" s="39">
        <v>-367</v>
      </c>
      <c r="F522" s="40" t="s">
        <v>10</v>
      </c>
      <c r="G522" s="41">
        <v>45590</v>
      </c>
      <c r="H522" s="42">
        <f>YEAR(Tabela3[[#This Row],[Data]])</f>
        <v>2024</v>
      </c>
      <c r="I522" s="42" t="str">
        <f>_xlfn.XLOOKUP(J522,'Centro de Custo'!J$2:J$13,'Centro de Custo'!K$2:K$13)</f>
        <v>Outubro</v>
      </c>
      <c r="J522" s="43">
        <f>MONTH(Tabela3[[#This Row],[Data]])</f>
        <v>10</v>
      </c>
      <c r="K522" s="39">
        <f>SUM(E$3:Tabela3[[#This Row],[Valor]])</f>
        <v>2512973.0800000005</v>
      </c>
      <c r="L522" s="40">
        <f t="shared" si="8"/>
        <v>2.22375</v>
      </c>
      <c r="M522" s="40"/>
      <c r="N522" s="40"/>
      <c r="O522" s="40"/>
      <c r="P522" s="39"/>
      <c r="Q522" s="39"/>
      <c r="R522" s="39"/>
      <c r="S522" s="39"/>
      <c r="T522" s="39"/>
      <c r="V522">
        <f>IF(Tabela3[[#This Row],[Pago]]&lt;&gt;"",IF(F523="",Tabela3[[#This Row],[Saldo]],0))</f>
        <v>0</v>
      </c>
    </row>
    <row r="523" spans="1:22" x14ac:dyDescent="0.25">
      <c r="A523" t="s">
        <v>51</v>
      </c>
      <c r="B523" s="37">
        <v>40</v>
      </c>
      <c r="C523" t="str">
        <f>_xlfn.XLOOKUP(B523,'Centro de Custo'!A$2:A$45,'Centro de Custo'!B$2:B$45)</f>
        <v>Aplicação Financeira</v>
      </c>
      <c r="E523" s="39">
        <v>-800000</v>
      </c>
      <c r="F523" s="40" t="s">
        <v>10</v>
      </c>
      <c r="G523" s="41">
        <v>45590</v>
      </c>
      <c r="H523" s="42">
        <f>YEAR(Tabela3[[#This Row],[Data]])</f>
        <v>2024</v>
      </c>
      <c r="I523" s="42" t="str">
        <f>_xlfn.XLOOKUP(J523,'Centro de Custo'!J$2:J$13,'Centro de Custo'!K$2:K$13)</f>
        <v>Outubro</v>
      </c>
      <c r="J523" s="43">
        <f>MONTH(Tabela3[[#This Row],[Data]])</f>
        <v>10</v>
      </c>
      <c r="K523" s="39">
        <f>SUM(E$3:Tabela3[[#This Row],[Valor]])</f>
        <v>1712973.0800000005</v>
      </c>
      <c r="L523" s="40">
        <f t="shared" si="8"/>
        <v>2.22375</v>
      </c>
      <c r="M523" s="40"/>
      <c r="N523" s="40"/>
      <c r="O523" s="40"/>
      <c r="P523" s="39"/>
      <c r="Q523" s="39"/>
      <c r="R523" s="39"/>
      <c r="S523" s="39"/>
      <c r="T523" s="39"/>
      <c r="V523">
        <f>IF(Tabela3[[#This Row],[Pago]]&lt;&gt;"",IF(F524="",Tabela3[[#This Row],[Saldo]],0))</f>
        <v>0</v>
      </c>
    </row>
    <row r="524" spans="1:22" x14ac:dyDescent="0.25">
      <c r="A524" t="s">
        <v>51</v>
      </c>
      <c r="B524" s="37">
        <v>40</v>
      </c>
      <c r="C524" t="str">
        <f>_xlfn.XLOOKUP(B524,'Centro de Custo'!A$2:A$45,'Centro de Custo'!B$2:B$45)</f>
        <v>Aplicação Financeira</v>
      </c>
      <c r="E524" s="39">
        <v>-1600000</v>
      </c>
      <c r="F524" s="40" t="s">
        <v>10</v>
      </c>
      <c r="G524" s="41">
        <v>45590</v>
      </c>
      <c r="H524" s="42">
        <f>YEAR(Tabela3[[#This Row],[Data]])</f>
        <v>2024</v>
      </c>
      <c r="I524" s="42" t="str">
        <f>_xlfn.XLOOKUP(J524,'Centro de Custo'!J$2:J$13,'Centro de Custo'!K$2:K$13)</f>
        <v>Outubro</v>
      </c>
      <c r="J524" s="43">
        <f>MONTH(Tabela3[[#This Row],[Data]])</f>
        <v>10</v>
      </c>
      <c r="K524" s="39">
        <f>SUM(E$3:Tabela3[[#This Row],[Valor]])</f>
        <v>112973.08000000054</v>
      </c>
      <c r="L524" s="40">
        <f t="shared" si="8"/>
        <v>2.22375</v>
      </c>
      <c r="M524" s="40"/>
      <c r="N524" s="40"/>
      <c r="O524" s="40"/>
      <c r="P524" s="39"/>
      <c r="Q524" s="39"/>
      <c r="R524" s="39"/>
      <c r="S524" s="39"/>
      <c r="T524" s="39"/>
      <c r="V524">
        <f>IF(Tabela3[[#This Row],[Pago]]&lt;&gt;"",IF(F525="",Tabela3[[#This Row],[Saldo]],0))</f>
        <v>0</v>
      </c>
    </row>
    <row r="525" spans="1:22" x14ac:dyDescent="0.25">
      <c r="A525" t="s">
        <v>302</v>
      </c>
      <c r="B525" s="37">
        <v>30</v>
      </c>
      <c r="C525" t="str">
        <f>_xlfn.XLOOKUP(B525,'Centro de Custo'!A$2:A$45,'Centro de Custo'!B$2:B$45)</f>
        <v>Impostos</v>
      </c>
      <c r="E525" s="39">
        <v>-5206.23</v>
      </c>
      <c r="F525" s="40" t="s">
        <v>10</v>
      </c>
      <c r="G525" s="41">
        <v>45593</v>
      </c>
      <c r="H525" s="42">
        <f>YEAR(Tabela3[[#This Row],[Data]])</f>
        <v>2024</v>
      </c>
      <c r="I525" s="42" t="str">
        <f>_xlfn.XLOOKUP(J525,'Centro de Custo'!J$2:J$13,'Centro de Custo'!K$2:K$13)</f>
        <v>Outubro</v>
      </c>
      <c r="J525" s="43">
        <f>MONTH(Tabela3[[#This Row],[Data]])</f>
        <v>10</v>
      </c>
      <c r="K525" s="39">
        <f>SUM(E$3:Tabela3[[#This Row],[Valor]])</f>
        <v>107766.85000000054</v>
      </c>
      <c r="L525" s="40">
        <f t="shared" si="8"/>
        <v>2.22375</v>
      </c>
      <c r="M525" s="40"/>
      <c r="N525" s="40"/>
      <c r="O525" s="40"/>
      <c r="P525" s="39"/>
      <c r="Q525" s="39"/>
      <c r="R525" s="39"/>
      <c r="S525" s="39"/>
      <c r="T525" s="39"/>
      <c r="V525">
        <f>IF(Tabela3[[#This Row],[Pago]]&lt;&gt;"",IF(F526="",Tabela3[[#This Row],[Saldo]],0))</f>
        <v>0</v>
      </c>
    </row>
    <row r="526" spans="1:22" x14ac:dyDescent="0.25">
      <c r="A526" t="s">
        <v>229</v>
      </c>
      <c r="B526" s="37">
        <v>13</v>
      </c>
      <c r="C526" t="str">
        <f>_xlfn.XLOOKUP(B526,'Centro de Custo'!A$2:A$45,'Centro de Custo'!B$2:B$45)</f>
        <v>Terceirizados</v>
      </c>
      <c r="E526" s="39">
        <v>-8000</v>
      </c>
      <c r="F526" s="40" t="s">
        <v>10</v>
      </c>
      <c r="G526" s="41">
        <v>45594</v>
      </c>
      <c r="H526" s="42">
        <f>YEAR(Tabela3[[#This Row],[Data]])</f>
        <v>2024</v>
      </c>
      <c r="I526" s="42" t="str">
        <f>_xlfn.XLOOKUP(J526,'Centro de Custo'!J$2:J$13,'Centro de Custo'!K$2:K$13)</f>
        <v>Outubro</v>
      </c>
      <c r="J526" s="43">
        <f>MONTH(Tabela3[[#This Row],[Data]])</f>
        <v>10</v>
      </c>
      <c r="K526" s="39">
        <f>SUM(E$3:Tabela3[[#This Row],[Valor]])</f>
        <v>99766.85000000054</v>
      </c>
      <c r="L526" s="40">
        <f t="shared" si="8"/>
        <v>2.22375</v>
      </c>
      <c r="M526" s="40"/>
      <c r="N526" s="40"/>
      <c r="O526" s="40"/>
      <c r="P526" s="39"/>
      <c r="Q526" s="39"/>
      <c r="R526" s="39"/>
      <c r="S526" s="39"/>
      <c r="T526" s="39"/>
      <c r="V526">
        <f>IF(Tabela3[[#This Row],[Pago]]&lt;&gt;"",IF(F527="",Tabela3[[#This Row],[Saldo]],0))</f>
        <v>0</v>
      </c>
    </row>
    <row r="527" spans="1:22" x14ac:dyDescent="0.25">
      <c r="A527" t="s">
        <v>230</v>
      </c>
      <c r="B527" s="37">
        <v>13</v>
      </c>
      <c r="C527" t="str">
        <f>_xlfn.XLOOKUP(B527,'Centro de Custo'!A$2:A$45,'Centro de Custo'!B$2:B$45)</f>
        <v>Terceirizados</v>
      </c>
      <c r="E527" s="39">
        <v>-8000</v>
      </c>
      <c r="F527" s="40" t="s">
        <v>10</v>
      </c>
      <c r="G527" s="41">
        <v>45594</v>
      </c>
      <c r="H527" s="42">
        <f>YEAR(Tabela3[[#This Row],[Data]])</f>
        <v>2024</v>
      </c>
      <c r="I527" s="42" t="str">
        <f>_xlfn.XLOOKUP(J527,'Centro de Custo'!J$2:J$13,'Centro de Custo'!K$2:K$13)</f>
        <v>Outubro</v>
      </c>
      <c r="J527" s="43">
        <f>MONTH(Tabela3[[#This Row],[Data]])</f>
        <v>10</v>
      </c>
      <c r="K527" s="39">
        <f>SUM(E$3:Tabela3[[#This Row],[Valor]])</f>
        <v>91766.85000000054</v>
      </c>
      <c r="L527" s="40">
        <f t="shared" si="8"/>
        <v>2.22375</v>
      </c>
      <c r="M527" s="40"/>
      <c r="N527" s="40"/>
      <c r="O527" s="40"/>
      <c r="P527" s="39"/>
      <c r="Q527" s="39"/>
      <c r="R527" s="39"/>
      <c r="S527" s="39"/>
      <c r="T527" s="39"/>
      <c r="V527">
        <f>IF(Tabela3[[#This Row],[Pago]]&lt;&gt;"",IF(F528="",Tabela3[[#This Row],[Saldo]],0))</f>
        <v>0</v>
      </c>
    </row>
    <row r="528" spans="1:22" x14ac:dyDescent="0.25">
      <c r="A528" t="s">
        <v>93</v>
      </c>
      <c r="B528" s="37">
        <v>13</v>
      </c>
      <c r="C528" t="str">
        <f>_xlfn.XLOOKUP(B528,'Centro de Custo'!A$2:A$45,'Centro de Custo'!B$2:B$45)</f>
        <v>Terceirizados</v>
      </c>
      <c r="E528" s="39">
        <v>-8000</v>
      </c>
      <c r="F528" s="40" t="s">
        <v>10</v>
      </c>
      <c r="G528" s="41">
        <v>45594</v>
      </c>
      <c r="H528" s="42">
        <f>YEAR(Tabela3[[#This Row],[Data]])</f>
        <v>2024</v>
      </c>
      <c r="I528" s="42" t="str">
        <f>_xlfn.XLOOKUP(J528,'Centro de Custo'!J$2:J$13,'Centro de Custo'!K$2:K$13)</f>
        <v>Outubro</v>
      </c>
      <c r="J528" s="43">
        <f>MONTH(Tabela3[[#This Row],[Data]])</f>
        <v>10</v>
      </c>
      <c r="K528" s="39">
        <f>SUM(E$3:Tabela3[[#This Row],[Valor]])</f>
        <v>83766.85000000054</v>
      </c>
      <c r="L528" s="40">
        <f t="shared" si="8"/>
        <v>2.22375</v>
      </c>
      <c r="M528" s="40"/>
      <c r="N528" s="40"/>
      <c r="O528" s="40"/>
      <c r="P528" s="39"/>
      <c r="Q528" s="39"/>
      <c r="R528" s="39"/>
      <c r="S528" s="39"/>
      <c r="T528" s="39"/>
      <c r="V528">
        <f>IF(Tabela3[[#This Row],[Pago]]&lt;&gt;"",IF(F529="",Tabela3[[#This Row],[Saldo]],0))</f>
        <v>0</v>
      </c>
    </row>
    <row r="529" spans="1:22" x14ac:dyDescent="0.25">
      <c r="A529" t="s">
        <v>125</v>
      </c>
      <c r="B529" s="37">
        <v>13</v>
      </c>
      <c r="C529" t="str">
        <f>_xlfn.XLOOKUP(B529,'Centro de Custo'!A$2:A$45,'Centro de Custo'!B$2:B$45)</f>
        <v>Terceirizados</v>
      </c>
      <c r="E529" s="39">
        <v>-9000</v>
      </c>
      <c r="F529" s="40" t="s">
        <v>10</v>
      </c>
      <c r="G529" s="41">
        <v>45594</v>
      </c>
      <c r="H529" s="42">
        <f>YEAR(Tabela3[[#This Row],[Data]])</f>
        <v>2024</v>
      </c>
      <c r="I529" s="42" t="str">
        <f>_xlfn.XLOOKUP(J529,'Centro de Custo'!J$2:J$13,'Centro de Custo'!K$2:K$13)</f>
        <v>Outubro</v>
      </c>
      <c r="J529" s="43">
        <f>MONTH(Tabela3[[#This Row],[Data]])</f>
        <v>10</v>
      </c>
      <c r="K529" s="39">
        <f>SUM(E$3:Tabela3[[#This Row],[Valor]])</f>
        <v>74766.85000000054</v>
      </c>
      <c r="L529" s="40">
        <f t="shared" si="8"/>
        <v>2.22375</v>
      </c>
      <c r="M529" s="40"/>
      <c r="N529" s="40"/>
      <c r="O529" s="40"/>
      <c r="P529" s="39"/>
      <c r="Q529" s="39"/>
      <c r="R529" s="39"/>
      <c r="S529" s="39"/>
      <c r="T529" s="39"/>
      <c r="V529">
        <f>IF(Tabela3[[#This Row],[Pago]]&lt;&gt;"",IF(F530="",Tabela3[[#This Row],[Saldo]],0))</f>
        <v>0</v>
      </c>
    </row>
    <row r="530" spans="1:22" x14ac:dyDescent="0.25">
      <c r="A530" t="s">
        <v>301</v>
      </c>
      <c r="B530" s="37">
        <v>4</v>
      </c>
      <c r="C530" t="str">
        <f>_xlfn.XLOOKUP(B530,'Centro de Custo'!A$2:A$45,'Centro de Custo'!B$2:B$45)</f>
        <v>Reforma</v>
      </c>
      <c r="E530" s="39">
        <v>-84.5</v>
      </c>
      <c r="F530" s="40" t="s">
        <v>10</v>
      </c>
      <c r="G530" s="41">
        <v>45595</v>
      </c>
      <c r="H530" s="42">
        <f>YEAR(Tabela3[[#This Row],[Data]])</f>
        <v>2024</v>
      </c>
      <c r="I530" s="42" t="str">
        <f>_xlfn.XLOOKUP(J530,'Centro de Custo'!J$2:J$13,'Centro de Custo'!K$2:K$13)</f>
        <v>Outubro</v>
      </c>
      <c r="J530" s="43">
        <f>MONTH(Tabela3[[#This Row],[Data]])</f>
        <v>10</v>
      </c>
      <c r="K530" s="39">
        <f>SUM(E$3:Tabela3[[#This Row],[Valor]])</f>
        <v>74682.35000000054</v>
      </c>
      <c r="L530" s="40">
        <f t="shared" si="8"/>
        <v>2.22375</v>
      </c>
      <c r="M530" s="40"/>
      <c r="N530" s="40"/>
      <c r="O530" s="40"/>
      <c r="P530" s="39"/>
      <c r="Q530" s="39"/>
      <c r="R530" s="39"/>
      <c r="S530" s="39"/>
      <c r="T530" s="39"/>
      <c r="V530">
        <f>IF(Tabela3[[#This Row],[Pago]]&lt;&gt;"",IF(F531="",Tabela3[[#This Row],[Saldo]],0))</f>
        <v>0</v>
      </c>
    </row>
    <row r="531" spans="1:22" x14ac:dyDescent="0.25">
      <c r="A531" t="s">
        <v>303</v>
      </c>
      <c r="B531" s="37">
        <v>4</v>
      </c>
      <c r="C531" t="str">
        <f>_xlfn.XLOOKUP(B531,'Centro de Custo'!A$2:A$45,'Centro de Custo'!B$2:B$45)</f>
        <v>Reforma</v>
      </c>
      <c r="E531" s="39">
        <v>-1020</v>
      </c>
      <c r="F531" s="40" t="s">
        <v>10</v>
      </c>
      <c r="G531" s="41">
        <v>45595</v>
      </c>
      <c r="H531" s="42">
        <f>YEAR(Tabela3[[#This Row],[Data]])</f>
        <v>2024</v>
      </c>
      <c r="I531" s="42" t="str">
        <f>_xlfn.XLOOKUP(J531,'Centro de Custo'!J$2:J$13,'Centro de Custo'!K$2:K$13)</f>
        <v>Outubro</v>
      </c>
      <c r="J531" s="43">
        <f>MONTH(Tabela3[[#This Row],[Data]])</f>
        <v>10</v>
      </c>
      <c r="K531" s="39">
        <f>SUM(E$3:Tabela3[[#This Row],[Valor]])</f>
        <v>73662.35000000054</v>
      </c>
      <c r="L531" s="40">
        <f t="shared" si="8"/>
        <v>2.22375</v>
      </c>
      <c r="M531" s="40"/>
      <c r="N531" s="40"/>
      <c r="O531" s="40"/>
      <c r="P531" s="39"/>
      <c r="Q531" s="39"/>
      <c r="R531" s="39"/>
      <c r="S531" s="39"/>
      <c r="T531" s="39"/>
      <c r="V531">
        <f>IF(Tabela3[[#This Row],[Pago]]&lt;&gt;"",IF(F532="",Tabela3[[#This Row],[Saldo]],0))</f>
        <v>0</v>
      </c>
    </row>
    <row r="532" spans="1:22" x14ac:dyDescent="0.25">
      <c r="A532" t="s">
        <v>304</v>
      </c>
      <c r="B532" s="37">
        <v>4</v>
      </c>
      <c r="C532" t="str">
        <f>_xlfn.XLOOKUP(B532,'Centro de Custo'!A$2:A$45,'Centro de Custo'!B$2:B$45)</f>
        <v>Reforma</v>
      </c>
      <c r="E532" s="39">
        <v>-3493.9</v>
      </c>
      <c r="F532" s="40" t="s">
        <v>10</v>
      </c>
      <c r="G532" s="41">
        <v>45595</v>
      </c>
      <c r="H532" s="42">
        <f>YEAR(Tabela3[[#This Row],[Data]])</f>
        <v>2024</v>
      </c>
      <c r="I532" s="42" t="str">
        <f>_xlfn.XLOOKUP(J532,'Centro de Custo'!J$2:J$13,'Centro de Custo'!K$2:K$13)</f>
        <v>Outubro</v>
      </c>
      <c r="J532" s="43">
        <f>MONTH(Tabela3[[#This Row],[Data]])</f>
        <v>10</v>
      </c>
      <c r="K532" s="39">
        <f>SUM(E$3:Tabela3[[#This Row],[Valor]])</f>
        <v>70168.45000000055</v>
      </c>
      <c r="L532" s="40">
        <f t="shared" si="8"/>
        <v>2.22375</v>
      </c>
      <c r="M532" s="40"/>
      <c r="N532" s="40"/>
      <c r="O532" s="40"/>
      <c r="P532" s="39"/>
      <c r="Q532" s="39"/>
      <c r="R532" s="39"/>
      <c r="S532" s="39"/>
      <c r="T532" s="39"/>
      <c r="V532">
        <f>IF(Tabela3[[#This Row],[Pago]]&lt;&gt;"",IF(F533="",Tabela3[[#This Row],[Saldo]],0))</f>
        <v>0</v>
      </c>
    </row>
    <row r="533" spans="1:22" x14ac:dyDescent="0.25">
      <c r="A533" t="s">
        <v>305</v>
      </c>
      <c r="B533" s="37">
        <v>30</v>
      </c>
      <c r="C533" t="str">
        <f>_xlfn.XLOOKUP(B533,'Centro de Custo'!A$2:A$45,'Centro de Custo'!B$2:B$45)</f>
        <v>Impostos</v>
      </c>
      <c r="E533" s="39">
        <v>-13886.48</v>
      </c>
      <c r="F533" s="40" t="s">
        <v>10</v>
      </c>
      <c r="G533" s="41">
        <v>45596</v>
      </c>
      <c r="H533" s="42">
        <f>YEAR(Tabela3[[#This Row],[Data]])</f>
        <v>2024</v>
      </c>
      <c r="I533" s="42" t="str">
        <f>_xlfn.XLOOKUP(J533,'Centro de Custo'!J$2:J$13,'Centro de Custo'!K$2:K$13)</f>
        <v>Outubro</v>
      </c>
      <c r="J533" s="43">
        <f>MONTH(Tabela3[[#This Row],[Data]])</f>
        <v>10</v>
      </c>
      <c r="K533" s="39">
        <f>SUM(E$3:Tabela3[[#This Row],[Valor]])</f>
        <v>56281.970000000554</v>
      </c>
      <c r="L533" s="40">
        <f t="shared" si="8"/>
        <v>2.22375</v>
      </c>
      <c r="M533" s="40"/>
      <c r="N533" s="40"/>
      <c r="O533" s="40"/>
      <c r="P533" s="39"/>
      <c r="Q533" s="39"/>
      <c r="R533" s="39"/>
      <c r="S533" s="39"/>
      <c r="T533" s="39"/>
      <c r="V533">
        <f>IF(Tabela3[[#This Row],[Pago]]&lt;&gt;"",IF(F534="",Tabela3[[#This Row],[Saldo]],0))</f>
        <v>0</v>
      </c>
    </row>
    <row r="534" spans="1:22" x14ac:dyDescent="0.25">
      <c r="A534" t="s">
        <v>306</v>
      </c>
      <c r="B534" s="37">
        <v>11</v>
      </c>
      <c r="C534" t="str">
        <f>_xlfn.XLOOKUP(B534,'Centro de Custo'!A$2:A$45,'Centro de Custo'!B$2:B$45)</f>
        <v>Distribuição de Lucro</v>
      </c>
      <c r="E534" s="39">
        <v>-30000</v>
      </c>
      <c r="F534" s="40" t="s">
        <v>10</v>
      </c>
      <c r="G534" s="41">
        <v>45597</v>
      </c>
      <c r="H534" s="42">
        <f>YEAR(Tabela3[[#This Row],[Data]])</f>
        <v>2024</v>
      </c>
      <c r="I534" s="42" t="str">
        <f>_xlfn.XLOOKUP(J534,'Centro de Custo'!J$2:J$13,'Centro de Custo'!K$2:K$13)</f>
        <v>Novembro</v>
      </c>
      <c r="J534" s="43">
        <f>MONTH(Tabela3[[#This Row],[Data]])</f>
        <v>11</v>
      </c>
      <c r="K534" s="39">
        <f>SUM(E$3:Tabela3[[#This Row],[Valor]])</f>
        <v>26281.970000000554</v>
      </c>
      <c r="L534" s="40">
        <f t="shared" si="8"/>
        <v>2.22375</v>
      </c>
      <c r="M534" s="40"/>
      <c r="N534" s="40"/>
      <c r="O534" s="40"/>
      <c r="P534" s="39"/>
      <c r="Q534" s="39"/>
      <c r="R534" s="39"/>
      <c r="S534" s="39"/>
      <c r="T534" s="39"/>
      <c r="V534">
        <f>IF(Tabela3[[#This Row],[Pago]]&lt;&gt;"",IF(F535="",Tabela3[[#This Row],[Saldo]],0))</f>
        <v>0</v>
      </c>
    </row>
    <row r="535" spans="1:22" x14ac:dyDescent="0.25">
      <c r="A535" t="s">
        <v>198</v>
      </c>
      <c r="B535" s="37">
        <v>20</v>
      </c>
      <c r="C535" t="str">
        <f>_xlfn.XLOOKUP(B535,'Centro de Custo'!A$2:A$45,'Centro de Custo'!B$2:B$45)</f>
        <v>Desp. ADM</v>
      </c>
      <c r="E535" s="39">
        <v>-7005.39</v>
      </c>
      <c r="F535" s="40" t="s">
        <v>10</v>
      </c>
      <c r="G535" s="41">
        <v>45600</v>
      </c>
      <c r="H535" s="42">
        <f>YEAR(Tabela3[[#This Row],[Data]])</f>
        <v>2024</v>
      </c>
      <c r="I535" s="42" t="str">
        <f>_xlfn.XLOOKUP(J535,'Centro de Custo'!J$2:J$13,'Centro de Custo'!K$2:K$13)</f>
        <v>Novembro</v>
      </c>
      <c r="J535" s="43">
        <f>MONTH(Tabela3[[#This Row],[Data]])</f>
        <v>11</v>
      </c>
      <c r="K535" s="39">
        <f>SUM(E$3:Tabela3[[#This Row],[Valor]])</f>
        <v>19276.580000000555</v>
      </c>
      <c r="L535" s="40">
        <f t="shared" si="8"/>
        <v>2.22375</v>
      </c>
      <c r="M535" s="40"/>
      <c r="N535" s="40"/>
      <c r="O535" s="40"/>
      <c r="P535" s="39"/>
      <c r="Q535" s="39"/>
      <c r="R535" s="39"/>
      <c r="S535" s="39"/>
      <c r="T535" s="39"/>
      <c r="V535">
        <f>IF(Tabela3[[#This Row],[Pago]]&lt;&gt;"",IF(F536="",Tabela3[[#This Row],[Saldo]],0))</f>
        <v>0</v>
      </c>
    </row>
    <row r="536" spans="1:22" x14ac:dyDescent="0.25">
      <c r="A536" t="s">
        <v>301</v>
      </c>
      <c r="B536" s="37">
        <v>4</v>
      </c>
      <c r="C536" t="str">
        <f>_xlfn.XLOOKUP(B536,'Centro de Custo'!A$2:A$45,'Centro de Custo'!B$2:B$45)</f>
        <v>Reforma</v>
      </c>
      <c r="E536" s="39">
        <v>-58</v>
      </c>
      <c r="F536" s="40" t="s">
        <v>10</v>
      </c>
      <c r="G536" s="41">
        <v>45601</v>
      </c>
      <c r="H536" s="42">
        <f>YEAR(Tabela3[[#This Row],[Data]])</f>
        <v>2024</v>
      </c>
      <c r="I536" s="42" t="str">
        <f>_xlfn.XLOOKUP(J536,'Centro de Custo'!J$2:J$13,'Centro de Custo'!K$2:K$13)</f>
        <v>Novembro</v>
      </c>
      <c r="J536" s="43">
        <f>MONTH(Tabela3[[#This Row],[Data]])</f>
        <v>11</v>
      </c>
      <c r="K536" s="39">
        <f>SUM(E$3:Tabela3[[#This Row],[Valor]])</f>
        <v>19218.580000000555</v>
      </c>
      <c r="L536" s="40">
        <f t="shared" si="8"/>
        <v>2.22375</v>
      </c>
      <c r="M536" s="40"/>
      <c r="N536" s="40"/>
      <c r="O536" s="40"/>
      <c r="P536" s="39"/>
      <c r="Q536" s="39"/>
      <c r="R536" s="39"/>
      <c r="S536" s="39"/>
      <c r="T536" s="39"/>
      <c r="V536">
        <f>IF(Tabela3[[#This Row],[Pago]]&lt;&gt;"",IF(F537="",Tabela3[[#This Row],[Saldo]],0))</f>
        <v>0</v>
      </c>
    </row>
    <row r="537" spans="1:22" x14ac:dyDescent="0.25">
      <c r="A537" t="s">
        <v>51</v>
      </c>
      <c r="B537" s="37">
        <v>41</v>
      </c>
      <c r="C537" t="str">
        <f>_xlfn.XLOOKUP(B537,'Centro de Custo'!A$2:A$45,'Centro de Custo'!B$2:B$45)</f>
        <v>Resgate Financeiro</v>
      </c>
      <c r="E537" s="39">
        <v>2191000</v>
      </c>
      <c r="F537" s="40" t="s">
        <v>10</v>
      </c>
      <c r="G537" s="41">
        <v>45602</v>
      </c>
      <c r="H537" s="42">
        <f>YEAR(Tabela3[[#This Row],[Data]])</f>
        <v>2024</v>
      </c>
      <c r="I537" s="42" t="str">
        <f>_xlfn.XLOOKUP(J537,'Centro de Custo'!J$2:J$13,'Centro de Custo'!K$2:K$13)</f>
        <v>Novembro</v>
      </c>
      <c r="J537" s="43">
        <f>MONTH(Tabela3[[#This Row],[Data]])</f>
        <v>11</v>
      </c>
      <c r="K537" s="39">
        <f>SUM(E$3:Tabela3[[#This Row],[Valor]])</f>
        <v>2210218.5800000005</v>
      </c>
      <c r="L537" s="40">
        <f t="shared" si="8"/>
        <v>2.22375</v>
      </c>
      <c r="M537" s="40"/>
      <c r="N537" s="40"/>
      <c r="O537" s="40"/>
      <c r="P537" s="39"/>
      <c r="Q537" s="39"/>
      <c r="R537" s="39"/>
      <c r="S537" s="39"/>
      <c r="T537" s="39"/>
      <c r="V537">
        <f>IF(Tabela3[[#This Row],[Pago]]&lt;&gt;"",IF(F538="",Tabela3[[#This Row],[Saldo]],0))</f>
        <v>0</v>
      </c>
    </row>
    <row r="538" spans="1:22" x14ac:dyDescent="0.25">
      <c r="A538" t="s">
        <v>178</v>
      </c>
      <c r="B538" s="37">
        <v>20</v>
      </c>
      <c r="C538" t="str">
        <f>_xlfn.XLOOKUP(B538,'Centro de Custo'!A$2:A$45,'Centro de Custo'!B$2:B$45)</f>
        <v>Desp. ADM</v>
      </c>
      <c r="E538" s="39">
        <v>-147.9</v>
      </c>
      <c r="F538" s="40" t="s">
        <v>10</v>
      </c>
      <c r="G538" s="41">
        <v>45602</v>
      </c>
      <c r="H538" s="42">
        <f>YEAR(Tabela3[[#This Row],[Data]])</f>
        <v>2024</v>
      </c>
      <c r="I538" s="42" t="str">
        <f>_xlfn.XLOOKUP(J538,'Centro de Custo'!J$2:J$13,'Centro de Custo'!K$2:K$13)</f>
        <v>Novembro</v>
      </c>
      <c r="J538" s="43">
        <f>MONTH(Tabela3[[#This Row],[Data]])</f>
        <v>11</v>
      </c>
      <c r="K538" s="39">
        <f>SUM(E$3:Tabela3[[#This Row],[Valor]])</f>
        <v>2210070.6800000006</v>
      </c>
      <c r="L538" s="40">
        <f t="shared" si="8"/>
        <v>2.22375</v>
      </c>
      <c r="M538" s="40"/>
      <c r="N538" s="40"/>
      <c r="O538" s="40"/>
      <c r="P538" s="39"/>
      <c r="Q538" s="39"/>
      <c r="R538" s="39"/>
      <c r="S538" s="39"/>
      <c r="T538" s="39"/>
      <c r="V538">
        <f>IF(Tabela3[[#This Row],[Pago]]&lt;&gt;"",IF(F539="",Tabela3[[#This Row],[Saldo]],0))</f>
        <v>0</v>
      </c>
    </row>
    <row r="539" spans="1:22" x14ac:dyDescent="0.25">
      <c r="A539" t="s">
        <v>167</v>
      </c>
      <c r="B539" s="37">
        <v>20</v>
      </c>
      <c r="C539" t="str">
        <f>_xlfn.XLOOKUP(B539,'Centro de Custo'!A$2:A$45,'Centro de Custo'!B$2:B$45)</f>
        <v>Desp. ADM</v>
      </c>
      <c r="E539" s="39">
        <v>-484.29</v>
      </c>
      <c r="F539" s="40" t="s">
        <v>10</v>
      </c>
      <c r="G539" s="41">
        <v>45602</v>
      </c>
      <c r="H539" s="42">
        <f>YEAR(Tabela3[[#This Row],[Data]])</f>
        <v>2024</v>
      </c>
      <c r="I539" s="42" t="str">
        <f>_xlfn.XLOOKUP(J539,'Centro de Custo'!J$2:J$13,'Centro de Custo'!K$2:K$13)</f>
        <v>Novembro</v>
      </c>
      <c r="J539" s="43">
        <f>MONTH(Tabela3[[#This Row],[Data]])</f>
        <v>11</v>
      </c>
      <c r="K539" s="39">
        <f>SUM(E$3:Tabela3[[#This Row],[Valor]])</f>
        <v>2209586.3900000006</v>
      </c>
      <c r="L539" s="40">
        <f t="shared" si="8"/>
        <v>2.22375</v>
      </c>
      <c r="M539" s="40"/>
      <c r="N539" s="40"/>
      <c r="O539" s="40"/>
      <c r="P539" s="39"/>
      <c r="Q539" s="39"/>
      <c r="R539" s="39"/>
      <c r="S539" s="39"/>
      <c r="T539" s="39"/>
      <c r="V539">
        <f>IF(Tabela3[[#This Row],[Pago]]&lt;&gt;"",IF(F540="",Tabela3[[#This Row],[Saldo]],0))</f>
        <v>0</v>
      </c>
    </row>
    <row r="540" spans="1:22" x14ac:dyDescent="0.25">
      <c r="A540" t="s">
        <v>231</v>
      </c>
      <c r="B540" s="37">
        <v>10</v>
      </c>
      <c r="C540" t="str">
        <f>_xlfn.XLOOKUP(B540,'Centro de Custo'!A$2:A$45,'Centro de Custo'!B$2:B$45)</f>
        <v>Retirada Mensal</v>
      </c>
      <c r="E540" s="39">
        <v>-1514.3</v>
      </c>
      <c r="F540" s="40" t="s">
        <v>10</v>
      </c>
      <c r="G540" s="41">
        <v>45602</v>
      </c>
      <c r="H540" s="42">
        <f>YEAR(Tabela3[[#This Row],[Data]])</f>
        <v>2024</v>
      </c>
      <c r="I540" s="42" t="str">
        <f>_xlfn.XLOOKUP(J540,'Centro de Custo'!J$2:J$13,'Centro de Custo'!K$2:K$13)</f>
        <v>Novembro</v>
      </c>
      <c r="J540" s="43">
        <f>MONTH(Tabela3[[#This Row],[Data]])</f>
        <v>11</v>
      </c>
      <c r="K540" s="39">
        <f>SUM(E$3:Tabela3[[#This Row],[Valor]])</f>
        <v>2208072.090000001</v>
      </c>
      <c r="L540" s="40">
        <f t="shared" si="8"/>
        <v>2.22375</v>
      </c>
      <c r="M540" s="40"/>
      <c r="N540" s="40"/>
      <c r="O540" s="40"/>
      <c r="P540" s="39"/>
      <c r="Q540" s="39"/>
      <c r="R540" s="39"/>
      <c r="S540" s="39"/>
      <c r="T540" s="39"/>
      <c r="V540">
        <f>IF(Tabela3[[#This Row],[Pago]]&lt;&gt;"",IF(F541="",Tabela3[[#This Row],[Saldo]],0))</f>
        <v>0</v>
      </c>
    </row>
    <row r="541" spans="1:22" x14ac:dyDescent="0.25">
      <c r="A541" t="s">
        <v>190</v>
      </c>
      <c r="B541" s="37">
        <v>13</v>
      </c>
      <c r="C541" t="str">
        <f>_xlfn.XLOOKUP(B541,'Centro de Custo'!A$2:A$45,'Centro de Custo'!B$2:B$45)</f>
        <v>Terceirizados</v>
      </c>
      <c r="E541" s="39">
        <v>-4886.44</v>
      </c>
      <c r="F541" s="40" t="s">
        <v>10</v>
      </c>
      <c r="G541" s="41">
        <v>45602</v>
      </c>
      <c r="H541" s="42">
        <f>YEAR(Tabela3[[#This Row],[Data]])</f>
        <v>2024</v>
      </c>
      <c r="I541" s="42" t="str">
        <f>_xlfn.XLOOKUP(J541,'Centro de Custo'!J$2:J$13,'Centro de Custo'!K$2:K$13)</f>
        <v>Novembro</v>
      </c>
      <c r="J541" s="43">
        <f>MONTH(Tabela3[[#This Row],[Data]])</f>
        <v>11</v>
      </c>
      <c r="K541" s="39">
        <f>SUM(E$3:Tabela3[[#This Row],[Valor]])</f>
        <v>2203185.650000001</v>
      </c>
      <c r="L541" s="40">
        <f t="shared" si="8"/>
        <v>2.22375</v>
      </c>
      <c r="M541" s="40"/>
      <c r="N541" s="40"/>
      <c r="O541" s="40"/>
      <c r="P541" s="39"/>
      <c r="Q541" s="39"/>
      <c r="R541" s="39"/>
      <c r="S541" s="39"/>
      <c r="T541" s="39"/>
      <c r="V541">
        <f>IF(Tabela3[[#This Row],[Pago]]&lt;&gt;"",IF(F542="",Tabela3[[#This Row],[Saldo]],0))</f>
        <v>0</v>
      </c>
    </row>
    <row r="542" spans="1:22" x14ac:dyDescent="0.25">
      <c r="A542" t="s">
        <v>307</v>
      </c>
      <c r="B542" s="37">
        <v>22</v>
      </c>
      <c r="C542" t="str">
        <f>_xlfn.XLOOKUP(B542,'Centro de Custo'!A$2:A$45,'Centro de Custo'!B$2:B$45)</f>
        <v>Doação</v>
      </c>
      <c r="E542" s="39">
        <v>-10000</v>
      </c>
      <c r="F542" s="40" t="s">
        <v>10</v>
      </c>
      <c r="G542" s="41">
        <v>45602</v>
      </c>
      <c r="H542" s="42">
        <f>YEAR(Tabela3[[#This Row],[Data]])</f>
        <v>2024</v>
      </c>
      <c r="I542" s="42" t="str">
        <f>_xlfn.XLOOKUP(J542,'Centro de Custo'!J$2:J$13,'Centro de Custo'!K$2:K$13)</f>
        <v>Novembro</v>
      </c>
      <c r="J542" s="43">
        <f>MONTH(Tabela3[[#This Row],[Data]])</f>
        <v>11</v>
      </c>
      <c r="K542" s="39">
        <f>SUM(E$3:Tabela3[[#This Row],[Valor]])</f>
        <v>2193185.650000001</v>
      </c>
      <c r="L542" s="40">
        <f t="shared" si="8"/>
        <v>2.22375</v>
      </c>
      <c r="M542" s="40"/>
      <c r="N542" s="40"/>
      <c r="O542" s="40"/>
      <c r="P542" s="39"/>
      <c r="Q542" s="39"/>
      <c r="R542" s="39"/>
      <c r="S542" s="39"/>
      <c r="T542" s="39"/>
      <c r="V542">
        <f>IF(Tabela3[[#This Row],[Pago]]&lt;&gt;"",IF(F543="",Tabela3[[#This Row],[Saldo]],0))</f>
        <v>0</v>
      </c>
    </row>
    <row r="543" spans="1:22" x14ac:dyDescent="0.25">
      <c r="A543" t="s">
        <v>220</v>
      </c>
      <c r="B543" s="37">
        <v>11</v>
      </c>
      <c r="C543" t="str">
        <f>_xlfn.XLOOKUP(B543,'Centro de Custo'!A$2:A$45,'Centro de Custo'!B$2:B$45)</f>
        <v>Distribuição de Lucro</v>
      </c>
      <c r="E543" s="39">
        <v>-150000</v>
      </c>
      <c r="F543" s="40" t="s">
        <v>10</v>
      </c>
      <c r="G543" s="41">
        <v>45602</v>
      </c>
      <c r="H543" s="42">
        <f>YEAR(Tabela3[[#This Row],[Data]])</f>
        <v>2024</v>
      </c>
      <c r="I543" s="42" t="str">
        <f>_xlfn.XLOOKUP(J543,'Centro de Custo'!J$2:J$13,'Centro de Custo'!K$2:K$13)</f>
        <v>Novembro</v>
      </c>
      <c r="J543" s="43">
        <f>MONTH(Tabela3[[#This Row],[Data]])</f>
        <v>11</v>
      </c>
      <c r="K543" s="39">
        <f>SUM(E$3:Tabela3[[#This Row],[Valor]])</f>
        <v>2043185.6500000008</v>
      </c>
      <c r="L543" s="40">
        <f t="shared" si="8"/>
        <v>2.22375</v>
      </c>
      <c r="M543" s="40"/>
      <c r="N543" s="40"/>
      <c r="O543" s="40"/>
      <c r="P543" s="39"/>
      <c r="Q543" s="39"/>
      <c r="R543" s="39"/>
      <c r="S543" s="39"/>
      <c r="T543" s="39"/>
      <c r="V543">
        <f>IF(Tabela3[[#This Row],[Pago]]&lt;&gt;"",IF(F544="",Tabela3[[#This Row],[Saldo]],0))</f>
        <v>0</v>
      </c>
    </row>
    <row r="544" spans="1:22" x14ac:dyDescent="0.25">
      <c r="A544" t="s">
        <v>308</v>
      </c>
      <c r="B544" s="37">
        <v>11</v>
      </c>
      <c r="C544" t="str">
        <f>_xlfn.XLOOKUP(B544,'Centro de Custo'!A$2:A$45,'Centro de Custo'!B$2:B$45)</f>
        <v>Distribuição de Lucro</v>
      </c>
      <c r="E544" s="39">
        <v>-190000</v>
      </c>
      <c r="F544" s="40" t="s">
        <v>10</v>
      </c>
      <c r="G544" s="41">
        <v>45603</v>
      </c>
      <c r="H544" s="42">
        <f>YEAR(Tabela3[[#This Row],[Data]])</f>
        <v>2024</v>
      </c>
      <c r="I544" s="42" t="str">
        <f>_xlfn.XLOOKUP(J544,'Centro de Custo'!J$2:J$13,'Centro de Custo'!K$2:K$13)</f>
        <v>Novembro</v>
      </c>
      <c r="J544" s="43">
        <f>MONTH(Tabela3[[#This Row],[Data]])</f>
        <v>11</v>
      </c>
      <c r="K544" s="39">
        <f>SUM(E$3:Tabela3[[#This Row],[Valor]])</f>
        <v>1853185.6500000008</v>
      </c>
      <c r="L544" s="40">
        <f t="shared" si="8"/>
        <v>2.22375</v>
      </c>
      <c r="M544" s="40"/>
      <c r="N544" s="40"/>
      <c r="O544" s="40"/>
      <c r="P544" s="39"/>
      <c r="Q544" s="39"/>
      <c r="R544" s="39"/>
      <c r="S544" s="39"/>
      <c r="T544" s="39"/>
      <c r="V544">
        <f>IF(Tabela3[[#This Row],[Pago]]&lt;&gt;"",IF(F545="",Tabela3[[#This Row],[Saldo]],0))</f>
        <v>0</v>
      </c>
    </row>
    <row r="545" spans="1:22" x14ac:dyDescent="0.25">
      <c r="A545" t="s">
        <v>309</v>
      </c>
      <c r="B545" s="37">
        <v>4</v>
      </c>
      <c r="C545" t="str">
        <f>_xlfn.XLOOKUP(B545,'Centro de Custo'!A$2:A$45,'Centro de Custo'!B$2:B$45)</f>
        <v>Reforma</v>
      </c>
      <c r="D545" t="s">
        <v>310</v>
      </c>
      <c r="E545" s="39">
        <v>-35328</v>
      </c>
      <c r="F545" s="40" t="s">
        <v>10</v>
      </c>
      <c r="G545" s="41">
        <v>45604</v>
      </c>
      <c r="H545" s="42">
        <f>YEAR(Tabela3[[#This Row],[Data]])</f>
        <v>2024</v>
      </c>
      <c r="I545" s="42" t="str">
        <f>_xlfn.XLOOKUP(J545,'Centro de Custo'!J$2:J$13,'Centro de Custo'!K$2:K$13)</f>
        <v>Novembro</v>
      </c>
      <c r="J545" s="43">
        <f>MONTH(Tabela3[[#This Row],[Data]])</f>
        <v>11</v>
      </c>
      <c r="K545" s="39">
        <f>SUM(E$3:Tabela3[[#This Row],[Valor]])</f>
        <v>1817857.6500000008</v>
      </c>
      <c r="L545" s="40">
        <f t="shared" si="8"/>
        <v>2.22375</v>
      </c>
      <c r="M545" s="40"/>
      <c r="N545" s="40"/>
      <c r="O545" s="40"/>
      <c r="P545" s="39"/>
      <c r="Q545" s="39"/>
      <c r="R545" s="39"/>
      <c r="S545" s="39"/>
      <c r="T545" s="39"/>
      <c r="V545">
        <f>IF(Tabela3[[#This Row],[Pago]]&lt;&gt;"",IF(F546="",Tabela3[[#This Row],[Saldo]],0))</f>
        <v>0</v>
      </c>
    </row>
    <row r="546" spans="1:22" x14ac:dyDescent="0.25">
      <c r="A546" t="s">
        <v>311</v>
      </c>
      <c r="B546" s="37">
        <v>10</v>
      </c>
      <c r="C546" t="str">
        <f>_xlfn.XLOOKUP(B546,'Centro de Custo'!A$2:A$45,'Centro de Custo'!B$2:B$45)</f>
        <v>Retirada Mensal</v>
      </c>
      <c r="E546" s="39">
        <v>-12000</v>
      </c>
      <c r="F546" s="40" t="s">
        <v>10</v>
      </c>
      <c r="G546" s="41">
        <v>45605</v>
      </c>
      <c r="H546" s="42">
        <f>YEAR(Tabela3[[#This Row],[Data]])</f>
        <v>2024</v>
      </c>
      <c r="I546" s="42" t="str">
        <f>_xlfn.XLOOKUP(J546,'Centro de Custo'!J$2:J$13,'Centro de Custo'!K$2:K$13)</f>
        <v>Novembro</v>
      </c>
      <c r="J546" s="43">
        <f>MONTH(Tabela3[[#This Row],[Data]])</f>
        <v>11</v>
      </c>
      <c r="K546" s="39">
        <f>SUM(E$3:Tabela3[[#This Row],[Valor]])</f>
        <v>1805857.6500000008</v>
      </c>
      <c r="L546" s="40">
        <f t="shared" si="8"/>
        <v>2.22375</v>
      </c>
      <c r="M546" s="40"/>
      <c r="N546" s="40"/>
      <c r="O546" s="40"/>
      <c r="P546" s="39"/>
      <c r="Q546" s="39"/>
      <c r="R546" s="39"/>
      <c r="S546" s="39"/>
      <c r="T546" s="39"/>
      <c r="V546">
        <f>IF(Tabela3[[#This Row],[Pago]]&lt;&gt;"",IF(F552="",Tabela3[[#This Row],[Saldo]],0))</f>
        <v>0</v>
      </c>
    </row>
    <row r="547" spans="1:20" x14ac:dyDescent="0.25">
      <c r="A547" t="s">
        <v>91</v>
      </c>
      <c r="B547" s="37">
        <v>11</v>
      </c>
      <c r="C547" t="str">
        <f>_xlfn.XLOOKUP(B547,'Centro de Custo'!A$2:A$45,'Centro de Custo'!B$2:B$45)</f>
        <v>Distribuição de Lucro</v>
      </c>
      <c r="E547" s="39">
        <v>-159000</v>
      </c>
      <c r="F547" s="40" t="s">
        <v>10</v>
      </c>
      <c r="G547" s="41">
        <v>45605</v>
      </c>
      <c r="H547" s="42">
        <f>YEAR(Tabela3[[#This Row],[Data]])</f>
        <v>2024</v>
      </c>
      <c r="I547" s="42" t="str">
        <f>_xlfn.XLOOKUP(J547,'Centro de Custo'!J$2:J$13,'Centro de Custo'!K$2:K$13)</f>
        <v>Novembro</v>
      </c>
      <c r="J547" s="43">
        <f>MONTH(Tabela3[[#This Row],[Data]])</f>
        <v>11</v>
      </c>
      <c r="K547" s="39">
        <f>SUM(E$3:Tabela3[[#This Row],[Valor]])</f>
        <v>1646857.6500000008</v>
      </c>
      <c r="L547" s="40">
        <f t="shared" si="8"/>
        <v>2.22375</v>
      </c>
      <c r="M547" s="40"/>
      <c r="N547" s="40"/>
      <c r="O547" s="40"/>
      <c r="P547" s="39"/>
      <c r="Q547" s="39"/>
      <c r="R547" s="39"/>
      <c r="S547" s="39"/>
      <c r="T547" s="39"/>
    </row>
    <row r="548" spans="1:20" x14ac:dyDescent="0.25">
      <c r="A548" t="s">
        <v>312</v>
      </c>
      <c r="B548" s="37">
        <v>15</v>
      </c>
      <c r="C548" t="str">
        <f>_xlfn.XLOOKUP(B548,'Centro de Custo'!A$2:A$45,'Centro de Custo'!B$2:B$45)</f>
        <v>Viagens</v>
      </c>
      <c r="E548" s="39">
        <v>12000</v>
      </c>
      <c r="F548" s="40" t="s">
        <v>10</v>
      </c>
      <c r="G548" s="41">
        <v>45607</v>
      </c>
      <c r="H548" s="42">
        <f>YEAR(Tabela3[[#This Row],[Data]])</f>
        <v>2024</v>
      </c>
      <c r="I548" s="42" t="str">
        <f>_xlfn.XLOOKUP(J548,'Centro de Custo'!J$2:J$13,'Centro de Custo'!K$2:K$13)</f>
        <v>Novembro</v>
      </c>
      <c r="J548" s="43">
        <f>MONTH(Tabela3[[#This Row],[Data]])</f>
        <v>11</v>
      </c>
      <c r="K548" s="39">
        <f>SUM(E$3:Tabela3[[#This Row],[Valor]])</f>
        <v>1658857.6500000008</v>
      </c>
      <c r="L548" s="40">
        <f t="shared" si="8"/>
        <v>2.22375</v>
      </c>
      <c r="M548" s="40"/>
      <c r="N548" s="40"/>
      <c r="O548" s="40"/>
      <c r="P548" s="39"/>
      <c r="Q548" s="39"/>
      <c r="R548" s="39"/>
      <c r="S548" s="39"/>
      <c r="T548" s="39"/>
    </row>
    <row r="549" spans="1:20" x14ac:dyDescent="0.25">
      <c r="A549" t="s">
        <v>313</v>
      </c>
      <c r="B549" s="37">
        <v>10</v>
      </c>
      <c r="C549" t="str">
        <f>_xlfn.XLOOKUP(B549,'Centro de Custo'!A$2:A$45,'Centro de Custo'!B$2:B$45)</f>
        <v>Retirada Mensal</v>
      </c>
      <c r="E549" s="39">
        <v>-7000</v>
      </c>
      <c r="F549" s="40" t="s">
        <v>10</v>
      </c>
      <c r="G549" s="41">
        <v>45607</v>
      </c>
      <c r="H549" s="42">
        <f>YEAR(Tabela3[[#This Row],[Data]])</f>
        <v>2024</v>
      </c>
      <c r="I549" s="42" t="str">
        <f>_xlfn.XLOOKUP(J549,'Centro de Custo'!J$2:J$13,'Centro de Custo'!K$2:K$13)</f>
        <v>Novembro</v>
      </c>
      <c r="J549" s="43">
        <f>MONTH(Tabela3[[#This Row],[Data]])</f>
        <v>11</v>
      </c>
      <c r="K549" s="39">
        <f>SUM(E$3:Tabela3[[#This Row],[Valor]])</f>
        <v>1651857.6500000008</v>
      </c>
      <c r="L549" s="40">
        <f t="shared" si="8"/>
        <v>2.22375</v>
      </c>
      <c r="M549" s="40"/>
      <c r="N549" s="40"/>
      <c r="O549" s="40"/>
      <c r="P549" s="39"/>
      <c r="Q549" s="39"/>
      <c r="R549" s="39"/>
      <c r="S549" s="39"/>
      <c r="T549" s="39"/>
    </row>
    <row r="550" spans="1:20" x14ac:dyDescent="0.25">
      <c r="A550" t="s">
        <v>104</v>
      </c>
      <c r="B550" s="37">
        <v>10</v>
      </c>
      <c r="C550" t="str">
        <f>_xlfn.XLOOKUP(B550,'Centro de Custo'!A$2:A$45,'Centro de Custo'!B$2:B$45)</f>
        <v>Retirada Mensal</v>
      </c>
      <c r="E550" s="39">
        <v>-10000</v>
      </c>
      <c r="F550" s="40" t="s">
        <v>10</v>
      </c>
      <c r="G550" s="41">
        <v>45607</v>
      </c>
      <c r="H550" s="42">
        <f>YEAR(Tabela3[[#This Row],[Data]])</f>
        <v>2024</v>
      </c>
      <c r="I550" s="42" t="str">
        <f>_xlfn.XLOOKUP(J550,'Centro de Custo'!J$2:J$13,'Centro de Custo'!K$2:K$13)</f>
        <v>Novembro</v>
      </c>
      <c r="J550" s="43">
        <f>MONTH(Tabela3[[#This Row],[Data]])</f>
        <v>11</v>
      </c>
      <c r="K550" s="39">
        <f>SUM(E$3:Tabela3[[#This Row],[Valor]])</f>
        <v>1641857.6500000008</v>
      </c>
      <c r="L550" s="40">
        <f t="shared" si="8"/>
        <v>2.22375</v>
      </c>
      <c r="M550" s="40"/>
      <c r="N550" s="40"/>
      <c r="O550" s="40"/>
      <c r="P550" s="39"/>
      <c r="Q550" s="39"/>
      <c r="R550" s="39"/>
      <c r="S550" s="39"/>
      <c r="T550" s="39"/>
    </row>
    <row r="551" spans="1:20" x14ac:dyDescent="0.25">
      <c r="A551" t="s">
        <v>314</v>
      </c>
      <c r="B551" s="37">
        <v>10</v>
      </c>
      <c r="C551" t="str">
        <f>_xlfn.XLOOKUP(B551,'Centro de Custo'!A$2:A$45,'Centro de Custo'!B$2:B$45)</f>
        <v>Retirada Mensal</v>
      </c>
      <c r="E551" s="39">
        <v>-16000</v>
      </c>
      <c r="F551" s="40" t="s">
        <v>10</v>
      </c>
      <c r="G551" s="41">
        <v>45607</v>
      </c>
      <c r="H551" s="42">
        <f>YEAR(Tabela3[[#This Row],[Data]])</f>
        <v>2024</v>
      </c>
      <c r="I551" s="42" t="str">
        <f>_xlfn.XLOOKUP(J551,'Centro de Custo'!J$2:J$13,'Centro de Custo'!K$2:K$13)</f>
        <v>Novembro</v>
      </c>
      <c r="J551" s="43">
        <f>MONTH(Tabela3[[#This Row],[Data]])</f>
        <v>11</v>
      </c>
      <c r="K551" s="39">
        <f>SUM(E$3:Tabela3[[#This Row],[Valor]])</f>
        <v>1625857.6500000008</v>
      </c>
      <c r="L551" s="40">
        <f t="shared" si="8"/>
        <v>2.22375</v>
      </c>
      <c r="M551" s="40"/>
      <c r="N551" s="40"/>
      <c r="O551" s="40"/>
      <c r="P551" s="39"/>
      <c r="Q551" s="39"/>
      <c r="R551" s="39"/>
      <c r="S551" s="39"/>
      <c r="T551" s="39"/>
    </row>
    <row r="552" spans="1:22" x14ac:dyDescent="0.25">
      <c r="A552" t="s">
        <v>124</v>
      </c>
      <c r="B552" s="37">
        <v>10</v>
      </c>
      <c r="C552" t="str">
        <f>_xlfn.XLOOKUP(B552,'Centro de Custo'!A$2:A$45,'Centro de Custo'!B$2:B$45)</f>
        <v>Retirada Mensal</v>
      </c>
      <c r="E552" s="39">
        <v>-21000</v>
      </c>
      <c r="F552" s="40" t="s">
        <v>10</v>
      </c>
      <c r="G552" s="41">
        <v>45607</v>
      </c>
      <c r="H552" s="42">
        <f>YEAR(Tabela3[[#This Row],[Data]])</f>
        <v>2024</v>
      </c>
      <c r="I552" s="42" t="str">
        <f>_xlfn.XLOOKUP(J552,'Centro de Custo'!J$2:J$13,'Centro de Custo'!K$2:K$13)</f>
        <v>Novembro</v>
      </c>
      <c r="J552" s="43">
        <f>MONTH(Tabela3[[#This Row],[Data]])</f>
        <v>11</v>
      </c>
      <c r="K552" s="39">
        <f>SUM(E$3:Tabela3[[#This Row],[Valor]])</f>
        <v>1604857.6500000008</v>
      </c>
      <c r="L552" s="40">
        <f t="shared" si="8"/>
        <v>2.22375</v>
      </c>
      <c r="M552" s="40"/>
      <c r="N552" s="40"/>
      <c r="O552" s="40"/>
      <c r="P552" s="39"/>
      <c r="Q552" s="39"/>
      <c r="R552" s="39"/>
      <c r="S552" s="39"/>
      <c r="T552" s="39"/>
      <c r="V552">
        <f>IF(Tabela3[[#This Row],[Pago]]&lt;&gt;"",IF(F553="",Tabela3[[#This Row],[Saldo]],0))</f>
        <v>0</v>
      </c>
    </row>
    <row r="553" spans="1:22" x14ac:dyDescent="0.25">
      <c r="A553" t="s">
        <v>221</v>
      </c>
      <c r="B553" s="37">
        <v>11</v>
      </c>
      <c r="C553" t="str">
        <f>_xlfn.XLOOKUP(B553,'Centro de Custo'!A$2:A$45,'Centro de Custo'!B$2:B$45)</f>
        <v>Distribuição de Lucro</v>
      </c>
      <c r="E553" s="39">
        <v>-500000</v>
      </c>
      <c r="F553" s="40" t="s">
        <v>10</v>
      </c>
      <c r="G553" s="41">
        <v>45607</v>
      </c>
      <c r="H553" s="42">
        <f>YEAR(Tabela3[[#This Row],[Data]])</f>
        <v>2024</v>
      </c>
      <c r="I553" s="42" t="str">
        <f>_xlfn.XLOOKUP(J553,'Centro de Custo'!J$2:J$13,'Centro de Custo'!K$2:K$13)</f>
        <v>Novembro</v>
      </c>
      <c r="J553" s="43">
        <f>MONTH(Tabela3[[#This Row],[Data]])</f>
        <v>11</v>
      </c>
      <c r="K553" s="39">
        <f>SUM(E$3:Tabela3[[#This Row],[Valor]])</f>
        <v>1104857.6500000008</v>
      </c>
      <c r="L553" s="40">
        <f t="shared" si="8"/>
        <v>2.22375</v>
      </c>
      <c r="M553" s="40"/>
      <c r="N553" s="40"/>
      <c r="O553" s="40"/>
      <c r="P553" s="39"/>
      <c r="Q553" s="39"/>
      <c r="R553" s="39"/>
      <c r="S553" s="39"/>
      <c r="T553" s="39"/>
      <c r="V553">
        <f>IF(Tabela3[[#This Row],[Pago]]&lt;&gt;"",IF(F554="",Tabela3[[#This Row],[Saldo]],0))</f>
        <v>0</v>
      </c>
    </row>
    <row r="554" spans="1:22" x14ac:dyDescent="0.25">
      <c r="A554" t="s">
        <v>65</v>
      </c>
      <c r="B554" s="37">
        <v>11</v>
      </c>
      <c r="C554" t="str">
        <f>_xlfn.XLOOKUP(B554,'Centro de Custo'!A$2:A$45,'Centro de Custo'!B$2:B$45)</f>
        <v>Distribuição de Lucro</v>
      </c>
      <c r="E554" s="39">
        <v>-500000</v>
      </c>
      <c r="F554" s="40" t="s">
        <v>10</v>
      </c>
      <c r="G554" s="41">
        <v>45607</v>
      </c>
      <c r="H554" s="42">
        <f>YEAR(Tabela3[[#This Row],[Data]])</f>
        <v>2024</v>
      </c>
      <c r="I554" s="42" t="str">
        <f>_xlfn.XLOOKUP(J554,'Centro de Custo'!J$2:J$13,'Centro de Custo'!K$2:K$13)</f>
        <v>Novembro</v>
      </c>
      <c r="J554" s="43">
        <f>MONTH(Tabela3[[#This Row],[Data]])</f>
        <v>11</v>
      </c>
      <c r="K554" s="39">
        <f>SUM(E$3:Tabela3[[#This Row],[Valor]])</f>
        <v>604857.6500000008</v>
      </c>
      <c r="L554" s="40">
        <f t="shared" si="8"/>
        <v>2.22375</v>
      </c>
      <c r="M554" s="40"/>
      <c r="N554" s="40"/>
      <c r="O554" s="40"/>
      <c r="P554" s="39"/>
      <c r="Q554" s="39"/>
      <c r="R554" s="39"/>
      <c r="S554" s="39"/>
      <c r="T554" s="39"/>
      <c r="V554">
        <f>IF(Tabela3[[#This Row],[Pago]]&lt;&gt;"",IF(F555="",Tabela3[[#This Row],[Saldo]],0))</f>
        <v>0</v>
      </c>
    </row>
    <row r="555" spans="1:22" x14ac:dyDescent="0.25">
      <c r="A555" t="s">
        <v>315</v>
      </c>
      <c r="B555" s="37">
        <v>10</v>
      </c>
      <c r="C555" t="str">
        <f>_xlfn.XLOOKUP(B555,'Centro de Custo'!A$2:A$45,'Centro de Custo'!B$2:B$45)</f>
        <v>Retirada Mensal</v>
      </c>
      <c r="E555" s="39">
        <v>-12000</v>
      </c>
      <c r="F555" s="40" t="s">
        <v>10</v>
      </c>
      <c r="G555" s="41">
        <v>45608</v>
      </c>
      <c r="H555" s="42">
        <f>YEAR(Tabela3[[#This Row],[Data]])</f>
        <v>2024</v>
      </c>
      <c r="I555" s="42" t="str">
        <f>_xlfn.XLOOKUP(J555,'Centro de Custo'!J$2:J$13,'Centro de Custo'!K$2:K$13)</f>
        <v>Novembro</v>
      </c>
      <c r="J555" s="43">
        <f>MONTH(Tabela3[[#This Row],[Data]])</f>
        <v>11</v>
      </c>
      <c r="K555" s="39">
        <f>SUM(E$3:Tabela3[[#This Row],[Valor]])</f>
        <v>592857.6500000008</v>
      </c>
      <c r="L555" s="40">
        <f t="shared" si="8"/>
        <v>2.22375</v>
      </c>
      <c r="M555" s="40"/>
      <c r="N555" s="40"/>
      <c r="O555" s="40"/>
      <c r="P555" s="39"/>
      <c r="Q555" s="39"/>
      <c r="R555" s="39"/>
      <c r="S555" s="39"/>
      <c r="T555" s="39"/>
      <c r="V555">
        <f>IF(Tabela3[[#This Row],[Pago]]&lt;&gt;"",IF(F556="",Tabela3[[#This Row],[Saldo]],0))</f>
        <v>0</v>
      </c>
    </row>
    <row r="556" spans="1:22" x14ac:dyDescent="0.25">
      <c r="A556" t="s">
        <v>230</v>
      </c>
      <c r="B556" s="37">
        <v>13</v>
      </c>
      <c r="C556" t="str">
        <f>_xlfn.XLOOKUP(B556,'Centro de Custo'!A$2:A$45,'Centro de Custo'!B$2:B$45)</f>
        <v>Terceirizados</v>
      </c>
      <c r="E556" s="39">
        <v>-40000</v>
      </c>
      <c r="F556" s="40" t="s">
        <v>10</v>
      </c>
      <c r="G556" s="41">
        <v>45608</v>
      </c>
      <c r="H556" s="42">
        <f>YEAR(Tabela3[[#This Row],[Data]])</f>
        <v>2024</v>
      </c>
      <c r="I556" s="42" t="str">
        <f>_xlfn.XLOOKUP(J556,'Centro de Custo'!J$2:J$13,'Centro de Custo'!K$2:K$13)</f>
        <v>Novembro</v>
      </c>
      <c r="J556" s="43">
        <f>MONTH(Tabela3[[#This Row],[Data]])</f>
        <v>11</v>
      </c>
      <c r="K556" s="39">
        <f>SUM(E$3:Tabela3[[#This Row],[Valor]])</f>
        <v>552857.6500000008</v>
      </c>
      <c r="L556" s="40">
        <f t="shared" si="8"/>
        <v>2.22375</v>
      </c>
      <c r="M556" s="40"/>
      <c r="N556" s="40"/>
      <c r="O556" s="40"/>
      <c r="P556" s="39"/>
      <c r="Q556" s="39"/>
      <c r="R556" s="39"/>
      <c r="S556" s="39"/>
      <c r="T556" s="39"/>
      <c r="V556">
        <f>IF(Tabela3[[#This Row],[Pago]]&lt;&gt;"",IF(F557="",Tabela3[[#This Row],[Saldo]],0))</f>
        <v>0</v>
      </c>
    </row>
    <row r="557" spans="1:22" x14ac:dyDescent="0.25">
      <c r="A557" t="s">
        <v>316</v>
      </c>
      <c r="B557" s="37">
        <v>11</v>
      </c>
      <c r="C557" t="str">
        <f>_xlfn.XLOOKUP(B557,'Centro de Custo'!A$2:A$45,'Centro de Custo'!B$2:B$45)</f>
        <v>Distribuição de Lucro</v>
      </c>
      <c r="E557" s="39">
        <v>-401000</v>
      </c>
      <c r="F557" s="40" t="s">
        <v>10</v>
      </c>
      <c r="G557" s="41">
        <v>45608</v>
      </c>
      <c r="H557" s="42">
        <f>YEAR(Tabela3[[#This Row],[Data]])</f>
        <v>2024</v>
      </c>
      <c r="I557" s="42" t="str">
        <f>_xlfn.XLOOKUP(J557,'Centro de Custo'!J$2:J$13,'Centro de Custo'!K$2:K$13)</f>
        <v>Novembro</v>
      </c>
      <c r="J557" s="43">
        <f>MONTH(Tabela3[[#This Row],[Data]])</f>
        <v>11</v>
      </c>
      <c r="K557" s="39">
        <f>SUM(E$3:Tabela3[[#This Row],[Valor]])</f>
        <v>151857.65000000084</v>
      </c>
      <c r="L557" s="40">
        <f t="shared" si="8"/>
        <v>2.22375</v>
      </c>
      <c r="M557" s="40"/>
      <c r="N557" s="40"/>
      <c r="O557" s="40"/>
      <c r="P557" s="39"/>
      <c r="Q557" s="39"/>
      <c r="R557" s="39"/>
      <c r="S557" s="39"/>
      <c r="T557" s="39"/>
      <c r="V557">
        <f>IF(Tabela3[[#This Row],[Pago]]&lt;&gt;"",IF(F558="",Tabela3[[#This Row],[Saldo]],0))</f>
        <v>0</v>
      </c>
    </row>
    <row r="558" spans="1:22" x14ac:dyDescent="0.25">
      <c r="A558" t="s">
        <v>317</v>
      </c>
      <c r="B558" s="37">
        <v>30</v>
      </c>
      <c r="C558" t="str">
        <f>_xlfn.XLOOKUP(B558,'Centro de Custo'!A$2:A$45,'Centro de Custo'!B$2:B$45)</f>
        <v>Impostos</v>
      </c>
      <c r="E558" s="39">
        <v>-92.37</v>
      </c>
      <c r="F558" s="40" t="s">
        <v>10</v>
      </c>
      <c r="G558" s="41">
        <v>45610</v>
      </c>
      <c r="H558" s="42">
        <f>YEAR(Tabela3[[#This Row],[Data]])</f>
        <v>2024</v>
      </c>
      <c r="I558" s="42" t="str">
        <f>_xlfn.XLOOKUP(J558,'Centro de Custo'!J$2:J$13,'Centro de Custo'!K$2:K$13)</f>
        <v>Novembro</v>
      </c>
      <c r="J558" s="43">
        <f>MONTH(Tabela3[[#This Row],[Data]])</f>
        <v>11</v>
      </c>
      <c r="K558" s="39">
        <f>SUM(E$3:Tabela3[[#This Row],[Valor]])</f>
        <v>151765.28000000084</v>
      </c>
      <c r="L558" s="40">
        <f t="shared" si="8"/>
        <v>2.22375</v>
      </c>
      <c r="M558" s="40"/>
      <c r="N558" s="40"/>
      <c r="O558" s="40"/>
      <c r="P558" s="39"/>
      <c r="Q558" s="39"/>
      <c r="R558" s="39"/>
      <c r="S558" s="39"/>
      <c r="T558" s="39"/>
      <c r="V558">
        <f>IF(Tabela3[[#This Row],[Pago]]&lt;&gt;"",IF(F559="",Tabela3[[#This Row],[Saldo]],0))</f>
        <v>0</v>
      </c>
    </row>
    <row r="559" spans="1:22" x14ac:dyDescent="0.25">
      <c r="A559" t="s">
        <v>318</v>
      </c>
      <c r="B559" s="37">
        <v>4</v>
      </c>
      <c r="C559" t="str">
        <f>_xlfn.XLOOKUP(B559,'Centro de Custo'!A$2:A$45,'Centro de Custo'!B$2:B$45)</f>
        <v>Reforma</v>
      </c>
      <c r="D559" t="s">
        <v>72</v>
      </c>
      <c r="E559" s="39">
        <v>-11000</v>
      </c>
      <c r="F559" s="40" t="s">
        <v>10</v>
      </c>
      <c r="G559" s="41">
        <v>45610</v>
      </c>
      <c r="H559" s="42">
        <f>YEAR(Tabela3[[#This Row],[Data]])</f>
        <v>2024</v>
      </c>
      <c r="I559" s="42" t="str">
        <f>_xlfn.XLOOKUP(J559,'Centro de Custo'!J$2:J$13,'Centro de Custo'!K$2:K$13)</f>
        <v>Novembro</v>
      </c>
      <c r="J559" s="43">
        <f>MONTH(Tabela3[[#This Row],[Data]])</f>
        <v>11</v>
      </c>
      <c r="K559" s="39">
        <f>SUM(E$3:Tabela3[[#This Row],[Valor]])</f>
        <v>140765.28000000084</v>
      </c>
      <c r="L559" s="40">
        <f t="shared" si="8"/>
        <v>2.22375</v>
      </c>
      <c r="M559" s="40"/>
      <c r="N559" s="40"/>
      <c r="O559" s="40"/>
      <c r="P559" s="39"/>
      <c r="Q559" s="39"/>
      <c r="R559" s="39"/>
      <c r="S559" s="39"/>
      <c r="T559" s="39"/>
      <c r="V559">
        <f>IF(Tabela3[[#This Row],[Pago]]&lt;&gt;"",IF(F560="",Tabela3[[#This Row],[Saldo]],0))</f>
        <v>0</v>
      </c>
    </row>
    <row r="560" spans="1:22" x14ac:dyDescent="0.25">
      <c r="A560" t="s">
        <v>204</v>
      </c>
      <c r="B560" s="37">
        <v>20</v>
      </c>
      <c r="C560" t="str">
        <f>_xlfn.XLOOKUP(B560,'Centro de Custo'!A$2:A$45,'Centro de Custo'!B$2:B$45)</f>
        <v>Desp. ADM</v>
      </c>
      <c r="E560" s="39">
        <v>-109.2</v>
      </c>
      <c r="F560" s="40" t="s">
        <v>10</v>
      </c>
      <c r="G560" s="41">
        <v>45614</v>
      </c>
      <c r="H560" s="42">
        <f>YEAR(Tabela3[[#This Row],[Data]])</f>
        <v>2024</v>
      </c>
      <c r="I560" s="42" t="str">
        <f>_xlfn.XLOOKUP(J560,'Centro de Custo'!J$2:J$13,'Centro de Custo'!K$2:K$13)</f>
        <v>Novembro</v>
      </c>
      <c r="J560" s="43">
        <f>MONTH(Tabela3[[#This Row],[Data]])</f>
        <v>11</v>
      </c>
      <c r="K560" s="39">
        <f>SUM(E$3:Tabela3[[#This Row],[Valor]])</f>
        <v>140656.08000000083</v>
      </c>
      <c r="L560" s="40">
        <f t="shared" si="8"/>
        <v>2.22375</v>
      </c>
      <c r="M560" s="40"/>
      <c r="N560" s="40"/>
      <c r="O560" s="40"/>
      <c r="P560" s="39"/>
      <c r="Q560" s="39"/>
      <c r="R560" s="39"/>
      <c r="S560" s="39"/>
      <c r="T560" s="39"/>
      <c r="V560">
        <f>IF(Tabela3[[#This Row],[Pago]]&lt;&gt;"",IF(F561="",Tabela3[[#This Row],[Saldo]],0))</f>
        <v>0</v>
      </c>
    </row>
    <row r="561" spans="1:22" x14ac:dyDescent="0.25">
      <c r="A561" t="s">
        <v>165</v>
      </c>
      <c r="B561" s="37">
        <v>20</v>
      </c>
      <c r="C561" t="str">
        <f>_xlfn.XLOOKUP(B561,'Centro de Custo'!A$2:A$45,'Centro de Custo'!B$2:B$45)</f>
        <v>Desp. ADM</v>
      </c>
      <c r="E561" s="39">
        <v>-311</v>
      </c>
      <c r="F561" s="40" t="s">
        <v>10</v>
      </c>
      <c r="G561" s="41">
        <v>45614</v>
      </c>
      <c r="H561" s="42">
        <f>YEAR(Tabela3[[#This Row],[Data]])</f>
        <v>2024</v>
      </c>
      <c r="I561" s="42" t="str">
        <f>_xlfn.XLOOKUP(J561,'Centro de Custo'!J$2:J$13,'Centro de Custo'!K$2:K$13)</f>
        <v>Novembro</v>
      </c>
      <c r="J561" s="43">
        <f>MONTH(Tabela3[[#This Row],[Data]])</f>
        <v>11</v>
      </c>
      <c r="K561" s="39">
        <f>SUM(E$3:Tabela3[[#This Row],[Valor]])</f>
        <v>140345.08000000083</v>
      </c>
      <c r="L561" s="40">
        <f t="shared" si="8"/>
        <v>2.22375</v>
      </c>
      <c r="M561" s="40"/>
      <c r="N561" s="40"/>
      <c r="O561" s="40"/>
      <c r="P561" s="39"/>
      <c r="Q561" s="39"/>
      <c r="R561" s="39"/>
      <c r="S561" s="39"/>
      <c r="T561" s="39"/>
      <c r="V561">
        <f>IF(Tabela3[[#This Row],[Pago]]&lt;&gt;"",IF(F562="",Tabela3[[#This Row],[Saldo]],0))</f>
        <v>0</v>
      </c>
    </row>
    <row r="562" spans="1:22" x14ac:dyDescent="0.25">
      <c r="A562" t="s">
        <v>205</v>
      </c>
      <c r="B562" s="37">
        <v>20</v>
      </c>
      <c r="C562" t="str">
        <f>_xlfn.XLOOKUP(B562,'Centro de Custo'!A$2:A$45,'Centro de Custo'!B$2:B$45)</f>
        <v>Desp. ADM</v>
      </c>
      <c r="E562" s="39">
        <v>-811.51</v>
      </c>
      <c r="F562" s="40" t="s">
        <v>10</v>
      </c>
      <c r="G562" s="41">
        <v>45614</v>
      </c>
      <c r="H562" s="42">
        <f>YEAR(Tabela3[[#This Row],[Data]])</f>
        <v>2024</v>
      </c>
      <c r="I562" s="42" t="str">
        <f>_xlfn.XLOOKUP(J562,'Centro de Custo'!J$2:J$13,'Centro de Custo'!K$2:K$13)</f>
        <v>Novembro</v>
      </c>
      <c r="J562" s="43">
        <f>MONTH(Tabela3[[#This Row],[Data]])</f>
        <v>11</v>
      </c>
      <c r="K562" s="39">
        <f>SUM(E$3:Tabela3[[#This Row],[Valor]])</f>
        <v>139533.57000000082</v>
      </c>
      <c r="L562" s="40">
        <f t="shared" si="8"/>
        <v>2.22375</v>
      </c>
      <c r="M562" s="40"/>
      <c r="N562" s="40"/>
      <c r="O562" s="40"/>
      <c r="P562" s="39"/>
      <c r="Q562" s="39"/>
      <c r="R562" s="39"/>
      <c r="S562" s="39"/>
      <c r="T562" s="39"/>
      <c r="V562">
        <f>IF(Tabela3[[#This Row],[Pago]]&lt;&gt;"",IF(F563="",Tabela3[[#This Row],[Saldo]],0))</f>
        <v>0</v>
      </c>
    </row>
    <row r="563" spans="1:22" x14ac:dyDescent="0.25">
      <c r="A563" t="s">
        <v>229</v>
      </c>
      <c r="B563" s="37">
        <v>13</v>
      </c>
      <c r="C563" t="str">
        <f>_xlfn.XLOOKUP(B563,'Centro de Custo'!A$2:A$45,'Centro de Custo'!B$2:B$45)</f>
        <v>Terceirizados</v>
      </c>
      <c r="E563" s="39">
        <v>-40000</v>
      </c>
      <c r="F563" s="40" t="s">
        <v>10</v>
      </c>
      <c r="G563" s="41">
        <v>45615</v>
      </c>
      <c r="H563" s="42">
        <f>YEAR(Tabela3[[#This Row],[Data]])</f>
        <v>2024</v>
      </c>
      <c r="I563" s="42" t="str">
        <f>_xlfn.XLOOKUP(J563,'Centro de Custo'!J$2:J$13,'Centro de Custo'!K$2:K$13)</f>
        <v>Novembro</v>
      </c>
      <c r="J563" s="43">
        <f>MONTH(Tabela3[[#This Row],[Data]])</f>
        <v>11</v>
      </c>
      <c r="K563" s="39">
        <f>SUM(E$3:Tabela3[[#This Row],[Valor]])</f>
        <v>99533.57000000082</v>
      </c>
      <c r="L563" s="40">
        <f t="shared" si="8"/>
        <v>2.22375</v>
      </c>
      <c r="M563" s="40"/>
      <c r="N563" s="40"/>
      <c r="O563" s="40"/>
      <c r="P563" s="39"/>
      <c r="Q563" s="39"/>
      <c r="R563" s="39"/>
      <c r="S563" s="39"/>
      <c r="T563" s="39"/>
      <c r="V563">
        <f>IF(Tabela3[[#This Row],[Pago]]&lt;&gt;"",IF(F564="",Tabela3[[#This Row],[Saldo]],0))</f>
        <v>0</v>
      </c>
    </row>
    <row r="564" spans="1:22" x14ac:dyDescent="0.25">
      <c r="A564" t="s">
        <v>319</v>
      </c>
      <c r="B564" s="37">
        <v>13</v>
      </c>
      <c r="C564" t="str">
        <f>_xlfn.XLOOKUP(B564,'Centro de Custo'!A$2:A$45,'Centro de Custo'!B$2:B$45)</f>
        <v>Terceirizados</v>
      </c>
      <c r="E564" s="39">
        <v>-40000</v>
      </c>
      <c r="F564" s="40" t="s">
        <v>10</v>
      </c>
      <c r="G564" s="41">
        <v>45615</v>
      </c>
      <c r="H564" s="42">
        <f>YEAR(Tabela3[[#This Row],[Data]])</f>
        <v>2024</v>
      </c>
      <c r="I564" s="42" t="str">
        <f>_xlfn.XLOOKUP(J564,'Centro de Custo'!J$2:J$13,'Centro de Custo'!K$2:K$13)</f>
        <v>Novembro</v>
      </c>
      <c r="J564" s="43">
        <f>MONTH(Tabela3[[#This Row],[Data]])</f>
        <v>11</v>
      </c>
      <c r="K564" s="39">
        <f>SUM(E$3:Tabela3[[#This Row],[Valor]])</f>
        <v>59533.57000000082</v>
      </c>
      <c r="L564" s="40">
        <f t="shared" si="8"/>
        <v>2.22375</v>
      </c>
      <c r="M564" s="40"/>
      <c r="N564" s="40"/>
      <c r="O564" s="40"/>
      <c r="P564" s="39"/>
      <c r="Q564" s="39"/>
      <c r="R564" s="39"/>
      <c r="S564" s="39"/>
      <c r="T564" s="39"/>
      <c r="V564">
        <f>IF(Tabela3[[#This Row],[Pago]]&lt;&gt;"",IF(F565="",Tabela3[[#This Row],[Saldo]],0))</f>
        <v>0</v>
      </c>
    </row>
    <row r="565" spans="1:22" x14ac:dyDescent="0.25">
      <c r="A565" t="s">
        <v>125</v>
      </c>
      <c r="B565" s="37">
        <v>13</v>
      </c>
      <c r="C565" t="str">
        <f>_xlfn.XLOOKUP(B565,'Centro de Custo'!A$2:A$45,'Centro de Custo'!B$2:B$45)</f>
        <v>Terceirizados</v>
      </c>
      <c r="E565" s="39">
        <v>-40000</v>
      </c>
      <c r="F565" s="40" t="s">
        <v>10</v>
      </c>
      <c r="G565" s="41">
        <v>45615</v>
      </c>
      <c r="H565" s="42">
        <f>YEAR(Tabela3[[#This Row],[Data]])</f>
        <v>2024</v>
      </c>
      <c r="I565" s="42" t="str">
        <f>_xlfn.XLOOKUP(J565,'Centro de Custo'!J$2:J$13,'Centro de Custo'!K$2:K$13)</f>
        <v>Novembro</v>
      </c>
      <c r="J565" s="43">
        <f>MONTH(Tabela3[[#This Row],[Data]])</f>
        <v>11</v>
      </c>
      <c r="K565" s="39">
        <f>SUM(E$3:Tabela3[[#This Row],[Valor]])</f>
        <v>19533.570000000822</v>
      </c>
      <c r="L565" s="40">
        <f t="shared" si="8"/>
        <v>2.22375</v>
      </c>
      <c r="M565" s="40"/>
      <c r="N565" s="40"/>
      <c r="O565" s="40"/>
      <c r="P565" s="39"/>
      <c r="Q565" s="39"/>
      <c r="R565" s="39"/>
      <c r="S565" s="39"/>
      <c r="T565" s="39"/>
      <c r="V565">
        <f>IF(Tabela3[[#This Row],[Pago]]&lt;&gt;"",IF(F566="",Tabela3[[#This Row],[Saldo]],0))</f>
        <v>0</v>
      </c>
    </row>
    <row r="566" spans="1:22" x14ac:dyDescent="0.25">
      <c r="A566" t="s">
        <v>224</v>
      </c>
      <c r="B566" s="37">
        <v>20</v>
      </c>
      <c r="C566" t="str">
        <f>_xlfn.XLOOKUP(B566,'Centro de Custo'!A$2:A$45,'Centro de Custo'!B$2:B$45)</f>
        <v>Desp. ADM</v>
      </c>
      <c r="E566" s="39">
        <v>-25.85</v>
      </c>
      <c r="F566" s="40" t="s">
        <v>10</v>
      </c>
      <c r="G566" s="41">
        <v>45621</v>
      </c>
      <c r="H566" s="42">
        <f>YEAR(Tabela3[[#This Row],[Data]])</f>
        <v>2024</v>
      </c>
      <c r="I566" s="42" t="str">
        <f>_xlfn.XLOOKUP(J566,'Centro de Custo'!J$2:J$13,'Centro de Custo'!K$2:K$13)</f>
        <v>Novembro</v>
      </c>
      <c r="J566" s="43">
        <f>MONTH(Tabela3[[#This Row],[Data]])</f>
        <v>11</v>
      </c>
      <c r="K566" s="39">
        <f>SUM(E$3:Tabela3[[#This Row],[Valor]])</f>
        <v>19507.720000000823</v>
      </c>
      <c r="L566" s="40">
        <f t="shared" si="8"/>
        <v>2.22375</v>
      </c>
      <c r="M566" s="40"/>
      <c r="N566" s="40"/>
      <c r="O566" s="40"/>
      <c r="P566" s="39"/>
      <c r="Q566" s="39"/>
      <c r="R566" s="39"/>
      <c r="S566" s="39"/>
      <c r="T566" s="39"/>
      <c r="V566">
        <f>IF(Tabela3[[#This Row],[Pago]]&lt;&gt;"",IF(F567="",Tabela3[[#This Row],[Saldo]],0))</f>
        <v>0</v>
      </c>
    </row>
    <row r="567" spans="1:22" x14ac:dyDescent="0.25">
      <c r="A567" t="s">
        <v>304</v>
      </c>
      <c r="B567" s="37">
        <v>4</v>
      </c>
      <c r="C567" t="str">
        <f>_xlfn.XLOOKUP(B567,'Centro de Custo'!A$2:A$45,'Centro de Custo'!B$2:B$45)</f>
        <v>Reforma</v>
      </c>
      <c r="E567" s="39">
        <v>-73.5</v>
      </c>
      <c r="F567" s="40" t="s">
        <v>10</v>
      </c>
      <c r="G567" s="41">
        <v>45623</v>
      </c>
      <c r="H567" s="42">
        <f>YEAR(Tabela3[[#This Row],[Data]])</f>
        <v>2024</v>
      </c>
      <c r="I567" s="42" t="str">
        <f>_xlfn.XLOOKUP(J567,'Centro de Custo'!J$2:J$13,'Centro de Custo'!K$2:K$13)</f>
        <v>Novembro</v>
      </c>
      <c r="J567" s="43">
        <f>MONTH(Tabela3[[#This Row],[Data]])</f>
        <v>11</v>
      </c>
      <c r="K567" s="39">
        <f>SUM(E$3:Tabela3[[#This Row],[Valor]])</f>
        <v>19434.220000000823</v>
      </c>
      <c r="L567" s="40">
        <f t="shared" si="8"/>
        <v>2.22375</v>
      </c>
      <c r="M567" s="40"/>
      <c r="N567" s="40"/>
      <c r="O567" s="40"/>
      <c r="P567" s="39"/>
      <c r="Q567" s="39"/>
      <c r="R567" s="39"/>
      <c r="S567" s="39"/>
      <c r="T567" s="39"/>
      <c r="V567">
        <f>IF(Tabela3[[#This Row],[Pago]]&lt;&gt;"",IF(F568="",Tabela3[[#This Row],[Saldo]],0))</f>
        <v>0</v>
      </c>
    </row>
    <row r="568" spans="1:22" x14ac:dyDescent="0.25">
      <c r="A568" t="s">
        <v>320</v>
      </c>
      <c r="B568" s="37">
        <v>30</v>
      </c>
      <c r="C568" t="str">
        <f>_xlfn.XLOOKUP(B568,'Centro de Custo'!A$2:A$45,'Centro de Custo'!B$2:B$45)</f>
        <v>Impostos</v>
      </c>
      <c r="E568" s="39">
        <v>-14014.35</v>
      </c>
      <c r="F568" s="40" t="s">
        <v>10</v>
      </c>
      <c r="G568" s="41">
        <v>45625</v>
      </c>
      <c r="H568" s="42">
        <f>YEAR(Tabela3[[#This Row],[Data]])</f>
        <v>2024</v>
      </c>
      <c r="I568" s="42" t="str">
        <f>_xlfn.XLOOKUP(J568,'Centro de Custo'!J$2:J$13,'Centro de Custo'!K$2:K$13)</f>
        <v>Novembro</v>
      </c>
      <c r="J568" s="43">
        <f>MONTH(Tabela3[[#This Row],[Data]])</f>
        <v>11</v>
      </c>
      <c r="K568" s="39">
        <f>SUM(E$3:Tabela3[[#This Row],[Valor]])</f>
        <v>5419.870000000823</v>
      </c>
      <c r="L568" s="40">
        <f t="shared" si="8"/>
        <v>2.22375</v>
      </c>
      <c r="M568" s="40"/>
      <c r="N568" s="40"/>
      <c r="O568" s="40"/>
      <c r="P568" s="39"/>
      <c r="Q568" s="39"/>
      <c r="R568" s="39"/>
      <c r="S568" s="39"/>
      <c r="T568" s="39"/>
      <c r="V568">
        <f>IF(Tabela3[[#This Row],[Pago]]&lt;&gt;"",IF(F569="",Tabela3[[#This Row],[Saldo]],0))</f>
        <v>0</v>
      </c>
    </row>
    <row r="569" spans="1:22" x14ac:dyDescent="0.25">
      <c r="A569" t="s">
        <v>51</v>
      </c>
      <c r="B569" s="37">
        <v>41</v>
      </c>
      <c r="C569" t="str">
        <f>_xlfn.XLOOKUP(B569,'Centro de Custo'!A$2:A$45,'Centro de Custo'!B$2:B$45)</f>
        <v>Resgate Financeiro</v>
      </c>
      <c r="E569" s="39">
        <v>100000</v>
      </c>
      <c r="F569" s="40" t="s">
        <v>10</v>
      </c>
      <c r="G569" s="41">
        <v>45628</v>
      </c>
      <c r="H569" s="42">
        <f>YEAR(Tabela3[[#This Row],[Data]])</f>
        <v>2024</v>
      </c>
      <c r="I569" s="42" t="str">
        <f>_xlfn.XLOOKUP(J569,'Centro de Custo'!J$2:J$13,'Centro de Custo'!K$2:K$13)</f>
        <v>Dezembro</v>
      </c>
      <c r="J569" s="43">
        <f>MONTH(Tabela3[[#This Row],[Data]])</f>
        <v>12</v>
      </c>
      <c r="K569" s="39">
        <f>SUM(E$3:Tabela3[[#This Row],[Valor]])</f>
        <v>105419.87000000082</v>
      </c>
      <c r="L569" s="40">
        <f t="shared" si="8"/>
        <v>2.22375</v>
      </c>
      <c r="M569" s="40"/>
      <c r="N569" s="40"/>
      <c r="O569" s="40"/>
      <c r="P569" s="39"/>
      <c r="Q569" s="39"/>
      <c r="R569" s="39"/>
      <c r="S569" s="39"/>
      <c r="T569" s="39"/>
      <c r="V569">
        <f>IF(Tabela3[[#This Row],[Pago]]&lt;&gt;"",IF(F570="",Tabela3[[#This Row],[Saldo]],0))</f>
        <v>0</v>
      </c>
    </row>
    <row r="570" spans="1:22" x14ac:dyDescent="0.25">
      <c r="A570" t="s">
        <v>321</v>
      </c>
      <c r="B570" s="37">
        <v>30</v>
      </c>
      <c r="C570" t="str">
        <f>_xlfn.XLOOKUP(B570,'Centro de Custo'!A$2:A$45,'Centro de Custo'!B$2:B$45)</f>
        <v>Impostos</v>
      </c>
      <c r="E570" s="39">
        <v>-22.52</v>
      </c>
      <c r="F570" s="40" t="s">
        <v>10</v>
      </c>
      <c r="G570" s="41">
        <v>45628</v>
      </c>
      <c r="H570" s="42">
        <f>YEAR(Tabela3[[#This Row],[Data]])</f>
        <v>2024</v>
      </c>
      <c r="I570" s="42" t="str">
        <f>_xlfn.XLOOKUP(J570,'Centro de Custo'!J$2:J$13,'Centro de Custo'!K$2:K$13)</f>
        <v>Dezembro</v>
      </c>
      <c r="J570" s="43">
        <f>MONTH(Tabela3[[#This Row],[Data]])</f>
        <v>12</v>
      </c>
      <c r="K570" s="39">
        <f>SUM(E$3:Tabela3[[#This Row],[Valor]])</f>
        <v>105397.35000000082</v>
      </c>
      <c r="L570" s="40">
        <f t="shared" si="8"/>
        <v>2.22375</v>
      </c>
      <c r="M570" s="40"/>
      <c r="N570" s="40"/>
      <c r="O570" s="40"/>
      <c r="P570" s="39"/>
      <c r="Q570" s="39"/>
      <c r="R570" s="39"/>
      <c r="S570" s="39"/>
      <c r="T570" s="39"/>
      <c r="V570">
        <f>IF(Tabela3[[#This Row],[Pago]]&lt;&gt;"",IF(F571="",Tabela3[[#This Row],[Saldo]],0))</f>
        <v>0</v>
      </c>
    </row>
    <row r="571" spans="1:22" x14ac:dyDescent="0.25">
      <c r="A571" t="s">
        <v>322</v>
      </c>
      <c r="B571" s="37">
        <v>20</v>
      </c>
      <c r="C571" t="str">
        <f>_xlfn.XLOOKUP(B571,'Centro de Custo'!A$2:A$45,'Centro de Custo'!B$2:B$45)</f>
        <v>Desp. ADM</v>
      </c>
      <c r="D571" s="47"/>
      <c r="E571" s="39">
        <v>-1000</v>
      </c>
      <c r="F571" s="40" t="s">
        <v>10</v>
      </c>
      <c r="G571" s="41">
        <v>45628</v>
      </c>
      <c r="H571" s="42">
        <f>YEAR(Tabela3[[#This Row],[Data]])</f>
        <v>2024</v>
      </c>
      <c r="I571" s="42" t="str">
        <f>_xlfn.XLOOKUP(J571,'Centro de Custo'!J$2:J$13,'Centro de Custo'!K$2:K$13)</f>
        <v>Dezembro</v>
      </c>
      <c r="J571" s="43">
        <f>MONTH(Tabela3[[#This Row],[Data]])</f>
        <v>12</v>
      </c>
      <c r="K571" s="39">
        <f>SUM(E$3:Tabela3[[#This Row],[Valor]])</f>
        <v>104397.35000000082</v>
      </c>
      <c r="L571" s="40">
        <f t="shared" si="8"/>
        <v>2.22375</v>
      </c>
      <c r="M571" s="40"/>
      <c r="N571" s="40"/>
      <c r="O571" s="40"/>
      <c r="P571" s="39"/>
      <c r="Q571" s="39"/>
      <c r="R571" s="39"/>
      <c r="S571" s="39"/>
      <c r="T571" s="39"/>
      <c r="V571">
        <f>IF(Tabela3[[#This Row],[Pago]]&lt;&gt;"",IF(F572="",Tabela3[[#This Row],[Saldo]],0))</f>
        <v>0</v>
      </c>
    </row>
    <row r="572" spans="1:22" x14ac:dyDescent="0.25">
      <c r="A572" t="s">
        <v>309</v>
      </c>
      <c r="B572" s="37">
        <v>4</v>
      </c>
      <c r="C572" t="str">
        <f>_xlfn.XLOOKUP(B572,'Centro de Custo'!A$2:A$45,'Centro de Custo'!B$2:B$45)</f>
        <v>Reforma</v>
      </c>
      <c r="D572" t="s">
        <v>323</v>
      </c>
      <c r="E572" s="39">
        <v>-35327.25</v>
      </c>
      <c r="F572" s="40" t="s">
        <v>10</v>
      </c>
      <c r="G572" s="41">
        <v>45628</v>
      </c>
      <c r="H572" s="42">
        <f>YEAR(Tabela3[[#This Row],[Data]])</f>
        <v>2024</v>
      </c>
      <c r="I572" s="42" t="str">
        <f>_xlfn.XLOOKUP(J572,'Centro de Custo'!J$2:J$13,'Centro de Custo'!K$2:K$13)</f>
        <v>Dezembro</v>
      </c>
      <c r="J572" s="43">
        <f>MONTH(Tabela3[[#This Row],[Data]])</f>
        <v>12</v>
      </c>
      <c r="K572" s="39">
        <f>SUM(E$3:Tabela3[[#This Row],[Valor]])</f>
        <v>69070.10000000082</v>
      </c>
      <c r="L572" s="40">
        <f t="shared" si="8"/>
        <v>2.22375</v>
      </c>
      <c r="M572" s="40"/>
      <c r="N572" s="40"/>
      <c r="O572" s="40"/>
      <c r="P572" s="39"/>
      <c r="Q572" s="39"/>
      <c r="R572" s="39"/>
      <c r="S572" s="39"/>
      <c r="T572" s="39"/>
      <c r="V572">
        <f>IF(Tabela3[[#This Row],[Pago]]&lt;&gt;"",IF(F573="",Tabela3[[#This Row],[Saldo]],0))</f>
        <v>0</v>
      </c>
    </row>
    <row r="573" spans="1:22" x14ac:dyDescent="0.25">
      <c r="A573" t="s">
        <v>190</v>
      </c>
      <c r="B573" s="37">
        <v>13</v>
      </c>
      <c r="C573" t="str">
        <f>_xlfn.XLOOKUP(B573,'Centro de Custo'!A$2:A$45,'Centro de Custo'!B$2:B$45)</f>
        <v>Terceirizados</v>
      </c>
      <c r="E573" s="39">
        <v>-4620.75</v>
      </c>
      <c r="F573" s="40" t="s">
        <v>10</v>
      </c>
      <c r="G573" s="41">
        <v>45629</v>
      </c>
      <c r="H573" s="42">
        <f>YEAR(Tabela3[[#This Row],[Data]])</f>
        <v>2024</v>
      </c>
      <c r="I573" s="42" t="str">
        <f>_xlfn.XLOOKUP(J573,'Centro de Custo'!J$2:J$13,'Centro de Custo'!K$2:K$13)</f>
        <v>Dezembro</v>
      </c>
      <c r="J573" s="43">
        <f>MONTH(Tabela3[[#This Row],[Data]])</f>
        <v>12</v>
      </c>
      <c r="K573" s="39">
        <f>SUM(E$3:Tabela3[[#This Row],[Valor]])</f>
        <v>64449.35000000082</v>
      </c>
      <c r="L573" s="40">
        <f t="shared" si="8"/>
        <v>2.22375</v>
      </c>
      <c r="M573" s="40"/>
      <c r="N573" s="40"/>
      <c r="O573" s="40"/>
      <c r="P573" s="39"/>
      <c r="Q573" s="39"/>
      <c r="R573" s="39"/>
      <c r="S573" s="39"/>
      <c r="T573" s="39"/>
      <c r="V573">
        <f>IF(Tabela3[[#This Row],[Pago]]&lt;&gt;"",IF(F574="",Tabela3[[#This Row],[Saldo]],0))</f>
        <v>0</v>
      </c>
    </row>
    <row r="574" spans="1:22" x14ac:dyDescent="0.25">
      <c r="A574" t="s">
        <v>324</v>
      </c>
      <c r="B574" s="37">
        <v>20</v>
      </c>
      <c r="C574" t="str">
        <f>_xlfn.XLOOKUP(B574,'Centro de Custo'!A$2:A$45,'Centro de Custo'!B$2:B$45)</f>
        <v>Desp. ADM</v>
      </c>
      <c r="D574" s="47" t="s">
        <v>72</v>
      </c>
      <c r="E574" s="39">
        <v>-350</v>
      </c>
      <c r="F574" s="40" t="s">
        <v>10</v>
      </c>
      <c r="G574" s="41">
        <v>45631</v>
      </c>
      <c r="H574" s="42">
        <f>YEAR(Tabela3[[#This Row],[Data]])</f>
        <v>2024</v>
      </c>
      <c r="I574" s="42" t="str">
        <f>_xlfn.XLOOKUP(J574,'Centro de Custo'!J$2:J$13,'Centro de Custo'!K$2:K$13)</f>
        <v>Dezembro</v>
      </c>
      <c r="J574" s="43">
        <f>MONTH(Tabela3[[#This Row],[Data]])</f>
        <v>12</v>
      </c>
      <c r="K574" s="39">
        <f>SUM(E$3:Tabela3[[#This Row],[Valor]])</f>
        <v>64099.35000000082</v>
      </c>
      <c r="L574" s="40">
        <f t="shared" si="8"/>
        <v>2.22375</v>
      </c>
      <c r="M574" s="40"/>
      <c r="N574" s="40"/>
      <c r="O574" s="40"/>
      <c r="P574" s="39"/>
      <c r="Q574" s="39"/>
      <c r="R574" s="39"/>
      <c r="S574" s="39"/>
      <c r="T574" s="39"/>
      <c r="V574">
        <f>IF(Tabela3[[#This Row],[Pago]]&lt;&gt;"",IF(F575="",Tabela3[[#This Row],[Saldo]],0))</f>
        <v>0</v>
      </c>
    </row>
    <row r="575" spans="1:22" x14ac:dyDescent="0.25">
      <c r="A575" t="s">
        <v>51</v>
      </c>
      <c r="B575" s="37">
        <v>41</v>
      </c>
      <c r="C575" t="str">
        <f>_xlfn.XLOOKUP(B575,'Centro de Custo'!A$2:A$45,'Centro de Custo'!B$2:B$45)</f>
        <v>Resgate Financeiro</v>
      </c>
      <c r="E575" s="39">
        <v>50000</v>
      </c>
      <c r="F575" s="40" t="s">
        <v>10</v>
      </c>
      <c r="G575" s="41">
        <v>45632</v>
      </c>
      <c r="H575" s="42">
        <f>YEAR(Tabela3[[#This Row],[Data]])</f>
        <v>2024</v>
      </c>
      <c r="I575" s="42" t="str">
        <f>_xlfn.XLOOKUP(J575,'Centro de Custo'!J$2:J$13,'Centro de Custo'!K$2:K$13)</f>
        <v>Dezembro</v>
      </c>
      <c r="J575" s="43">
        <f>MONTH(Tabela3[[#This Row],[Data]])</f>
        <v>12</v>
      </c>
      <c r="K575" s="39">
        <f>SUM(E$3:Tabela3[[#This Row],[Valor]])</f>
        <v>114099.35000000082</v>
      </c>
      <c r="L575" s="40">
        <f t="shared" si="8"/>
        <v>2.22375</v>
      </c>
      <c r="M575" s="40"/>
      <c r="N575" s="40"/>
      <c r="O575" s="40"/>
      <c r="P575" s="39"/>
      <c r="Q575" s="39"/>
      <c r="R575" s="39"/>
      <c r="S575" s="39"/>
      <c r="T575" s="39"/>
      <c r="V575">
        <f>IF(Tabela3[[#This Row],[Pago]]&lt;&gt;"",IF(F576="",Tabela3[[#This Row],[Saldo]],0))</f>
        <v>0</v>
      </c>
    </row>
    <row r="576" spans="1:22" x14ac:dyDescent="0.25">
      <c r="A576" t="s">
        <v>325</v>
      </c>
      <c r="B576" s="37">
        <v>22</v>
      </c>
      <c r="C576" t="str">
        <f>_xlfn.XLOOKUP(B576,'Centro de Custo'!A$2:A$45,'Centro de Custo'!B$2:B$45)</f>
        <v>Doação</v>
      </c>
      <c r="E576" s="39">
        <v>-1000</v>
      </c>
      <c r="F576" s="40" t="s">
        <v>10</v>
      </c>
      <c r="G576" s="41">
        <v>45632</v>
      </c>
      <c r="H576" s="42">
        <f>YEAR(Tabela3[[#This Row],[Data]])</f>
        <v>2024</v>
      </c>
      <c r="I576" s="42" t="str">
        <f>_xlfn.XLOOKUP(J576,'Centro de Custo'!J$2:J$13,'Centro de Custo'!K$2:K$13)</f>
        <v>Dezembro</v>
      </c>
      <c r="J576" s="43">
        <f>MONTH(Tabela3[[#This Row],[Data]])</f>
        <v>12</v>
      </c>
      <c r="K576" s="39">
        <f>SUM(E$3:Tabela3[[#This Row],[Valor]])</f>
        <v>113099.35000000082</v>
      </c>
      <c r="L576" s="40">
        <f t="shared" si="8"/>
        <v>2.22375</v>
      </c>
      <c r="M576" s="40"/>
      <c r="N576" s="40"/>
      <c r="O576" s="40"/>
      <c r="P576" s="39"/>
      <c r="Q576" s="39"/>
      <c r="R576" s="39"/>
      <c r="S576" s="39"/>
      <c r="T576" s="39"/>
      <c r="V576">
        <f>IF(Tabela3[[#This Row],[Pago]]&lt;&gt;"",IF(F577="",Tabela3[[#This Row],[Saldo]],0))</f>
        <v>0</v>
      </c>
    </row>
    <row r="577" spans="1:22" x14ac:dyDescent="0.25">
      <c r="A577" t="s">
        <v>326</v>
      </c>
      <c r="B577" s="37">
        <v>17</v>
      </c>
      <c r="C577" t="str">
        <f>_xlfn.XLOOKUP(B577,'Centro de Custo'!A$2:A$45,'Centro de Custo'!B$2:B$45)</f>
        <v>Outros (Socios)</v>
      </c>
      <c r="E577" s="39">
        <v>-1917</v>
      </c>
      <c r="F577" s="40" t="s">
        <v>10</v>
      </c>
      <c r="G577" s="41">
        <v>45632</v>
      </c>
      <c r="H577" s="42">
        <f>YEAR(Tabela3[[#This Row],[Data]])</f>
        <v>2024</v>
      </c>
      <c r="I577" s="42" t="str">
        <f>_xlfn.XLOOKUP(J577,'Centro de Custo'!J$2:J$13,'Centro de Custo'!K$2:K$13)</f>
        <v>Dezembro</v>
      </c>
      <c r="J577" s="43">
        <f>MONTH(Tabela3[[#This Row],[Data]])</f>
        <v>12</v>
      </c>
      <c r="K577" s="39">
        <f>SUM(E$3:Tabela3[[#This Row],[Valor]])</f>
        <v>111182.35000000082</v>
      </c>
      <c r="L577" s="40">
        <f t="shared" si="8"/>
        <v>2.22375</v>
      </c>
      <c r="M577" s="40"/>
      <c r="N577" s="40"/>
      <c r="O577" s="40"/>
      <c r="P577" s="39"/>
      <c r="Q577" s="39"/>
      <c r="R577" s="39"/>
      <c r="S577" s="39"/>
      <c r="T577" s="39"/>
      <c r="V577">
        <f>IF(Tabela3[[#This Row],[Pago]]&lt;&gt;"",IF(F578="",Tabela3[[#This Row],[Saldo]],0))</f>
        <v>0</v>
      </c>
    </row>
    <row r="578" spans="1:22" x14ac:dyDescent="0.25">
      <c r="A578" t="s">
        <v>327</v>
      </c>
      <c r="B578" s="37">
        <v>17</v>
      </c>
      <c r="C578" t="str">
        <f>_xlfn.XLOOKUP(B578,'Centro de Custo'!A$2:A$45,'Centro de Custo'!B$2:B$45)</f>
        <v>Outros (Socios)</v>
      </c>
      <c r="E578" s="39">
        <v>-1917</v>
      </c>
      <c r="F578" s="40" t="s">
        <v>10</v>
      </c>
      <c r="G578" s="41">
        <v>45632</v>
      </c>
      <c r="H578" s="42">
        <f>YEAR(Tabela3[[#This Row],[Data]])</f>
        <v>2024</v>
      </c>
      <c r="I578" s="42" t="str">
        <f>_xlfn.XLOOKUP(J578,'Centro de Custo'!J$2:J$13,'Centro de Custo'!K$2:K$13)</f>
        <v>Dezembro</v>
      </c>
      <c r="J578" s="43">
        <f>MONTH(Tabela3[[#This Row],[Data]])</f>
        <v>12</v>
      </c>
      <c r="K578" s="39">
        <f>SUM(E$3:Tabela3[[#This Row],[Valor]])</f>
        <v>109265.35000000082</v>
      </c>
      <c r="L578" s="40">
        <f t="shared" si="8"/>
        <v>2.22375</v>
      </c>
      <c r="M578" s="40"/>
      <c r="N578" s="40"/>
      <c r="O578" s="40"/>
      <c r="P578" s="39"/>
      <c r="Q578" s="39"/>
      <c r="R578" s="39"/>
      <c r="S578" s="39"/>
      <c r="T578" s="39"/>
      <c r="V578">
        <f>IF(Tabela3[[#This Row],[Pago]]&lt;&gt;"",IF(F579="",Tabela3[[#This Row],[Saldo]],0))</f>
        <v>0</v>
      </c>
    </row>
    <row r="579" spans="1:22" x14ac:dyDescent="0.25">
      <c r="A579" t="s">
        <v>108</v>
      </c>
      <c r="B579" s="37">
        <v>17</v>
      </c>
      <c r="C579" t="str">
        <f>_xlfn.XLOOKUP(B579,'Centro de Custo'!A$2:A$45,'Centro de Custo'!B$2:B$45)</f>
        <v>Outros (Socios)</v>
      </c>
      <c r="E579" s="39">
        <v>-1917</v>
      </c>
      <c r="F579" s="40" t="s">
        <v>10</v>
      </c>
      <c r="G579" s="41">
        <v>45632</v>
      </c>
      <c r="H579" s="42">
        <f>YEAR(Tabela3[[#This Row],[Data]])</f>
        <v>2024</v>
      </c>
      <c r="I579" s="42" t="str">
        <f>_xlfn.XLOOKUP(J579,'Centro de Custo'!J$2:J$13,'Centro de Custo'!K$2:K$13)</f>
        <v>Dezembro</v>
      </c>
      <c r="J579" s="43">
        <f>MONTH(Tabela3[[#This Row],[Data]])</f>
        <v>12</v>
      </c>
      <c r="K579" s="39">
        <f>SUM(E$3:Tabela3[[#This Row],[Valor]])</f>
        <v>107348.35000000082</v>
      </c>
      <c r="L579" s="40">
        <f t="shared" ref="L579:L642" si="9">17.79/8</f>
        <v>2.22375</v>
      </c>
      <c r="M579" s="40"/>
      <c r="N579" s="40"/>
      <c r="O579" s="40"/>
      <c r="P579" s="39"/>
      <c r="Q579" s="39"/>
      <c r="R579" s="39"/>
      <c r="S579" s="39"/>
      <c r="T579" s="39"/>
      <c r="V579">
        <f>IF(Tabela3[[#This Row],[Pago]]&lt;&gt;"",IF(F580="",Tabela3[[#This Row],[Saldo]],0))</f>
        <v>0</v>
      </c>
    </row>
    <row r="580" spans="1:22" x14ac:dyDescent="0.25">
      <c r="A580" t="s">
        <v>328</v>
      </c>
      <c r="B580" s="37">
        <v>17</v>
      </c>
      <c r="C580" t="str">
        <f>_xlfn.XLOOKUP(B580,'Centro de Custo'!A$2:A$45,'Centro de Custo'!B$2:B$45)</f>
        <v>Outros (Socios)</v>
      </c>
      <c r="E580" s="39">
        <v>-1972</v>
      </c>
      <c r="F580" s="40" t="s">
        <v>10</v>
      </c>
      <c r="G580" s="41">
        <v>45632</v>
      </c>
      <c r="H580" s="42">
        <f>YEAR(Tabela3[[#This Row],[Data]])</f>
        <v>2024</v>
      </c>
      <c r="I580" s="42" t="str">
        <f>_xlfn.XLOOKUP(J580,'Centro de Custo'!J$2:J$13,'Centro de Custo'!K$2:K$13)</f>
        <v>Dezembro</v>
      </c>
      <c r="J580" s="43">
        <f>MONTH(Tabela3[[#This Row],[Data]])</f>
        <v>12</v>
      </c>
      <c r="K580" s="39">
        <f>SUM(E$3:Tabela3[[#This Row],[Valor]])</f>
        <v>105376.35000000082</v>
      </c>
      <c r="L580" s="40">
        <f t="shared" si="9"/>
        <v>2.22375</v>
      </c>
      <c r="M580" s="40"/>
      <c r="N580" s="40"/>
      <c r="O580" s="40"/>
      <c r="P580" s="39"/>
      <c r="Q580" s="39"/>
      <c r="R580" s="39"/>
      <c r="S580" s="39"/>
      <c r="T580" s="39"/>
      <c r="V580">
        <f>IF(Tabela3[[#This Row],[Pago]]&lt;&gt;"",IF(F581="",Tabela3[[#This Row],[Saldo]],0))</f>
        <v>0</v>
      </c>
    </row>
    <row r="581" spans="1:22" x14ac:dyDescent="0.25">
      <c r="A581" t="s">
        <v>198</v>
      </c>
      <c r="B581" s="37">
        <v>20</v>
      </c>
      <c r="C581" t="str">
        <f>_xlfn.XLOOKUP(B581,'Centro de Custo'!A$2:A$45,'Centro de Custo'!B$2:B$45)</f>
        <v>Desp. ADM</v>
      </c>
      <c r="E581" s="39">
        <v>-4886.44</v>
      </c>
      <c r="F581" s="40" t="s">
        <v>10</v>
      </c>
      <c r="G581" s="41">
        <v>45632</v>
      </c>
      <c r="H581" s="42">
        <f>YEAR(Tabela3[[#This Row],[Data]])</f>
        <v>2024</v>
      </c>
      <c r="I581" s="42" t="str">
        <f>_xlfn.XLOOKUP(J581,'Centro de Custo'!J$2:J$13,'Centro de Custo'!K$2:K$13)</f>
        <v>Dezembro</v>
      </c>
      <c r="J581" s="43">
        <f>MONTH(Tabela3[[#This Row],[Data]])</f>
        <v>12</v>
      </c>
      <c r="K581" s="39">
        <f>SUM(E$3:Tabela3[[#This Row],[Valor]])</f>
        <v>100489.91000000082</v>
      </c>
      <c r="L581" s="40">
        <f t="shared" si="9"/>
        <v>2.22375</v>
      </c>
      <c r="M581" s="40"/>
      <c r="N581" s="40"/>
      <c r="O581" s="40"/>
      <c r="P581" s="39"/>
      <c r="Q581" s="39"/>
      <c r="R581" s="39"/>
      <c r="S581" s="39"/>
      <c r="T581" s="39"/>
      <c r="V581">
        <f>IF(Tabela3[[#This Row],[Pago]]&lt;&gt;"",IF(F582="",Tabela3[[#This Row],[Saldo]],0))</f>
        <v>0</v>
      </c>
    </row>
    <row r="582" spans="1:22" x14ac:dyDescent="0.25">
      <c r="A582" t="s">
        <v>329</v>
      </c>
      <c r="B582" s="37">
        <v>10</v>
      </c>
      <c r="C582" t="str">
        <f>_xlfn.XLOOKUP(B582,'Centro de Custo'!A$2:A$45,'Centro de Custo'!B$2:B$45)</f>
        <v>Retirada Mensal</v>
      </c>
      <c r="E582" s="39">
        <v>-7000</v>
      </c>
      <c r="F582" s="40" t="s">
        <v>10</v>
      </c>
      <c r="G582" s="41">
        <v>45632</v>
      </c>
      <c r="H582" s="42">
        <f>YEAR(Tabela3[[#This Row],[Data]])</f>
        <v>2024</v>
      </c>
      <c r="I582" s="42" t="str">
        <f>_xlfn.XLOOKUP(J582,'Centro de Custo'!J$2:J$13,'Centro de Custo'!K$2:K$13)</f>
        <v>Dezembro</v>
      </c>
      <c r="J582" s="43">
        <f>MONTH(Tabela3[[#This Row],[Data]])</f>
        <v>12</v>
      </c>
      <c r="K582" s="39">
        <f>SUM(E$3:Tabela3[[#This Row],[Valor]])</f>
        <v>93489.91000000082</v>
      </c>
      <c r="L582" s="40">
        <f t="shared" si="9"/>
        <v>2.22375</v>
      </c>
      <c r="M582" s="40"/>
      <c r="N582" s="40"/>
      <c r="O582" s="40"/>
      <c r="P582" s="39"/>
      <c r="Q582" s="39"/>
      <c r="R582" s="39"/>
      <c r="S582" s="39"/>
      <c r="T582" s="39"/>
      <c r="V582">
        <f>IF(Tabela3[[#This Row],[Pago]]&lt;&gt;"",IF(F583="",Tabela3[[#This Row],[Saldo]],0))</f>
        <v>0</v>
      </c>
    </row>
    <row r="583" spans="1:22" x14ac:dyDescent="0.25">
      <c r="A583" t="s">
        <v>108</v>
      </c>
      <c r="B583" s="37">
        <v>10</v>
      </c>
      <c r="C583" t="str">
        <f>_xlfn.XLOOKUP(B583,'Centro de Custo'!A$2:A$45,'Centro de Custo'!B$2:B$45)</f>
        <v>Retirada Mensal</v>
      </c>
      <c r="E583" s="39">
        <v>-9733</v>
      </c>
      <c r="F583" s="40" t="s">
        <v>10</v>
      </c>
      <c r="G583" s="41">
        <v>45632</v>
      </c>
      <c r="H583" s="42">
        <f>YEAR(Tabela3[[#This Row],[Data]])</f>
        <v>2024</v>
      </c>
      <c r="I583" s="42" t="str">
        <f>_xlfn.XLOOKUP(J583,'Centro de Custo'!J$2:J$13,'Centro de Custo'!K$2:K$13)</f>
        <v>Dezembro</v>
      </c>
      <c r="J583" s="43">
        <f>MONTH(Tabela3[[#This Row],[Data]])</f>
        <v>12</v>
      </c>
      <c r="K583" s="39">
        <f>SUM(E$3:Tabela3[[#This Row],[Valor]])</f>
        <v>83756.91000000082</v>
      </c>
      <c r="L583" s="40">
        <f t="shared" si="9"/>
        <v>2.22375</v>
      </c>
      <c r="M583" s="40"/>
      <c r="N583" s="40"/>
      <c r="O583" s="40"/>
      <c r="P583" s="39"/>
      <c r="Q583" s="39"/>
      <c r="R583" s="39"/>
      <c r="S583" s="39"/>
      <c r="T583" s="39"/>
      <c r="V583">
        <f>IF(Tabela3[[#This Row],[Pago]]&lt;&gt;"",IF(F584="",Tabela3[[#This Row],[Saldo]],0))</f>
        <v>0</v>
      </c>
    </row>
    <row r="584" spans="1:22" x14ac:dyDescent="0.25">
      <c r="A584" t="s">
        <v>186</v>
      </c>
      <c r="B584" s="37">
        <v>10</v>
      </c>
      <c r="C584" t="str">
        <f>_xlfn.XLOOKUP(B584,'Centro de Custo'!A$2:A$45,'Centro de Custo'!B$2:B$45)</f>
        <v>Retirada Mensal</v>
      </c>
      <c r="E584" s="39">
        <v>-10000</v>
      </c>
      <c r="F584" s="40" t="s">
        <v>10</v>
      </c>
      <c r="G584" s="41">
        <v>45632</v>
      </c>
      <c r="H584" s="42">
        <f>YEAR(Tabela3[[#This Row],[Data]])</f>
        <v>2024</v>
      </c>
      <c r="I584" s="42" t="str">
        <f>_xlfn.XLOOKUP(J584,'Centro de Custo'!J$2:J$13,'Centro de Custo'!K$2:K$13)</f>
        <v>Dezembro</v>
      </c>
      <c r="J584" s="43">
        <f>MONTH(Tabela3[[#This Row],[Data]])</f>
        <v>12</v>
      </c>
      <c r="K584" s="39">
        <f>SUM(E$3:Tabela3[[#This Row],[Valor]])</f>
        <v>73756.91000000082</v>
      </c>
      <c r="L584" s="40">
        <f t="shared" si="9"/>
        <v>2.22375</v>
      </c>
      <c r="M584" s="40"/>
      <c r="N584" s="40"/>
      <c r="O584" s="40"/>
      <c r="P584" s="39"/>
      <c r="Q584" s="39"/>
      <c r="R584" s="39"/>
      <c r="S584" s="39"/>
      <c r="T584" s="39"/>
      <c r="V584">
        <f>IF(Tabela3[[#This Row],[Pago]]&lt;&gt;"",IF(F585="",Tabela3[[#This Row],[Saldo]],0))</f>
        <v>0</v>
      </c>
    </row>
    <row r="585" spans="1:22" x14ac:dyDescent="0.25">
      <c r="A585" t="s">
        <v>92</v>
      </c>
      <c r="B585" s="37">
        <v>10</v>
      </c>
      <c r="C585" t="str">
        <f>_xlfn.XLOOKUP(B585,'Centro de Custo'!A$2:A$45,'Centro de Custo'!B$2:B$45)</f>
        <v>Retirada Mensal</v>
      </c>
      <c r="E585" s="39">
        <v>-10083</v>
      </c>
      <c r="F585" s="40" t="s">
        <v>10</v>
      </c>
      <c r="G585" s="41">
        <v>45632</v>
      </c>
      <c r="H585" s="42">
        <f>YEAR(Tabela3[[#This Row],[Data]])</f>
        <v>2024</v>
      </c>
      <c r="I585" s="42" t="str">
        <f>_xlfn.XLOOKUP(J585,'Centro de Custo'!J$2:J$13,'Centro de Custo'!K$2:K$13)</f>
        <v>Dezembro</v>
      </c>
      <c r="J585" s="43">
        <f>MONTH(Tabela3[[#This Row],[Data]])</f>
        <v>12</v>
      </c>
      <c r="K585" s="39">
        <f>SUM(E$3:Tabela3[[#This Row],[Valor]])</f>
        <v>63673.91000000082</v>
      </c>
      <c r="L585" s="40">
        <f t="shared" si="9"/>
        <v>2.22375</v>
      </c>
      <c r="M585" s="40"/>
      <c r="N585" s="40"/>
      <c r="O585" s="40"/>
      <c r="P585" s="39"/>
      <c r="Q585" s="39"/>
      <c r="R585" s="39"/>
      <c r="S585" s="39"/>
      <c r="T585" s="39"/>
      <c r="V585">
        <f>IF(Tabela3[[#This Row],[Pago]]&lt;&gt;"",IF(F586="",Tabela3[[#This Row],[Saldo]],0))</f>
        <v>0</v>
      </c>
    </row>
    <row r="586" spans="1:22" x14ac:dyDescent="0.25">
      <c r="A586" t="s">
        <v>170</v>
      </c>
      <c r="B586" s="37">
        <v>10</v>
      </c>
      <c r="C586" t="str">
        <f>_xlfn.XLOOKUP(B586,'Centro de Custo'!A$2:A$45,'Centro de Custo'!B$2:B$45)</f>
        <v>Retirada Mensal</v>
      </c>
      <c r="E586" s="39">
        <v>-10083</v>
      </c>
      <c r="F586" s="40" t="s">
        <v>10</v>
      </c>
      <c r="G586" s="41">
        <v>45632</v>
      </c>
      <c r="H586" s="42">
        <f>YEAR(Tabela3[[#This Row],[Data]])</f>
        <v>2024</v>
      </c>
      <c r="I586" s="42" t="str">
        <f>_xlfn.XLOOKUP(J586,'Centro de Custo'!J$2:J$13,'Centro de Custo'!K$2:K$13)</f>
        <v>Dezembro</v>
      </c>
      <c r="J586" s="43">
        <f>MONTH(Tabela3[[#This Row],[Data]])</f>
        <v>12</v>
      </c>
      <c r="K586" s="39">
        <f>SUM(E$3:Tabela3[[#This Row],[Valor]])</f>
        <v>53590.91000000082</v>
      </c>
      <c r="L586" s="40">
        <f t="shared" si="9"/>
        <v>2.22375</v>
      </c>
      <c r="M586" s="40"/>
      <c r="N586" s="40"/>
      <c r="O586" s="40"/>
      <c r="P586" s="39"/>
      <c r="Q586" s="39"/>
      <c r="R586" s="39"/>
      <c r="S586" s="39"/>
      <c r="T586" s="39"/>
      <c r="V586">
        <f>IF(Tabela3[[#This Row],[Pago]]&lt;&gt;"",IF(F587="",Tabela3[[#This Row],[Saldo]],0))</f>
        <v>0</v>
      </c>
    </row>
    <row r="587" spans="1:22" x14ac:dyDescent="0.25">
      <c r="A587" t="s">
        <v>56</v>
      </c>
      <c r="B587" s="37">
        <v>10</v>
      </c>
      <c r="C587" t="str">
        <f>_xlfn.XLOOKUP(B587,'Centro de Custo'!A$2:A$45,'Centro de Custo'!B$2:B$45)</f>
        <v>Retirada Mensal</v>
      </c>
      <c r="D587" t="s">
        <v>330</v>
      </c>
      <c r="E587" s="39">
        <v>-10528</v>
      </c>
      <c r="F587" s="40" t="s">
        <v>10</v>
      </c>
      <c r="G587" s="41">
        <v>45632</v>
      </c>
      <c r="H587" s="42">
        <f>YEAR(Tabela3[[#This Row],[Data]])</f>
        <v>2024</v>
      </c>
      <c r="I587" s="42" t="str">
        <f>_xlfn.XLOOKUP(J587,'Centro de Custo'!J$2:J$13,'Centro de Custo'!K$2:K$13)</f>
        <v>Dezembro</v>
      </c>
      <c r="J587" s="43">
        <f>MONTH(Tabela3[[#This Row],[Data]])</f>
        <v>12</v>
      </c>
      <c r="K587" s="39">
        <f>SUM(E$3:Tabela3[[#This Row],[Valor]])</f>
        <v>43062.91000000082</v>
      </c>
      <c r="L587" s="40">
        <f t="shared" si="9"/>
        <v>2.22375</v>
      </c>
      <c r="M587" s="40"/>
      <c r="N587" s="40"/>
      <c r="O587" s="40"/>
      <c r="P587" s="39"/>
      <c r="Q587" s="39"/>
      <c r="R587" s="39"/>
      <c r="S587" s="39"/>
      <c r="T587" s="39"/>
      <c r="V587">
        <f>IF(Tabela3[[#This Row],[Pago]]&lt;&gt;"",IF(F588="",Tabela3[[#This Row],[Saldo]],0))</f>
        <v>0</v>
      </c>
    </row>
    <row r="588" spans="1:22" x14ac:dyDescent="0.25">
      <c r="A588" t="s">
        <v>331</v>
      </c>
      <c r="B588" s="37">
        <v>10</v>
      </c>
      <c r="C588" t="str">
        <f>_xlfn.XLOOKUP(B588,'Centro de Custo'!A$2:A$45,'Centro de Custo'!B$2:B$45)</f>
        <v>Retirada Mensal</v>
      </c>
      <c r="E588" s="39">
        <v>-30.63</v>
      </c>
      <c r="F588" s="40" t="s">
        <v>10</v>
      </c>
      <c r="G588" s="41">
        <v>45635</v>
      </c>
      <c r="H588" s="42">
        <f>YEAR(Tabela3[[#This Row],[Data]])</f>
        <v>2024</v>
      </c>
      <c r="I588" s="42" t="str">
        <f>_xlfn.XLOOKUP(J588,'Centro de Custo'!J$2:J$13,'Centro de Custo'!K$2:K$13)</f>
        <v>Dezembro</v>
      </c>
      <c r="J588" s="43">
        <f>MONTH(Tabela3[[#This Row],[Data]])</f>
        <v>12</v>
      </c>
      <c r="K588" s="39">
        <f>SUM(E$3:Tabela3[[#This Row],[Valor]])</f>
        <v>43032.28000000082</v>
      </c>
      <c r="L588" s="40">
        <f t="shared" si="9"/>
        <v>2.22375</v>
      </c>
      <c r="M588" s="40"/>
      <c r="N588" s="40"/>
      <c r="O588" s="40"/>
      <c r="P588" s="39"/>
      <c r="Q588" s="39"/>
      <c r="R588" s="39"/>
      <c r="S588" s="39"/>
      <c r="T588" s="39"/>
      <c r="V588">
        <f>IF(Tabela3[[#This Row],[Pago]]&lt;&gt;"",IF(F589="",Tabela3[[#This Row],[Saldo]],0))</f>
        <v>0</v>
      </c>
    </row>
    <row r="589" spans="1:22" x14ac:dyDescent="0.25">
      <c r="A589" t="s">
        <v>178</v>
      </c>
      <c r="B589" s="37">
        <v>20</v>
      </c>
      <c r="C589" t="str">
        <f>_xlfn.XLOOKUP(B589,'Centro de Custo'!A$2:A$45,'Centro de Custo'!B$2:B$45)</f>
        <v>Desp. ADM</v>
      </c>
      <c r="E589" s="39">
        <v>-169.9</v>
      </c>
      <c r="F589" s="40" t="s">
        <v>10</v>
      </c>
      <c r="G589" s="41">
        <v>45635</v>
      </c>
      <c r="H589" s="42">
        <f>YEAR(Tabela3[[#This Row],[Data]])</f>
        <v>2024</v>
      </c>
      <c r="I589" s="42" t="str">
        <f>_xlfn.XLOOKUP(J589,'Centro de Custo'!J$2:J$13,'Centro de Custo'!K$2:K$13)</f>
        <v>Dezembro</v>
      </c>
      <c r="J589" s="43">
        <f>MONTH(Tabela3[[#This Row],[Data]])</f>
        <v>12</v>
      </c>
      <c r="K589" s="39">
        <f>SUM(E$3:Tabela3[[#This Row],[Valor]])</f>
        <v>42862.38000000082</v>
      </c>
      <c r="L589" s="40">
        <f t="shared" si="9"/>
        <v>2.22375</v>
      </c>
      <c r="M589" s="40"/>
      <c r="N589" s="40"/>
      <c r="O589" s="40"/>
      <c r="P589" s="39"/>
      <c r="Q589" s="39"/>
      <c r="R589" s="39"/>
      <c r="S589" s="39"/>
      <c r="T589" s="39"/>
      <c r="V589">
        <f>IF(Tabela3[[#This Row],[Pago]]&lt;&gt;"",IF(F590="",Tabela3[[#This Row],[Saldo]],0))</f>
        <v>0</v>
      </c>
    </row>
    <row r="590" spans="1:22" x14ac:dyDescent="0.25">
      <c r="A590" t="s">
        <v>332</v>
      </c>
      <c r="B590" s="37">
        <v>17</v>
      </c>
      <c r="C590" t="str">
        <f>_xlfn.XLOOKUP(B590,'Centro de Custo'!A$2:A$45,'Centro de Custo'!B$2:B$45)</f>
        <v>Outros (Socios)</v>
      </c>
      <c r="E590" s="39">
        <v>-1000</v>
      </c>
      <c r="F590" s="40" t="s">
        <v>10</v>
      </c>
      <c r="G590" s="41">
        <v>45635</v>
      </c>
      <c r="H590" s="42">
        <f>YEAR(Tabela3[[#This Row],[Data]])</f>
        <v>2024</v>
      </c>
      <c r="I590" s="42" t="str">
        <f>_xlfn.XLOOKUP(J590,'Centro de Custo'!J$2:J$13,'Centro de Custo'!K$2:K$13)</f>
        <v>Dezembro</v>
      </c>
      <c r="J590" s="43">
        <f>MONTH(Tabela3[[#This Row],[Data]])</f>
        <v>12</v>
      </c>
      <c r="K590" s="39">
        <f>SUM(E$3:Tabela3[[#This Row],[Valor]])</f>
        <v>41862.38000000082</v>
      </c>
      <c r="L590" s="40">
        <f t="shared" si="9"/>
        <v>2.22375</v>
      </c>
      <c r="M590" s="40"/>
      <c r="N590" s="40"/>
      <c r="O590" s="40"/>
      <c r="P590" s="39"/>
      <c r="Q590" s="39"/>
      <c r="R590" s="39"/>
      <c r="S590" s="39"/>
      <c r="T590" s="39"/>
      <c r="V590">
        <f>IF(Tabela3[[#This Row],[Pago]]&lt;&gt;"",IF(F591="",Tabela3[[#This Row],[Saldo]],0))</f>
        <v>0</v>
      </c>
    </row>
    <row r="591" spans="1:22" x14ac:dyDescent="0.25">
      <c r="A591" t="s">
        <v>333</v>
      </c>
      <c r="B591" s="37">
        <v>10</v>
      </c>
      <c r="C591" t="str">
        <f>_xlfn.XLOOKUP(B591,'Centro de Custo'!A$2:A$45,'Centro de Custo'!B$2:B$45)</f>
        <v>Retirada Mensal</v>
      </c>
      <c r="E591" s="39">
        <v>-1515.78</v>
      </c>
      <c r="F591" s="40" t="s">
        <v>10</v>
      </c>
      <c r="G591" s="41">
        <v>45635</v>
      </c>
      <c r="H591" s="42">
        <f>YEAR(Tabela3[[#This Row],[Data]])</f>
        <v>2024</v>
      </c>
      <c r="I591" s="42" t="str">
        <f>_xlfn.XLOOKUP(J591,'Centro de Custo'!J$2:J$13,'Centro de Custo'!K$2:K$13)</f>
        <v>Dezembro</v>
      </c>
      <c r="J591" s="43">
        <f>MONTH(Tabela3[[#This Row],[Data]])</f>
        <v>12</v>
      </c>
      <c r="K591" s="39">
        <f>SUM(E$3:Tabela3[[#This Row],[Valor]])</f>
        <v>40346.60000000082</v>
      </c>
      <c r="L591" s="40">
        <f t="shared" si="9"/>
        <v>2.22375</v>
      </c>
      <c r="M591" s="40"/>
      <c r="N591" s="40"/>
      <c r="O591" s="40"/>
      <c r="P591" s="39"/>
      <c r="Q591" s="39"/>
      <c r="R591" s="39"/>
      <c r="S591" s="39"/>
      <c r="T591" s="39"/>
      <c r="V591">
        <f>IF(Tabela3[[#This Row],[Pago]]&lt;&gt;"",IF(F592="",Tabela3[[#This Row],[Saldo]],0))</f>
        <v>0</v>
      </c>
    </row>
    <row r="592" spans="1:22" x14ac:dyDescent="0.25">
      <c r="A592" t="s">
        <v>334</v>
      </c>
      <c r="B592" s="37">
        <v>17</v>
      </c>
      <c r="C592" t="str">
        <f>_xlfn.XLOOKUP(B592,'Centro de Custo'!A$2:A$45,'Centro de Custo'!B$2:B$45)</f>
        <v>Outros (Socios)</v>
      </c>
      <c r="E592" s="39">
        <v>-3256</v>
      </c>
      <c r="F592" s="40" t="s">
        <v>10</v>
      </c>
      <c r="G592" s="41">
        <v>45635</v>
      </c>
      <c r="H592" s="42">
        <f>YEAR(Tabela3[[#This Row],[Data]])</f>
        <v>2024</v>
      </c>
      <c r="I592" s="42" t="str">
        <f>_xlfn.XLOOKUP(J592,'Centro de Custo'!J$2:J$13,'Centro de Custo'!K$2:K$13)</f>
        <v>Dezembro</v>
      </c>
      <c r="J592" s="43">
        <f>MONTH(Tabela3[[#This Row],[Data]])</f>
        <v>12</v>
      </c>
      <c r="K592" s="39">
        <f>SUM(E$3:Tabela3[[#This Row],[Valor]])</f>
        <v>37090.60000000082</v>
      </c>
      <c r="L592" s="40">
        <f t="shared" si="9"/>
        <v>2.22375</v>
      </c>
      <c r="M592" s="40"/>
      <c r="N592" s="40"/>
      <c r="O592" s="40"/>
      <c r="P592" s="39"/>
      <c r="Q592" s="39"/>
      <c r="R592" s="39"/>
      <c r="S592" s="39"/>
      <c r="T592" s="39"/>
      <c r="V592">
        <f>IF(Tabela3[[#This Row],[Pago]]&lt;&gt;"",IF(F593="",Tabela3[[#This Row],[Saldo]],0))</f>
        <v>0</v>
      </c>
    </row>
    <row r="593" spans="1:22" x14ac:dyDescent="0.25">
      <c r="A593" s="48" t="s">
        <v>182</v>
      </c>
      <c r="B593" s="37">
        <v>10</v>
      </c>
      <c r="C593" t="str">
        <f>_xlfn.XLOOKUP(B593,'Centro de Custo'!A$2:A$45,'Centro de Custo'!B$2:B$45)</f>
        <v>Retirada Mensal</v>
      </c>
      <c r="E593" s="39">
        <v>-16274</v>
      </c>
      <c r="F593" s="40" t="s">
        <v>10</v>
      </c>
      <c r="G593" s="41">
        <v>45635</v>
      </c>
      <c r="H593" s="42">
        <f>YEAR(Tabela3[[#This Row],[Data]])</f>
        <v>2024</v>
      </c>
      <c r="I593" s="42" t="str">
        <f>_xlfn.XLOOKUP(J593,'Centro de Custo'!J$2:J$13,'Centro de Custo'!K$2:K$13)</f>
        <v>Dezembro</v>
      </c>
      <c r="J593" s="43">
        <f>MONTH(Tabela3[[#This Row],[Data]])</f>
        <v>12</v>
      </c>
      <c r="K593" s="39">
        <f>SUM(E$3:Tabela3[[#This Row],[Valor]])</f>
        <v>20816.60000000082</v>
      </c>
      <c r="L593" s="40">
        <f t="shared" si="9"/>
        <v>2.22375</v>
      </c>
      <c r="M593" s="40"/>
      <c r="N593" s="40"/>
      <c r="O593" s="40"/>
      <c r="P593" s="39"/>
      <c r="Q593" s="39"/>
      <c r="R593" s="39"/>
      <c r="S593" s="39"/>
      <c r="T593" s="39"/>
      <c r="V593">
        <f>IF(Tabela3[[#This Row],[Pago]]&lt;&gt;"",IF(F594="",Tabela3[[#This Row],[Saldo]],0))</f>
        <v>0</v>
      </c>
    </row>
    <row r="594" spans="1:22" x14ac:dyDescent="0.25">
      <c r="A594" t="s">
        <v>335</v>
      </c>
      <c r="B594" s="37">
        <v>17</v>
      </c>
      <c r="C594" t="str">
        <f>_xlfn.XLOOKUP(B594,'Centro de Custo'!A$2:A$45,'Centro de Custo'!B$2:B$45)</f>
        <v>Outros (Socios)</v>
      </c>
      <c r="E594" s="39">
        <v>-19470</v>
      </c>
      <c r="F594" s="40" t="s">
        <v>10</v>
      </c>
      <c r="G594" s="41">
        <v>45635</v>
      </c>
      <c r="H594" s="42">
        <f>YEAR(Tabela3[[#This Row],[Data]])</f>
        <v>2024</v>
      </c>
      <c r="I594" s="42" t="str">
        <f>_xlfn.XLOOKUP(J594,'Centro de Custo'!J$2:J$13,'Centro de Custo'!K$2:K$13)</f>
        <v>Dezembro</v>
      </c>
      <c r="J594" s="43">
        <f>MONTH(Tabela3[[#This Row],[Data]])</f>
        <v>12</v>
      </c>
      <c r="K594" s="39">
        <f>SUM(E$3:Tabela3[[#This Row],[Valor]])</f>
        <v>1346.6000000008207</v>
      </c>
      <c r="L594" s="40">
        <f t="shared" si="9"/>
        <v>2.22375</v>
      </c>
      <c r="M594" s="40"/>
      <c r="N594" s="40"/>
      <c r="O594" s="40"/>
      <c r="P594" s="39"/>
      <c r="Q594" s="39"/>
      <c r="R594" s="39"/>
      <c r="S594" s="39"/>
      <c r="T594" s="39"/>
      <c r="V594">
        <f>IF(Tabela3[[#This Row],[Pago]]&lt;&gt;"",IF(F595="",Tabela3[[#This Row],[Saldo]],0))</f>
        <v>0</v>
      </c>
    </row>
    <row r="595" spans="1:22" x14ac:dyDescent="0.25">
      <c r="A595" t="s">
        <v>336</v>
      </c>
      <c r="B595" s="37">
        <v>1</v>
      </c>
      <c r="C595" t="str">
        <f>_xlfn.XLOOKUP(B595,'Centro de Custo'!A$2:A$45,'Centro de Custo'!B$2:B$45)</f>
        <v>Receita de Produto</v>
      </c>
      <c r="E595" s="39">
        <v>4500000</v>
      </c>
      <c r="F595" s="40" t="s">
        <v>10</v>
      </c>
      <c r="G595" s="41">
        <v>45637</v>
      </c>
      <c r="H595" s="42">
        <f>YEAR(Tabela3[[#This Row],[Data]])</f>
        <v>2024</v>
      </c>
      <c r="I595" s="42" t="str">
        <f>_xlfn.XLOOKUP(J595,'Centro de Custo'!J$2:J$13,'Centro de Custo'!K$2:K$13)</f>
        <v>Dezembro</v>
      </c>
      <c r="J595" s="43">
        <f>MONTH(Tabela3[[#This Row],[Data]])</f>
        <v>12</v>
      </c>
      <c r="K595" s="39">
        <f>SUM(E$3:Tabela3[[#This Row],[Valor]])</f>
        <v>4501346.600000001</v>
      </c>
      <c r="L595" s="40">
        <f t="shared" si="9"/>
        <v>2.22375</v>
      </c>
      <c r="M595" s="40"/>
      <c r="N595" s="40"/>
      <c r="O595" s="40"/>
      <c r="P595" s="39"/>
      <c r="Q595" s="39"/>
      <c r="R595" s="39"/>
      <c r="S595" s="39"/>
      <c r="T595" s="39"/>
      <c r="V595">
        <f>IF(Tabela3[[#This Row],[Pago]]&lt;&gt;"",IF(F596="",Tabela3[[#This Row],[Saldo]],0))</f>
        <v>0</v>
      </c>
    </row>
    <row r="596" spans="1:22" x14ac:dyDescent="0.25">
      <c r="A596" t="s">
        <v>337</v>
      </c>
      <c r="B596" s="37">
        <v>14</v>
      </c>
      <c r="C596" t="str">
        <f>_xlfn.XLOOKUP(B596,'Centro de Custo'!A$2:A$45,'Centro de Custo'!B$2:B$45)</f>
        <v>Outros</v>
      </c>
      <c r="E596" s="39">
        <v>-46060</v>
      </c>
      <c r="F596" s="40" t="s">
        <v>10</v>
      </c>
      <c r="G596" s="41">
        <v>45638</v>
      </c>
      <c r="H596" s="42">
        <f>YEAR(Tabela3[[#This Row],[Data]])</f>
        <v>2024</v>
      </c>
      <c r="I596" s="42" t="str">
        <f>_xlfn.XLOOKUP(J596,'Centro de Custo'!J$2:J$13,'Centro de Custo'!K$2:K$13)</f>
        <v>Dezembro</v>
      </c>
      <c r="J596" s="43">
        <f>MONTH(Tabela3[[#This Row],[Data]])</f>
        <v>12</v>
      </c>
      <c r="K596" s="39">
        <f>SUM(E$3:Tabela3[[#This Row],[Valor]])</f>
        <v>4455286.600000001</v>
      </c>
      <c r="L596" s="40">
        <f t="shared" si="9"/>
        <v>2.22375</v>
      </c>
      <c r="M596" s="40"/>
      <c r="N596" s="40"/>
      <c r="O596" s="40"/>
      <c r="P596" s="39"/>
      <c r="Q596" s="39"/>
      <c r="R596" s="39"/>
      <c r="S596" s="39"/>
      <c r="T596" s="39"/>
      <c r="V596">
        <f>IF(Tabela3[[#This Row],[Pago]]&lt;&gt;"",IF(F597="",Tabela3[[#This Row],[Saldo]],0))</f>
        <v>0</v>
      </c>
    </row>
    <row r="597" spans="1:22" x14ac:dyDescent="0.25">
      <c r="A597" t="s">
        <v>51</v>
      </c>
      <c r="B597" s="37">
        <v>40</v>
      </c>
      <c r="C597" t="str">
        <f>_xlfn.XLOOKUP(B597,'Centro de Custo'!A$2:A$45,'Centro de Custo'!B$2:B$45)</f>
        <v>Aplicação Financeira</v>
      </c>
      <c r="E597" s="39">
        <v>-4400000</v>
      </c>
      <c r="F597" s="40" t="s">
        <v>10</v>
      </c>
      <c r="G597" s="41">
        <v>45638</v>
      </c>
      <c r="H597" s="42">
        <f>YEAR(Tabela3[[#This Row],[Data]])</f>
        <v>2024</v>
      </c>
      <c r="I597" s="42" t="str">
        <f>_xlfn.XLOOKUP(J597,'Centro de Custo'!J$2:J$13,'Centro de Custo'!K$2:K$13)</f>
        <v>Dezembro</v>
      </c>
      <c r="J597" s="43">
        <f>MONTH(Tabela3[[#This Row],[Data]])</f>
        <v>12</v>
      </c>
      <c r="K597" s="39">
        <f>SUM(E$3:Tabela3[[#This Row],[Valor]])</f>
        <v>55286.60000000056</v>
      </c>
      <c r="L597" s="40">
        <f t="shared" si="9"/>
        <v>2.22375</v>
      </c>
      <c r="M597" s="40"/>
      <c r="N597" s="40"/>
      <c r="O597" s="40"/>
      <c r="P597" s="39"/>
      <c r="Q597" s="39"/>
      <c r="R597" s="39"/>
      <c r="S597" s="39"/>
      <c r="T597" s="39"/>
      <c r="V597">
        <f>IF(Tabela3[[#This Row],[Pago]]&lt;&gt;"",IF(F598="",Tabela3[[#This Row],[Saldo]],0))</f>
        <v>0</v>
      </c>
    </row>
    <row r="598" spans="1:22" x14ac:dyDescent="0.25">
      <c r="A598" t="s">
        <v>338</v>
      </c>
      <c r="B598" s="37">
        <v>50</v>
      </c>
      <c r="C598" t="str">
        <f>_xlfn.XLOOKUP(B598,'Centro de Custo'!A$2:A$45,'Centro de Custo'!B$2:B$45)</f>
        <v>Empréstimos</v>
      </c>
      <c r="E598" s="39">
        <v>300000</v>
      </c>
      <c r="F598" s="40" t="s">
        <v>10</v>
      </c>
      <c r="G598" s="41">
        <v>45639</v>
      </c>
      <c r="H598" s="42">
        <f>YEAR(Tabela3[[#This Row],[Data]])</f>
        <v>2024</v>
      </c>
      <c r="I598" s="42" t="str">
        <f>_xlfn.XLOOKUP(J598,'Centro de Custo'!J$2:J$13,'Centro de Custo'!K$2:K$13)</f>
        <v>Dezembro</v>
      </c>
      <c r="J598" s="43">
        <f>MONTH(Tabela3[[#This Row],[Data]])</f>
        <v>12</v>
      </c>
      <c r="K598" s="39">
        <f>SUM(E$3:Tabela3[[#This Row],[Valor]])</f>
        <v>355286.60000000056</v>
      </c>
      <c r="L598" s="40">
        <f t="shared" si="9"/>
        <v>2.22375</v>
      </c>
      <c r="M598" s="40"/>
      <c r="N598" s="40"/>
      <c r="O598" s="40"/>
      <c r="P598" s="39"/>
      <c r="Q598" s="39"/>
      <c r="R598" s="39"/>
      <c r="S598" s="39"/>
      <c r="T598" s="39"/>
      <c r="V598">
        <f>IF(Tabela3[[#This Row],[Pago]]&lt;&gt;"",IF(F599="",Tabela3[[#This Row],[Saldo]],0))</f>
        <v>0</v>
      </c>
    </row>
    <row r="599" spans="1:22" x14ac:dyDescent="0.25">
      <c r="A599" t="s">
        <v>339</v>
      </c>
      <c r="B599" s="37">
        <v>50</v>
      </c>
      <c r="C599" t="str">
        <f>_xlfn.XLOOKUP(B599,'Centro de Custo'!A$2:A$45,'Centro de Custo'!B$2:B$45)</f>
        <v>Empréstimos</v>
      </c>
      <c r="E599" s="39">
        <v>10000</v>
      </c>
      <c r="F599" s="40" t="s">
        <v>10</v>
      </c>
      <c r="G599" s="41">
        <v>45639</v>
      </c>
      <c r="H599" s="42">
        <f>YEAR(Tabela3[[#This Row],[Data]])</f>
        <v>2024</v>
      </c>
      <c r="I599" s="42" t="str">
        <f>_xlfn.XLOOKUP(J599,'Centro de Custo'!J$2:J$13,'Centro de Custo'!K$2:K$13)</f>
        <v>Dezembro</v>
      </c>
      <c r="J599" s="43">
        <f>MONTH(Tabela3[[#This Row],[Data]])</f>
        <v>12</v>
      </c>
      <c r="K599" s="39">
        <f>SUM(E$3:Tabela3[[#This Row],[Valor]])</f>
        <v>365286.60000000056</v>
      </c>
      <c r="L599" s="40">
        <f t="shared" si="9"/>
        <v>2.22375</v>
      </c>
      <c r="M599" s="40"/>
      <c r="N599" s="40"/>
      <c r="O599" s="40"/>
      <c r="P599" s="39"/>
      <c r="Q599" s="39"/>
      <c r="R599" s="39"/>
      <c r="S599" s="39"/>
      <c r="T599" s="39"/>
      <c r="V599">
        <f>IF(Tabela3[[#This Row],[Pago]]&lt;&gt;"",IF(F600="",Tabela3[[#This Row],[Saldo]],0))</f>
        <v>0</v>
      </c>
    </row>
    <row r="600" spans="1:22" x14ac:dyDescent="0.25">
      <c r="A600" t="s">
        <v>265</v>
      </c>
      <c r="B600" s="37">
        <v>20</v>
      </c>
      <c r="C600" t="str">
        <f>_xlfn.XLOOKUP(B600,'Centro de Custo'!A$2:A$45,'Centro de Custo'!B$2:B$45)</f>
        <v>Desp. ADM</v>
      </c>
      <c r="E600" s="39">
        <v>-103.42</v>
      </c>
      <c r="F600" s="40" t="s">
        <v>10</v>
      </c>
      <c r="G600" s="41">
        <v>45642</v>
      </c>
      <c r="H600" s="42">
        <f>YEAR(Tabela3[[#This Row],[Data]])</f>
        <v>2024</v>
      </c>
      <c r="I600" s="42" t="str">
        <f>_xlfn.XLOOKUP(J600,'Centro de Custo'!J$2:J$13,'Centro de Custo'!K$2:K$13)</f>
        <v>Dezembro</v>
      </c>
      <c r="J600" s="43">
        <f>MONTH(Tabela3[[#This Row],[Data]])</f>
        <v>12</v>
      </c>
      <c r="K600" s="39">
        <f>SUM(E$3:Tabela3[[#This Row],[Valor]])</f>
        <v>365183.1800000006</v>
      </c>
      <c r="L600" s="40">
        <f t="shared" si="9"/>
        <v>2.22375</v>
      </c>
      <c r="M600" s="40"/>
      <c r="N600" s="40"/>
      <c r="O600" s="40"/>
      <c r="P600" s="39"/>
      <c r="Q600" s="39"/>
      <c r="R600" s="39"/>
      <c r="S600" s="39"/>
      <c r="T600" s="39"/>
      <c r="V600">
        <f>IF(Tabela3[[#This Row],[Pago]]&lt;&gt;"",IF(F601="",Tabela3[[#This Row],[Saldo]],0))</f>
        <v>0</v>
      </c>
    </row>
    <row r="601" spans="1:22" x14ac:dyDescent="0.25">
      <c r="A601" t="s">
        <v>340</v>
      </c>
      <c r="B601" s="37">
        <v>20</v>
      </c>
      <c r="C601" t="str">
        <f>_xlfn.XLOOKUP(B601,'Centro de Custo'!A$2:A$45,'Centro de Custo'!B$2:B$45)</f>
        <v>Desp. ADM</v>
      </c>
      <c r="E601" s="39">
        <v>-400</v>
      </c>
      <c r="F601" s="40" t="s">
        <v>10</v>
      </c>
      <c r="G601" s="41">
        <v>45642</v>
      </c>
      <c r="H601" s="42">
        <f>YEAR(Tabela3[[#This Row],[Data]])</f>
        <v>2024</v>
      </c>
      <c r="I601" s="42" t="str">
        <f>_xlfn.XLOOKUP(J601,'Centro de Custo'!J$2:J$13,'Centro de Custo'!K$2:K$13)</f>
        <v>Dezembro</v>
      </c>
      <c r="J601" s="43">
        <f>MONTH(Tabela3[[#This Row],[Data]])</f>
        <v>12</v>
      </c>
      <c r="K601" s="39">
        <f>SUM(E$3:Tabela3[[#This Row],[Valor]])</f>
        <v>364783.1800000006</v>
      </c>
      <c r="L601" s="40">
        <f t="shared" si="9"/>
        <v>2.22375</v>
      </c>
      <c r="M601" s="40"/>
      <c r="N601" s="40"/>
      <c r="O601" s="40"/>
      <c r="P601" s="39"/>
      <c r="Q601" s="39"/>
      <c r="R601" s="39"/>
      <c r="S601" s="39"/>
      <c r="T601" s="39"/>
      <c r="V601">
        <f>IF(Tabela3[[#This Row],[Pago]]&lt;&gt;"",IF(F602="",Tabela3[[#This Row],[Saldo]],0))</f>
        <v>0</v>
      </c>
    </row>
    <row r="602" spans="1:22" x14ac:dyDescent="0.25">
      <c r="A602" t="s">
        <v>266</v>
      </c>
      <c r="B602" s="37">
        <v>20</v>
      </c>
      <c r="C602" t="str">
        <f>_xlfn.XLOOKUP(B602,'Centro de Custo'!A$2:A$45,'Centro de Custo'!B$2:B$45)</f>
        <v>Desp. ADM</v>
      </c>
      <c r="E602" s="39">
        <v>-719.02</v>
      </c>
      <c r="F602" s="40" t="s">
        <v>10</v>
      </c>
      <c r="G602" s="41">
        <v>45642</v>
      </c>
      <c r="H602" s="42">
        <f>YEAR(Tabela3[[#This Row],[Data]])</f>
        <v>2024</v>
      </c>
      <c r="I602" s="42" t="str">
        <f>_xlfn.XLOOKUP(J602,'Centro de Custo'!J$2:J$13,'Centro de Custo'!K$2:K$13)</f>
        <v>Dezembro</v>
      </c>
      <c r="J602" s="43">
        <f>MONTH(Tabela3[[#This Row],[Data]])</f>
        <v>12</v>
      </c>
      <c r="K602" s="39">
        <f>SUM(E$3:Tabela3[[#This Row],[Valor]])</f>
        <v>364064.16000000056</v>
      </c>
      <c r="L602" s="40">
        <f t="shared" si="9"/>
        <v>2.22375</v>
      </c>
      <c r="M602" s="40"/>
      <c r="N602" s="40"/>
      <c r="O602" s="40"/>
      <c r="P602" s="39"/>
      <c r="Q602" s="39"/>
      <c r="R602" s="39"/>
      <c r="S602" s="39"/>
      <c r="T602" s="39"/>
      <c r="V602">
        <f>IF(Tabela3[[#This Row],[Pago]]&lt;&gt;"",IF(F603="",Tabela3[[#This Row],[Saldo]],0))</f>
        <v>0</v>
      </c>
    </row>
    <row r="603" spans="1:22" x14ac:dyDescent="0.25">
      <c r="A603" t="s">
        <v>341</v>
      </c>
      <c r="B603" s="37">
        <v>14</v>
      </c>
      <c r="C603" t="str">
        <f>_xlfn.XLOOKUP(B603,'Centro de Custo'!A$2:A$45,'Centro de Custo'!B$2:B$45)</f>
        <v>Outros</v>
      </c>
      <c r="E603" s="39">
        <v>-2740</v>
      </c>
      <c r="F603" s="40" t="s">
        <v>10</v>
      </c>
      <c r="G603" s="41">
        <v>45642</v>
      </c>
      <c r="H603" s="42">
        <f>YEAR(Tabela3[[#This Row],[Data]])</f>
        <v>2024</v>
      </c>
      <c r="I603" s="42" t="str">
        <f>_xlfn.XLOOKUP(J603,'Centro de Custo'!J$2:J$13,'Centro de Custo'!K$2:K$13)</f>
        <v>Dezembro</v>
      </c>
      <c r="J603" s="43">
        <f>MONTH(Tabela3[[#This Row],[Data]])</f>
        <v>12</v>
      </c>
      <c r="K603" s="39">
        <f>SUM(E$3:Tabela3[[#This Row],[Valor]])</f>
        <v>361324.16000000056</v>
      </c>
      <c r="L603" s="40">
        <f t="shared" si="9"/>
        <v>2.22375</v>
      </c>
      <c r="M603" s="40"/>
      <c r="N603" s="40"/>
      <c r="O603" s="40"/>
      <c r="P603" s="39"/>
      <c r="Q603" s="39"/>
      <c r="R603" s="39"/>
      <c r="S603" s="39"/>
      <c r="T603" s="39"/>
      <c r="V603">
        <f>IF(Tabela3[[#This Row],[Pago]]&lt;&gt;"",IF(F604="",Tabela3[[#This Row],[Saldo]],0))</f>
        <v>0</v>
      </c>
    </row>
    <row r="604" spans="1:22" x14ac:dyDescent="0.25">
      <c r="A604" t="s">
        <v>342</v>
      </c>
      <c r="B604" s="37">
        <v>13</v>
      </c>
      <c r="C604" t="str">
        <f>_xlfn.XLOOKUP(B604,'Centro de Custo'!A$2:A$45,'Centro de Custo'!B$2:B$45)</f>
        <v>Terceirizados</v>
      </c>
      <c r="E604" s="39">
        <v>-18500</v>
      </c>
      <c r="F604" s="40" t="s">
        <v>10</v>
      </c>
      <c r="G604" s="41">
        <v>45642</v>
      </c>
      <c r="H604" s="42">
        <f>YEAR(Tabela3[[#This Row],[Data]])</f>
        <v>2024</v>
      </c>
      <c r="I604" s="42" t="str">
        <f>_xlfn.XLOOKUP(J604,'Centro de Custo'!J$2:J$13,'Centro de Custo'!K$2:K$13)</f>
        <v>Dezembro</v>
      </c>
      <c r="J604" s="43">
        <f>MONTH(Tabela3[[#This Row],[Data]])</f>
        <v>12</v>
      </c>
      <c r="K604" s="39">
        <f>SUM(E$3:Tabela3[[#This Row],[Valor]])</f>
        <v>342824.16000000056</v>
      </c>
      <c r="L604" s="40">
        <f t="shared" si="9"/>
        <v>2.22375</v>
      </c>
      <c r="M604" s="40"/>
      <c r="N604" s="40"/>
      <c r="O604" s="40"/>
      <c r="P604" s="39"/>
      <c r="Q604" s="39"/>
      <c r="R604" s="39"/>
      <c r="S604" s="39"/>
      <c r="T604" s="39"/>
      <c r="V604">
        <f>IF(Tabela3[[#This Row],[Pago]]&lt;&gt;"",IF(F605="",Tabela3[[#This Row],[Saldo]],0))</f>
        <v>0</v>
      </c>
    </row>
    <row r="605" spans="1:22" x14ac:dyDescent="0.25">
      <c r="A605" t="s">
        <v>343</v>
      </c>
      <c r="B605" s="37">
        <v>10</v>
      </c>
      <c r="C605" t="str">
        <f>_xlfn.XLOOKUP(B605,'Centro de Custo'!A$2:A$45,'Centro de Custo'!B$2:B$45)</f>
        <v>Retirada Mensal</v>
      </c>
      <c r="E605" s="39">
        <v>-88000</v>
      </c>
      <c r="F605" s="40" t="s">
        <v>10</v>
      </c>
      <c r="G605" s="41">
        <v>45642</v>
      </c>
      <c r="H605" s="42">
        <f>YEAR(Tabela3[[#This Row],[Data]])</f>
        <v>2024</v>
      </c>
      <c r="I605" s="42" t="str">
        <f>_xlfn.XLOOKUP(J605,'Centro de Custo'!J$2:J$13,'Centro de Custo'!K$2:K$13)</f>
        <v>Dezembro</v>
      </c>
      <c r="J605" s="43">
        <f>MONTH(Tabela3[[#This Row],[Data]])</f>
        <v>12</v>
      </c>
      <c r="K605" s="39">
        <f>SUM(E$3:Tabela3[[#This Row],[Valor]])</f>
        <v>254824.16000000056</v>
      </c>
      <c r="L605" s="40">
        <f t="shared" si="9"/>
        <v>2.22375</v>
      </c>
      <c r="M605" s="40"/>
      <c r="N605" s="40"/>
      <c r="O605" s="40"/>
      <c r="P605" s="39"/>
      <c r="Q605" s="39"/>
      <c r="R605" s="39"/>
      <c r="S605" s="39"/>
      <c r="T605" s="39"/>
      <c r="V605">
        <f>IF(Tabela3[[#This Row],[Pago]]&lt;&gt;"",IF(F606="",Tabela3[[#This Row],[Saldo]],0))</f>
        <v>0</v>
      </c>
    </row>
    <row r="606" spans="1:22" x14ac:dyDescent="0.25">
      <c r="A606" t="s">
        <v>111</v>
      </c>
      <c r="B606" s="37">
        <v>10</v>
      </c>
      <c r="C606" t="str">
        <f>_xlfn.XLOOKUP(B606,'Centro de Custo'!A$2:A$45,'Centro de Custo'!B$2:B$45)</f>
        <v>Retirada Mensal</v>
      </c>
      <c r="E606" s="39">
        <v>-140000</v>
      </c>
      <c r="F606" s="40" t="s">
        <v>10</v>
      </c>
      <c r="G606" s="41">
        <v>45642</v>
      </c>
      <c r="H606" s="42">
        <f>YEAR(Tabela3[[#This Row],[Data]])</f>
        <v>2024</v>
      </c>
      <c r="I606" s="42" t="str">
        <f>_xlfn.XLOOKUP(J606,'Centro de Custo'!J$2:J$13,'Centro de Custo'!K$2:K$13)</f>
        <v>Dezembro</v>
      </c>
      <c r="J606" s="43">
        <f>MONTH(Tabela3[[#This Row],[Data]])</f>
        <v>12</v>
      </c>
      <c r="K606" s="39">
        <f>SUM(E$3:Tabela3[[#This Row],[Valor]])</f>
        <v>114824.16000000056</v>
      </c>
      <c r="L606" s="40">
        <f t="shared" si="9"/>
        <v>2.22375</v>
      </c>
      <c r="M606" s="40"/>
      <c r="N606" s="40"/>
      <c r="O606" s="40"/>
      <c r="P606" s="39"/>
      <c r="Q606" s="39"/>
      <c r="R606" s="39"/>
      <c r="S606" s="39"/>
      <c r="T606" s="39"/>
      <c r="V606">
        <f>IF(Tabela3[[#This Row],[Pago]]&lt;&gt;"",IF(F607="",Tabela3[[#This Row],[Saldo]],0))</f>
        <v>0</v>
      </c>
    </row>
    <row r="607" spans="1:22" x14ac:dyDescent="0.25">
      <c r="A607" t="s">
        <v>324</v>
      </c>
      <c r="B607" s="37">
        <v>14</v>
      </c>
      <c r="C607" t="str">
        <f>_xlfn.XLOOKUP(B607,'Centro de Custo'!A$2:A$45,'Centro de Custo'!B$2:B$45)</f>
        <v>Outros</v>
      </c>
      <c r="E607" s="39">
        <v>-400</v>
      </c>
      <c r="F607" s="40" t="s">
        <v>10</v>
      </c>
      <c r="G607" s="41">
        <v>45646</v>
      </c>
      <c r="H607" s="42">
        <f>YEAR(Tabela3[[#This Row],[Data]])</f>
        <v>2024</v>
      </c>
      <c r="I607" s="42" t="str">
        <f>_xlfn.XLOOKUP(J607,'Centro de Custo'!J$2:J$13,'Centro de Custo'!K$2:K$13)</f>
        <v>Dezembro</v>
      </c>
      <c r="J607" s="43">
        <f>MONTH(Tabela3[[#This Row],[Data]])</f>
        <v>12</v>
      </c>
      <c r="K607" s="39">
        <f>SUM(E$3:Tabela3[[#This Row],[Valor]])</f>
        <v>114424.16000000056</v>
      </c>
      <c r="L607" s="40">
        <f t="shared" si="9"/>
        <v>2.22375</v>
      </c>
      <c r="M607" s="40"/>
      <c r="N607" s="40"/>
      <c r="O607" s="40"/>
      <c r="P607" s="39"/>
      <c r="Q607" s="39"/>
      <c r="R607" s="39"/>
      <c r="S607" s="39"/>
      <c r="T607" s="39"/>
      <c r="V607">
        <f>IF(Tabela3[[#This Row],[Pago]]&lt;&gt;"",IF(F608="",Tabela3[[#This Row],[Saldo]],0))</f>
        <v>0</v>
      </c>
    </row>
    <row r="608" spans="1:22" x14ac:dyDescent="0.25">
      <c r="A608" t="s">
        <v>244</v>
      </c>
      <c r="B608" s="37">
        <v>13</v>
      </c>
      <c r="C608" t="str">
        <f>_xlfn.XLOOKUP(B608,'Centro de Custo'!A$2:A$45,'Centro de Custo'!B$2:B$45)</f>
        <v>Terceirizados</v>
      </c>
      <c r="E608" s="39">
        <v>-500</v>
      </c>
      <c r="F608" s="40" t="s">
        <v>10</v>
      </c>
      <c r="G608" s="41">
        <v>45650</v>
      </c>
      <c r="H608" s="42">
        <f>YEAR(Tabela3[[#This Row],[Data]])</f>
        <v>2024</v>
      </c>
      <c r="I608" s="42" t="str">
        <f>_xlfn.XLOOKUP(J608,'Centro de Custo'!J$2:J$13,'Centro de Custo'!K$2:K$13)</f>
        <v>Dezembro</v>
      </c>
      <c r="J608" s="43">
        <f>MONTH(Tabela3[[#This Row],[Data]])</f>
        <v>12</v>
      </c>
      <c r="K608" s="39">
        <f>SUM(E$3:Tabela3[[#This Row],[Valor]])</f>
        <v>113924.16000000056</v>
      </c>
      <c r="L608" s="40">
        <f t="shared" si="9"/>
        <v>2.22375</v>
      </c>
      <c r="M608" s="40"/>
      <c r="N608" s="40"/>
      <c r="O608" s="40"/>
      <c r="P608" s="39"/>
      <c r="Q608" s="39"/>
      <c r="R608" s="39"/>
      <c r="S608" s="39"/>
      <c r="T608" s="39"/>
      <c r="V608">
        <f>IF(Tabela3[[#This Row],[Pago]]&lt;&gt;"",IF(F609="",Tabela3[[#This Row],[Saldo]],0))</f>
        <v>0</v>
      </c>
    </row>
    <row r="609" spans="1:22" x14ac:dyDescent="0.25">
      <c r="A609" t="s">
        <v>344</v>
      </c>
      <c r="B609" s="37">
        <v>41</v>
      </c>
      <c r="C609" t="str">
        <f>_xlfn.XLOOKUP(B609,'Centro de Custo'!A$2:A$45,'Centro de Custo'!B$2:B$45)</f>
        <v>Resgate Financeiro</v>
      </c>
      <c r="E609" s="39">
        <v>250073.53</v>
      </c>
      <c r="F609" s="40" t="s">
        <v>10</v>
      </c>
      <c r="G609" s="41">
        <v>45652</v>
      </c>
      <c r="H609" s="42">
        <f>YEAR(Tabela3[[#This Row],[Data]])</f>
        <v>2024</v>
      </c>
      <c r="I609" s="42" t="str">
        <f>_xlfn.XLOOKUP(J609,'Centro de Custo'!J$2:J$13,'Centro de Custo'!K$2:K$13)</f>
        <v>Dezembro</v>
      </c>
      <c r="J609" s="43">
        <f>MONTH(Tabela3[[#This Row],[Data]])</f>
        <v>12</v>
      </c>
      <c r="K609" s="39">
        <f>SUM(E$3:Tabela3[[#This Row],[Valor]])</f>
        <v>363997.6900000005</v>
      </c>
      <c r="L609" s="40">
        <f t="shared" si="9"/>
        <v>2.22375</v>
      </c>
      <c r="M609" s="40"/>
      <c r="N609" s="40"/>
      <c r="O609" s="40"/>
      <c r="P609" s="39"/>
      <c r="Q609" s="39"/>
      <c r="R609" s="39"/>
      <c r="S609" s="39"/>
      <c r="T609" s="39"/>
      <c r="V609">
        <f>IF(Tabela3[[#This Row],[Pago]]&lt;&gt;"",IF(F610="",Tabela3[[#This Row],[Saldo]],0))</f>
        <v>0</v>
      </c>
    </row>
    <row r="610" spans="1:22" x14ac:dyDescent="0.25">
      <c r="A610" t="s">
        <v>224</v>
      </c>
      <c r="B610" s="37">
        <v>20</v>
      </c>
      <c r="C610" t="str">
        <f>_xlfn.XLOOKUP(B610,'Centro de Custo'!A$2:A$45,'Centro de Custo'!B$2:B$45)</f>
        <v>Desp. ADM</v>
      </c>
      <c r="E610" s="39">
        <v>-25.85</v>
      </c>
      <c r="F610" s="40" t="s">
        <v>10</v>
      </c>
      <c r="G610" s="41">
        <v>45652</v>
      </c>
      <c r="H610" s="42">
        <f>YEAR(Tabela3[[#This Row],[Data]])</f>
        <v>2024</v>
      </c>
      <c r="I610" s="42" t="str">
        <f>_xlfn.XLOOKUP(J610,'Centro de Custo'!J$2:J$13,'Centro de Custo'!K$2:K$13)</f>
        <v>Dezembro</v>
      </c>
      <c r="J610" s="43">
        <f>MONTH(Tabela3[[#This Row],[Data]])</f>
        <v>12</v>
      </c>
      <c r="K610" s="39">
        <f>SUM(E$3:Tabela3[[#This Row],[Valor]])</f>
        <v>363971.84000000055</v>
      </c>
      <c r="L610" s="40">
        <f t="shared" si="9"/>
        <v>2.22375</v>
      </c>
      <c r="M610" s="40"/>
      <c r="N610" s="40"/>
      <c r="O610" s="40"/>
      <c r="P610" s="39"/>
      <c r="Q610" s="39"/>
      <c r="R610" s="39"/>
      <c r="S610" s="39"/>
      <c r="T610" s="39"/>
      <c r="V610">
        <f>IF(Tabela3[[#This Row],[Pago]]&lt;&gt;"",IF(F611="",Tabela3[[#This Row],[Saldo]],0))</f>
        <v>0</v>
      </c>
    </row>
    <row r="611" spans="1:22" x14ac:dyDescent="0.25">
      <c r="A611" t="s">
        <v>244</v>
      </c>
      <c r="B611" s="37">
        <v>13</v>
      </c>
      <c r="C611" t="str">
        <f>_xlfn.XLOOKUP(B611,'Centro de Custo'!A$2:A$45,'Centro de Custo'!B$2:B$45)</f>
        <v>Terceirizados</v>
      </c>
      <c r="E611" s="39">
        <v>-500</v>
      </c>
      <c r="F611" s="40" t="s">
        <v>10</v>
      </c>
      <c r="G611" s="41">
        <v>45652</v>
      </c>
      <c r="H611" s="42">
        <f>YEAR(Tabela3[[#This Row],[Data]])</f>
        <v>2024</v>
      </c>
      <c r="I611" s="42" t="str">
        <f>_xlfn.XLOOKUP(J611,'Centro de Custo'!J$2:J$13,'Centro de Custo'!K$2:K$13)</f>
        <v>Dezembro</v>
      </c>
      <c r="J611" s="43">
        <f>MONTH(Tabela3[[#This Row],[Data]])</f>
        <v>12</v>
      </c>
      <c r="K611" s="39">
        <f>SUM(E$3:Tabela3[[#This Row],[Valor]])</f>
        <v>363471.84000000055</v>
      </c>
      <c r="L611" s="40">
        <f t="shared" si="9"/>
        <v>2.22375</v>
      </c>
      <c r="M611" s="40"/>
      <c r="N611" s="40"/>
      <c r="O611" s="40"/>
      <c r="P611" s="39"/>
      <c r="Q611" s="39"/>
      <c r="R611" s="39"/>
      <c r="S611" s="39"/>
      <c r="T611" s="39"/>
      <c r="V611">
        <f>IF(Tabela3[[#This Row],[Pago]]&lt;&gt;"",IF(F612="",Tabela3[[#This Row],[Saldo]],0))</f>
        <v>0</v>
      </c>
    </row>
    <row r="612" spans="1:22" x14ac:dyDescent="0.25">
      <c r="A612" t="s">
        <v>220</v>
      </c>
      <c r="B612" s="37">
        <v>11</v>
      </c>
      <c r="C612" t="str">
        <f>_xlfn.XLOOKUP(B612,'Centro de Custo'!A$2:A$45,'Centro de Custo'!B$2:B$45)</f>
        <v>Distribuição de Lucro</v>
      </c>
      <c r="E612" s="39">
        <v>-300000</v>
      </c>
      <c r="F612" s="40" t="s">
        <v>10</v>
      </c>
      <c r="G612" s="41">
        <v>45652</v>
      </c>
      <c r="H612" s="42">
        <f>YEAR(Tabela3[[#This Row],[Data]])</f>
        <v>2024</v>
      </c>
      <c r="I612" s="42" t="str">
        <f>_xlfn.XLOOKUP(J612,'Centro de Custo'!J$2:J$13,'Centro de Custo'!K$2:K$13)</f>
        <v>Dezembro</v>
      </c>
      <c r="J612" s="43">
        <f>MONTH(Tabela3[[#This Row],[Data]])</f>
        <v>12</v>
      </c>
      <c r="K612" s="39">
        <f>SUM(E$3:Tabela3[[#This Row],[Valor]])</f>
        <v>63471.84000000055</v>
      </c>
      <c r="L612" s="40">
        <f t="shared" si="9"/>
        <v>2.22375</v>
      </c>
      <c r="M612" s="40"/>
      <c r="N612" s="40"/>
      <c r="O612" s="40"/>
      <c r="P612" s="39"/>
      <c r="Q612" s="39"/>
      <c r="R612" s="39"/>
      <c r="S612" s="39"/>
      <c r="T612" s="39"/>
      <c r="V612">
        <f>IF(Tabela3[[#This Row],[Pago]]&lt;&gt;"",IF(F613="",Tabela3[[#This Row],[Saldo]],0))</f>
        <v>0</v>
      </c>
    </row>
    <row r="613" spans="1:22" x14ac:dyDescent="0.25">
      <c r="A613" t="s">
        <v>291</v>
      </c>
      <c r="B613" s="37">
        <v>13</v>
      </c>
      <c r="C613" t="str">
        <f>_xlfn.XLOOKUP(B613,'Centro de Custo'!A$2:A$45,'Centro de Custo'!B$2:B$45)</f>
        <v>Terceirizados</v>
      </c>
      <c r="E613" s="39">
        <v>-12672.17</v>
      </c>
      <c r="F613" s="40" t="s">
        <v>10</v>
      </c>
      <c r="G613" s="41">
        <v>45653</v>
      </c>
      <c r="H613" s="42">
        <f>YEAR(Tabela3[[#This Row],[Data]])</f>
        <v>2024</v>
      </c>
      <c r="I613" s="42" t="str">
        <f>_xlfn.XLOOKUP(J613,'Centro de Custo'!J$2:J$13,'Centro de Custo'!K$2:K$13)</f>
        <v>Dezembro</v>
      </c>
      <c r="J613" s="43">
        <f>MONTH(Tabela3[[#This Row],[Data]])</f>
        <v>12</v>
      </c>
      <c r="K613" s="39">
        <f>SUM(E$3:Tabela3[[#This Row],[Valor]])</f>
        <v>50799.67000000055</v>
      </c>
      <c r="L613" s="40">
        <f t="shared" si="9"/>
        <v>2.22375</v>
      </c>
      <c r="M613" s="40"/>
      <c r="N613" s="40"/>
      <c r="O613" s="40"/>
      <c r="P613" s="39"/>
      <c r="Q613" s="39"/>
      <c r="R613" s="39"/>
      <c r="S613" s="39"/>
      <c r="T613" s="39"/>
      <c r="V613">
        <f>IF(Tabela3[[#This Row],[Pago]]&lt;&gt;"",IF(F614="",Tabela3[[#This Row],[Saldo]],0))</f>
        <v>0</v>
      </c>
    </row>
    <row r="614" spans="1:22" x14ac:dyDescent="0.25">
      <c r="A614" t="s">
        <v>345</v>
      </c>
      <c r="B614" s="37">
        <v>30</v>
      </c>
      <c r="C614" t="str">
        <f>_xlfn.XLOOKUP(B614,'Centro de Custo'!A$2:A$45,'Centro de Custo'!B$2:B$45)</f>
        <v>Impostos</v>
      </c>
      <c r="E614" s="39">
        <v>-14122.97</v>
      </c>
      <c r="F614" s="40" t="s">
        <v>10</v>
      </c>
      <c r="G614" s="41">
        <v>45656</v>
      </c>
      <c r="H614" s="42">
        <f>YEAR(Tabela3[[#This Row],[Data]])</f>
        <v>2024</v>
      </c>
      <c r="I614" s="42" t="str">
        <f>_xlfn.XLOOKUP(J614,'Centro de Custo'!J$2:J$13,'Centro de Custo'!K$2:K$13)</f>
        <v>Dezembro</v>
      </c>
      <c r="J614" s="43">
        <f>MONTH(Tabela3[[#This Row],[Data]])</f>
        <v>12</v>
      </c>
      <c r="K614" s="39">
        <f>SUM(E$3:Tabela3[[#This Row],[Valor]])</f>
        <v>36676.70000000055</v>
      </c>
      <c r="L614" s="40">
        <f t="shared" si="9"/>
        <v>2.22375</v>
      </c>
      <c r="M614" s="40"/>
      <c r="N614" s="40"/>
      <c r="O614" s="40"/>
      <c r="P614" s="39"/>
      <c r="Q614" s="39"/>
      <c r="R614" s="39"/>
      <c r="S614" s="39"/>
      <c r="T614" s="39"/>
      <c r="V614">
        <f>IF(Tabela3[[#This Row],[Pago]]&lt;&gt;"",IF(F615="",Tabela3[[#This Row],[Saldo]],0))</f>
        <v>0</v>
      </c>
    </row>
    <row r="615" spans="1:22" x14ac:dyDescent="0.25">
      <c r="A615" t="s">
        <v>221</v>
      </c>
      <c r="B615" s="37">
        <v>11</v>
      </c>
      <c r="C615" t="str">
        <f>_xlfn.XLOOKUP(B615,'Centro de Custo'!A$2:A$45,'Centro de Custo'!B$2:B$45)</f>
        <v>Distribuição de Lucro</v>
      </c>
      <c r="E615" s="39">
        <v>-30000</v>
      </c>
      <c r="F615" s="40" t="s">
        <v>10</v>
      </c>
      <c r="G615" s="41">
        <v>45656</v>
      </c>
      <c r="H615" s="42">
        <f>YEAR(Tabela3[[#This Row],[Data]])</f>
        <v>2024</v>
      </c>
      <c r="I615" s="42" t="str">
        <f>_xlfn.XLOOKUP(J615,'Centro de Custo'!J$2:J$13,'Centro de Custo'!K$2:K$13)</f>
        <v>Dezembro</v>
      </c>
      <c r="J615" s="43">
        <f>MONTH(Tabela3[[#This Row],[Data]])</f>
        <v>12</v>
      </c>
      <c r="K615" s="39">
        <f>SUM(E$3:Tabela3[[#This Row],[Valor]])</f>
        <v>6676.70000000055</v>
      </c>
      <c r="L615" s="40">
        <f t="shared" si="9"/>
        <v>2.22375</v>
      </c>
      <c r="M615" s="40"/>
      <c r="N615" s="40"/>
      <c r="O615" s="40"/>
      <c r="P615" s="39"/>
      <c r="Q615" s="39"/>
      <c r="R615" s="39"/>
      <c r="S615" s="39"/>
      <c r="T615" s="39"/>
      <c r="V615">
        <f>IF(Tabela3[[#This Row],[Pago]]&lt;&gt;"",IF(F616="",Tabela3[[#This Row],[Saldo]],0))</f>
        <v>0</v>
      </c>
    </row>
    <row r="616" spans="1:22" x14ac:dyDescent="0.25">
      <c r="A616" t="s">
        <v>346</v>
      </c>
      <c r="B616" s="37">
        <v>42</v>
      </c>
      <c r="C616" t="str">
        <f>_xlfn.XLOOKUP(B616,'Centro de Custo'!A$2:A$45,'Centro de Custo'!B$2:B$45)</f>
        <v>Rendimento Financeiro</v>
      </c>
      <c r="E616" s="39">
        <v>71.49</v>
      </c>
      <c r="F616" s="40" t="s">
        <v>10</v>
      </c>
      <c r="G616" s="41">
        <v>45657</v>
      </c>
      <c r="H616" s="42">
        <f>YEAR(Tabela3[[#This Row],[Data]])</f>
        <v>2024</v>
      </c>
      <c r="I616" s="42" t="str">
        <f>_xlfn.XLOOKUP(J616,'Centro de Custo'!J$2:J$13,'Centro de Custo'!K$2:K$13)</f>
        <v>Dezembro</v>
      </c>
      <c r="J616" s="43">
        <f>MONTH(Tabela3[[#This Row],[Data]])</f>
        <v>12</v>
      </c>
      <c r="K616" s="39">
        <f>SUM(E$3:Tabela3[[#This Row],[Valor]])</f>
        <v>6748.19000000055</v>
      </c>
      <c r="L616" s="40">
        <f t="shared" si="9"/>
        <v>2.22375</v>
      </c>
      <c r="M616" s="40"/>
      <c r="N616" s="40"/>
      <c r="O616" s="40"/>
      <c r="P616" s="39"/>
      <c r="Q616" s="39"/>
      <c r="R616" s="39"/>
      <c r="S616" s="39"/>
      <c r="T616" s="39"/>
      <c r="V616">
        <f>IF(Tabela3[[#This Row],[Pago]]&lt;&gt;"",IF(F617="",Tabela3[[#This Row],[Saldo]],0))</f>
        <v>0</v>
      </c>
    </row>
    <row r="617" spans="1:22" x14ac:dyDescent="0.25">
      <c r="A617" t="s">
        <v>51</v>
      </c>
      <c r="B617" s="37">
        <v>41</v>
      </c>
      <c r="C617" t="str">
        <f>_xlfn.XLOOKUP(B617,'Centro de Custo'!A$2:A$45,'Centro de Custo'!B$2:B$45)</f>
        <v>Resgate Financeiro</v>
      </c>
      <c r="E617" s="39">
        <v>4900000</v>
      </c>
      <c r="F617" s="40" t="s">
        <v>10</v>
      </c>
      <c r="G617" s="41">
        <v>45660</v>
      </c>
      <c r="H617" s="42">
        <f>YEAR(Tabela3[[#This Row],[Data]])</f>
        <v>2025</v>
      </c>
      <c r="I617" s="42" t="str">
        <f>_xlfn.XLOOKUP(J617,'Centro de Custo'!J$2:J$13,'Centro de Custo'!K$2:K$13)</f>
        <v>Janeiro</v>
      </c>
      <c r="J617" s="43">
        <f>MONTH(Tabela3[[#This Row],[Data]])</f>
        <v>1</v>
      </c>
      <c r="K617" s="39">
        <f>SUM(E$3:Tabela3[[#This Row],[Valor]])</f>
        <v>4906748.19</v>
      </c>
      <c r="L617" s="40">
        <f t="shared" si="9"/>
        <v>2.22375</v>
      </c>
      <c r="M617" s="40"/>
      <c r="N617" s="40"/>
      <c r="O617" s="40"/>
      <c r="P617" s="39"/>
      <c r="Q617" s="39"/>
      <c r="R617" s="39"/>
      <c r="S617" s="39"/>
      <c r="T617" s="39"/>
      <c r="V617">
        <f>IF(Tabela3[[#This Row],[Pago]]&lt;&gt;"",IF(F1366="",Tabela3[[#This Row],[Saldo]],0))</f>
        <v>4906748.19</v>
      </c>
    </row>
    <row r="618" spans="1:20" x14ac:dyDescent="0.25">
      <c r="A618" t="s">
        <v>347</v>
      </c>
      <c r="B618" s="37">
        <v>50</v>
      </c>
      <c r="C618" t="str">
        <f>_xlfn.XLOOKUP(B618,'Centro de Custo'!A$2:A$45,'Centro de Custo'!B$2:B$45)</f>
        <v>Empréstimos</v>
      </c>
      <c r="E618" s="39">
        <v>35000</v>
      </c>
      <c r="F618" s="40" t="s">
        <v>10</v>
      </c>
      <c r="G618" s="41">
        <v>45660</v>
      </c>
      <c r="H618" s="42">
        <f>YEAR(Tabela3[[#This Row],[Data]])</f>
        <v>2025</v>
      </c>
      <c r="I618" s="42" t="str">
        <f>_xlfn.XLOOKUP(J618,'Centro de Custo'!J$2:J$13,'Centro de Custo'!K$2:K$13)</f>
        <v>Janeiro</v>
      </c>
      <c r="J618" s="43">
        <f>MONTH(Tabela3[[#This Row],[Data]])</f>
        <v>1</v>
      </c>
      <c r="K618" s="39">
        <f>SUM(E$3:Tabela3[[#This Row],[Valor]])</f>
        <v>4941748.19</v>
      </c>
      <c r="L618" s="40">
        <f t="shared" si="9"/>
        <v>2.22375</v>
      </c>
      <c r="M618" s="40"/>
      <c r="N618" s="40"/>
      <c r="O618" s="40"/>
      <c r="P618" s="39"/>
      <c r="Q618" s="39"/>
      <c r="R618" s="39"/>
      <c r="S618" s="39"/>
      <c r="T618" s="39"/>
    </row>
    <row r="619" spans="1:20" x14ac:dyDescent="0.25">
      <c r="A619" t="s">
        <v>348</v>
      </c>
      <c r="B619" s="37">
        <v>17</v>
      </c>
      <c r="C619" t="str">
        <f>_xlfn.XLOOKUP(B619,'Centro de Custo'!A$2:A$45,'Centro de Custo'!B$2:B$45)</f>
        <v>Outros (Socios)</v>
      </c>
      <c r="E619" s="39">
        <v>-338</v>
      </c>
      <c r="F619" s="40" t="s">
        <v>10</v>
      </c>
      <c r="G619" s="41">
        <v>45660</v>
      </c>
      <c r="H619" s="42">
        <f>YEAR(Tabela3[[#This Row],[Data]])</f>
        <v>2025</v>
      </c>
      <c r="I619" s="42" t="str">
        <f>_xlfn.XLOOKUP(J619,'Centro de Custo'!J$2:J$13,'Centro de Custo'!K$2:K$13)</f>
        <v>Janeiro</v>
      </c>
      <c r="J619" s="43">
        <f>MONTH(Tabela3[[#This Row],[Data]])</f>
        <v>1</v>
      </c>
      <c r="K619" s="39">
        <f>SUM(E$3:Tabela3[[#This Row],[Valor]])</f>
        <v>4941410.19</v>
      </c>
      <c r="L619" s="40">
        <f t="shared" si="9"/>
        <v>2.22375</v>
      </c>
      <c r="M619" s="40"/>
      <c r="N619" s="40"/>
      <c r="O619" s="40"/>
      <c r="P619" s="39"/>
      <c r="Q619" s="39"/>
      <c r="R619" s="39"/>
      <c r="S619" s="39"/>
      <c r="T619" s="39"/>
    </row>
    <row r="620" spans="1:20" x14ac:dyDescent="0.25">
      <c r="A620" t="s">
        <v>167</v>
      </c>
      <c r="B620" s="37">
        <v>20</v>
      </c>
      <c r="C620" t="str">
        <f>_xlfn.XLOOKUP(B620,'Centro de Custo'!A$2:A$45,'Centro de Custo'!B$2:B$45)</f>
        <v>Desp. ADM</v>
      </c>
      <c r="E620" s="39">
        <v>-481.28</v>
      </c>
      <c r="F620" s="40" t="s">
        <v>10</v>
      </c>
      <c r="G620" s="41">
        <v>45660</v>
      </c>
      <c r="H620" s="42">
        <f>YEAR(Tabela3[[#This Row],[Data]])</f>
        <v>2025</v>
      </c>
      <c r="I620" s="42" t="str">
        <f>_xlfn.XLOOKUP(J620,'Centro de Custo'!J$2:J$13,'Centro de Custo'!K$2:K$13)</f>
        <v>Janeiro</v>
      </c>
      <c r="J620" s="43">
        <f>MONTH(Tabela3[[#This Row],[Data]])</f>
        <v>1</v>
      </c>
      <c r="K620" s="39">
        <f>SUM(E$3:Tabela3[[#This Row],[Valor]])</f>
        <v>4940928.91</v>
      </c>
      <c r="L620" s="40">
        <f t="shared" si="9"/>
        <v>2.22375</v>
      </c>
      <c r="M620" s="40"/>
      <c r="N620" s="40"/>
      <c r="O620" s="40"/>
      <c r="P620" s="39"/>
      <c r="Q620" s="39"/>
      <c r="R620" s="39"/>
      <c r="S620" s="39"/>
      <c r="T620" s="39"/>
    </row>
    <row r="621" spans="1:20" x14ac:dyDescent="0.25">
      <c r="A621" t="s">
        <v>349</v>
      </c>
      <c r="B621" s="37">
        <v>5</v>
      </c>
      <c r="C621" t="str">
        <f>_xlfn.XLOOKUP(B621,'Centro de Custo'!A$2:A$45,'Centro de Custo'!B$2:B$45)</f>
        <v>Consultoria</v>
      </c>
      <c r="E621" s="39">
        <v>-1040</v>
      </c>
      <c r="F621" s="40" t="s">
        <v>10</v>
      </c>
      <c r="G621" s="41">
        <v>45660</v>
      </c>
      <c r="H621" s="42">
        <f>YEAR(Tabela3[[#This Row],[Data]])</f>
        <v>2025</v>
      </c>
      <c r="I621" s="42" t="str">
        <f>_xlfn.XLOOKUP(J621,'Centro de Custo'!J$2:J$13,'Centro de Custo'!K$2:K$13)</f>
        <v>Janeiro</v>
      </c>
      <c r="J621" s="43">
        <f>MONTH(Tabela3[[#This Row],[Data]])</f>
        <v>1</v>
      </c>
      <c r="K621" s="39">
        <f>SUM(E$3:Tabela3[[#This Row],[Valor]])</f>
        <v>4939888.91</v>
      </c>
      <c r="L621" s="40">
        <f t="shared" si="9"/>
        <v>2.22375</v>
      </c>
      <c r="M621" s="40"/>
      <c r="N621" s="40"/>
      <c r="O621" s="40"/>
      <c r="P621" s="39"/>
      <c r="Q621" s="39"/>
      <c r="R621" s="39"/>
      <c r="S621" s="39"/>
      <c r="T621" s="39"/>
    </row>
    <row r="622" spans="1:20" x14ac:dyDescent="0.25">
      <c r="A622" t="s">
        <v>231</v>
      </c>
      <c r="B622" s="37">
        <v>17</v>
      </c>
      <c r="C622" t="str">
        <f>_xlfn.XLOOKUP(B622,'Centro de Custo'!A$2:A$45,'Centro de Custo'!B$2:B$45)</f>
        <v>Outros (Socios)</v>
      </c>
      <c r="E622" s="39">
        <v>-1484.13</v>
      </c>
      <c r="F622" s="40" t="s">
        <v>10</v>
      </c>
      <c r="G622" s="41">
        <v>45660</v>
      </c>
      <c r="H622" s="42">
        <f>YEAR(Tabela3[[#This Row],[Data]])</f>
        <v>2025</v>
      </c>
      <c r="I622" s="42" t="str">
        <f>_xlfn.XLOOKUP(J622,'Centro de Custo'!J$2:J$13,'Centro de Custo'!K$2:K$13)</f>
        <v>Janeiro</v>
      </c>
      <c r="J622" s="43">
        <f>MONTH(Tabela3[[#This Row],[Data]])</f>
        <v>1</v>
      </c>
      <c r="K622" s="39">
        <f>SUM(E$3:Tabela3[[#This Row],[Valor]])</f>
        <v>4938404.78</v>
      </c>
      <c r="L622" s="40">
        <f t="shared" si="9"/>
        <v>2.22375</v>
      </c>
      <c r="M622" s="40"/>
      <c r="N622" s="40"/>
      <c r="O622" s="40"/>
      <c r="P622" s="39"/>
      <c r="Q622" s="39"/>
      <c r="R622" s="39"/>
      <c r="S622" s="39"/>
      <c r="T622" s="39"/>
    </row>
    <row r="623" spans="1:20" x14ac:dyDescent="0.25">
      <c r="A623" t="s">
        <v>198</v>
      </c>
      <c r="B623" s="37">
        <v>20</v>
      </c>
      <c r="C623" t="str">
        <f>_xlfn.XLOOKUP(B623,'Centro de Custo'!A$2:A$45,'Centro de Custo'!B$2:B$45)</f>
        <v>Desp. ADM</v>
      </c>
      <c r="E623" s="39">
        <v>-5338.1</v>
      </c>
      <c r="F623" s="40" t="s">
        <v>10</v>
      </c>
      <c r="G623" s="41">
        <v>45660</v>
      </c>
      <c r="H623" s="42">
        <f>YEAR(Tabela3[[#This Row],[Data]])</f>
        <v>2025</v>
      </c>
      <c r="I623" s="42" t="str">
        <f>_xlfn.XLOOKUP(J623,'Centro de Custo'!J$2:J$13,'Centro de Custo'!K$2:K$13)</f>
        <v>Janeiro</v>
      </c>
      <c r="J623" s="43">
        <f>MONTH(Tabela3[[#This Row],[Data]])</f>
        <v>1</v>
      </c>
      <c r="K623" s="39">
        <f>SUM(E$3:Tabela3[[#This Row],[Valor]])</f>
        <v>4933066.680000001</v>
      </c>
      <c r="L623" s="40">
        <f t="shared" si="9"/>
        <v>2.22375</v>
      </c>
      <c r="M623" s="40"/>
      <c r="N623" s="40"/>
      <c r="O623" s="40"/>
      <c r="P623" s="39"/>
      <c r="Q623" s="39"/>
      <c r="R623" s="39"/>
      <c r="S623" s="39"/>
      <c r="T623" s="39"/>
    </row>
    <row r="624" spans="1:20" x14ac:dyDescent="0.25">
      <c r="A624" t="s">
        <v>350</v>
      </c>
      <c r="B624" s="37">
        <v>22</v>
      </c>
      <c r="C624" t="str">
        <f>_xlfn.XLOOKUP(B624,'Centro de Custo'!A$2:A$45,'Centro de Custo'!B$2:B$45)</f>
        <v>Doação</v>
      </c>
      <c r="E624" s="39">
        <v>-6000</v>
      </c>
      <c r="F624" s="40" t="s">
        <v>10</v>
      </c>
      <c r="G624" s="41">
        <v>45660</v>
      </c>
      <c r="H624" s="42">
        <f>YEAR(Tabela3[[#This Row],[Data]])</f>
        <v>2025</v>
      </c>
      <c r="I624" s="42" t="str">
        <f>_xlfn.XLOOKUP(J624,'Centro de Custo'!J$2:J$13,'Centro de Custo'!K$2:K$13)</f>
        <v>Janeiro</v>
      </c>
      <c r="J624" s="43">
        <f>MONTH(Tabela3[[#This Row],[Data]])</f>
        <v>1</v>
      </c>
      <c r="K624" s="39">
        <f>SUM(E$3:Tabela3[[#This Row],[Valor]])</f>
        <v>4927066.680000001</v>
      </c>
      <c r="L624" s="40">
        <f t="shared" si="9"/>
        <v>2.22375</v>
      </c>
      <c r="M624" s="40"/>
      <c r="N624" s="40"/>
      <c r="O624" s="40"/>
      <c r="P624" s="39"/>
      <c r="Q624" s="39"/>
      <c r="R624" s="39"/>
      <c r="S624" s="39"/>
      <c r="T624" s="39"/>
    </row>
    <row r="625" spans="1:20" x14ac:dyDescent="0.25">
      <c r="A625" t="s">
        <v>351</v>
      </c>
      <c r="B625" s="37">
        <v>10</v>
      </c>
      <c r="C625" t="str">
        <f>_xlfn.XLOOKUP(B625,'Centro de Custo'!A$2:A$45,'Centro de Custo'!B$2:B$45)</f>
        <v>Retirada Mensal</v>
      </c>
      <c r="E625" s="39">
        <v>-8000</v>
      </c>
      <c r="F625" s="40" t="s">
        <v>10</v>
      </c>
      <c r="G625" s="41">
        <v>45660</v>
      </c>
      <c r="H625" s="42">
        <f>YEAR(Tabela3[[#This Row],[Data]])</f>
        <v>2025</v>
      </c>
      <c r="I625" s="42" t="str">
        <f>_xlfn.XLOOKUP(J625,'Centro de Custo'!J$2:J$13,'Centro de Custo'!K$2:K$13)</f>
        <v>Janeiro</v>
      </c>
      <c r="J625" s="43">
        <f>MONTH(Tabela3[[#This Row],[Data]])</f>
        <v>1</v>
      </c>
      <c r="K625" s="39">
        <f>SUM(E$3:Tabela3[[#This Row],[Valor]])</f>
        <v>4919066.680000001</v>
      </c>
      <c r="L625" s="40">
        <f t="shared" si="9"/>
        <v>2.22375</v>
      </c>
      <c r="M625" s="40"/>
      <c r="N625" s="40"/>
      <c r="O625" s="40"/>
      <c r="P625" s="39"/>
      <c r="Q625" s="39"/>
      <c r="R625" s="39"/>
      <c r="S625" s="39"/>
      <c r="T625" s="39"/>
    </row>
    <row r="626" spans="1:20" x14ac:dyDescent="0.25">
      <c r="A626" t="s">
        <v>104</v>
      </c>
      <c r="B626" s="37">
        <v>10</v>
      </c>
      <c r="C626" t="str">
        <f>_xlfn.XLOOKUP(B626,'Centro de Custo'!A$2:A$45,'Centro de Custo'!B$2:B$45)</f>
        <v>Retirada Mensal</v>
      </c>
      <c r="E626" s="39">
        <v>-10000</v>
      </c>
      <c r="F626" s="40" t="s">
        <v>10</v>
      </c>
      <c r="G626" s="41">
        <v>45660</v>
      </c>
      <c r="H626" s="42">
        <f>YEAR(Tabela3[[#This Row],[Data]])</f>
        <v>2025</v>
      </c>
      <c r="I626" s="42" t="str">
        <f>_xlfn.XLOOKUP(J626,'Centro de Custo'!J$2:J$13,'Centro de Custo'!K$2:K$13)</f>
        <v>Janeiro</v>
      </c>
      <c r="J626" s="43">
        <f>MONTH(Tabela3[[#This Row],[Data]])</f>
        <v>1</v>
      </c>
      <c r="K626" s="39">
        <f>SUM(E$3:Tabela3[[#This Row],[Valor]])</f>
        <v>4909066.680000001</v>
      </c>
      <c r="L626" s="40">
        <f t="shared" si="9"/>
        <v>2.22375</v>
      </c>
      <c r="M626" s="40"/>
      <c r="N626" s="40"/>
      <c r="O626" s="40"/>
      <c r="P626" s="39"/>
      <c r="Q626" s="39"/>
      <c r="R626" s="39"/>
      <c r="S626" s="39"/>
      <c r="T626" s="39"/>
    </row>
    <row r="627" spans="1:20" x14ac:dyDescent="0.25">
      <c r="A627" t="s">
        <v>352</v>
      </c>
      <c r="B627" s="37">
        <v>10</v>
      </c>
      <c r="C627" t="str">
        <f>_xlfn.XLOOKUP(B627,'Centro de Custo'!A$2:A$45,'Centro de Custo'!B$2:B$45)</f>
        <v>Retirada Mensal</v>
      </c>
      <c r="E627" s="39">
        <v>-13460</v>
      </c>
      <c r="F627" s="40" t="s">
        <v>10</v>
      </c>
      <c r="G627" s="41">
        <v>45660</v>
      </c>
      <c r="H627" s="42">
        <f>YEAR(Tabela3[[#This Row],[Data]])</f>
        <v>2025</v>
      </c>
      <c r="I627" s="42" t="str">
        <f>_xlfn.XLOOKUP(J627,'Centro de Custo'!J$2:J$13,'Centro de Custo'!K$2:K$13)</f>
        <v>Janeiro</v>
      </c>
      <c r="J627" s="43">
        <f>MONTH(Tabela3[[#This Row],[Data]])</f>
        <v>1</v>
      </c>
      <c r="K627" s="39">
        <f>SUM(E$3:Tabela3[[#This Row],[Valor]])</f>
        <v>4895606.680000001</v>
      </c>
      <c r="L627" s="40">
        <f t="shared" si="9"/>
        <v>2.22375</v>
      </c>
      <c r="M627" s="40"/>
      <c r="N627" s="40"/>
      <c r="O627" s="40"/>
      <c r="P627" s="39"/>
      <c r="Q627" s="39"/>
      <c r="R627" s="39"/>
      <c r="S627" s="39"/>
      <c r="T627" s="39"/>
    </row>
    <row r="628" spans="1:20" x14ac:dyDescent="0.25">
      <c r="A628" t="s">
        <v>55</v>
      </c>
      <c r="B628" s="37">
        <v>10</v>
      </c>
      <c r="C628" t="str">
        <f>_xlfn.XLOOKUP(B628,'Centro de Custo'!A$2:A$45,'Centro de Custo'!B$2:B$45)</f>
        <v>Retirada Mensal</v>
      </c>
      <c r="E628" s="39">
        <v>-14000</v>
      </c>
      <c r="F628" s="40" t="s">
        <v>10</v>
      </c>
      <c r="G628" s="41">
        <v>45660</v>
      </c>
      <c r="H628" s="42">
        <f>YEAR(Tabela3[[#This Row],[Data]])</f>
        <v>2025</v>
      </c>
      <c r="I628" s="42" t="str">
        <f>_xlfn.XLOOKUP(J628,'Centro de Custo'!J$2:J$13,'Centro de Custo'!K$2:K$13)</f>
        <v>Janeiro</v>
      </c>
      <c r="J628" s="43">
        <f>MONTH(Tabela3[[#This Row],[Data]])</f>
        <v>1</v>
      </c>
      <c r="K628" s="39">
        <f>SUM(E$3:Tabela3[[#This Row],[Valor]])</f>
        <v>4881606.680000001</v>
      </c>
      <c r="L628" s="40">
        <f t="shared" si="9"/>
        <v>2.22375</v>
      </c>
      <c r="M628" s="40"/>
      <c r="N628" s="40"/>
      <c r="O628" s="40"/>
      <c r="P628" s="39"/>
      <c r="Q628" s="39"/>
      <c r="R628" s="39"/>
      <c r="S628" s="39"/>
      <c r="T628" s="39"/>
    </row>
    <row r="629" spans="1:20" x14ac:dyDescent="0.25">
      <c r="A629" t="s">
        <v>353</v>
      </c>
      <c r="B629" s="37">
        <v>10</v>
      </c>
      <c r="C629" t="str">
        <f>_xlfn.XLOOKUP(B629,'Centro de Custo'!A$2:A$45,'Centro de Custo'!B$2:B$45)</f>
        <v>Retirada Mensal</v>
      </c>
      <c r="E629" s="39">
        <v>-15000</v>
      </c>
      <c r="F629" s="40" t="s">
        <v>10</v>
      </c>
      <c r="G629" s="41">
        <v>45660</v>
      </c>
      <c r="H629" s="42">
        <f>YEAR(Tabela3[[#This Row],[Data]])</f>
        <v>2025</v>
      </c>
      <c r="I629" s="42" t="str">
        <f>_xlfn.XLOOKUP(J629,'Centro de Custo'!J$2:J$13,'Centro de Custo'!K$2:K$13)</f>
        <v>Janeiro</v>
      </c>
      <c r="J629" s="43">
        <f>MONTH(Tabela3[[#This Row],[Data]])</f>
        <v>1</v>
      </c>
      <c r="K629" s="39">
        <f>SUM(E$3:Tabela3[[#This Row],[Valor]])</f>
        <v>4866606.680000001</v>
      </c>
      <c r="L629" s="40">
        <f t="shared" si="9"/>
        <v>2.22375</v>
      </c>
      <c r="M629" s="40"/>
      <c r="N629" s="40"/>
      <c r="O629" s="40"/>
      <c r="P629" s="39"/>
      <c r="Q629" s="39"/>
      <c r="R629" s="39"/>
      <c r="S629" s="39"/>
      <c r="T629" s="39"/>
    </row>
    <row r="630" spans="1:20" x14ac:dyDescent="0.25">
      <c r="A630" t="s">
        <v>56</v>
      </c>
      <c r="B630" s="37">
        <v>10</v>
      </c>
      <c r="C630" t="str">
        <f>_xlfn.XLOOKUP(B630,'Centro de Custo'!A$2:A$45,'Centro de Custo'!B$2:B$45)</f>
        <v>Retirada Mensal</v>
      </c>
      <c r="E630" s="39">
        <v>-15000</v>
      </c>
      <c r="F630" s="40" t="s">
        <v>10</v>
      </c>
      <c r="G630" s="41">
        <v>45660</v>
      </c>
      <c r="H630" s="42">
        <f>YEAR(Tabela3[[#This Row],[Data]])</f>
        <v>2025</v>
      </c>
      <c r="I630" s="42" t="str">
        <f>_xlfn.XLOOKUP(J630,'Centro de Custo'!J$2:J$13,'Centro de Custo'!K$2:K$13)</f>
        <v>Janeiro</v>
      </c>
      <c r="J630" s="43">
        <f>MONTH(Tabela3[[#This Row],[Data]])</f>
        <v>1</v>
      </c>
      <c r="K630" s="39">
        <f>SUM(E$3:Tabela3[[#This Row],[Valor]])</f>
        <v>4851606.680000001</v>
      </c>
      <c r="L630" s="40">
        <f t="shared" si="9"/>
        <v>2.22375</v>
      </c>
      <c r="M630" s="40"/>
      <c r="N630" s="40"/>
      <c r="O630" s="40"/>
      <c r="P630" s="39"/>
      <c r="Q630" s="39"/>
      <c r="R630" s="39"/>
      <c r="S630" s="39"/>
      <c r="T630" s="39"/>
    </row>
    <row r="631" spans="1:20" x14ac:dyDescent="0.25">
      <c r="A631" t="s">
        <v>211</v>
      </c>
      <c r="B631" s="37">
        <v>11</v>
      </c>
      <c r="C631" t="str">
        <f>_xlfn.XLOOKUP(B631,'Centro de Custo'!A$2:A$45,'Centro de Custo'!B$2:B$45)</f>
        <v>Distribuição de Lucro</v>
      </c>
      <c r="E631" s="39">
        <v>-35000</v>
      </c>
      <c r="F631" s="40" t="s">
        <v>10</v>
      </c>
      <c r="G631" s="41">
        <v>45660</v>
      </c>
      <c r="H631" s="42">
        <f>YEAR(Tabela3[[#This Row],[Data]])</f>
        <v>2025</v>
      </c>
      <c r="I631" s="42" t="str">
        <f>_xlfn.XLOOKUP(J631,'Centro de Custo'!J$2:J$13,'Centro de Custo'!K$2:K$13)</f>
        <v>Janeiro</v>
      </c>
      <c r="J631" s="43">
        <f>MONTH(Tabela3[[#This Row],[Data]])</f>
        <v>1</v>
      </c>
      <c r="K631" s="39">
        <f>SUM(E$3:Tabela3[[#This Row],[Valor]])</f>
        <v>4816606.680000001</v>
      </c>
      <c r="L631" s="40">
        <f t="shared" si="9"/>
        <v>2.22375</v>
      </c>
      <c r="M631" s="40"/>
      <c r="N631" s="40"/>
      <c r="O631" s="40"/>
      <c r="P631" s="39"/>
      <c r="Q631" s="39"/>
      <c r="R631" s="39"/>
      <c r="S631" s="39"/>
      <c r="T631" s="39"/>
    </row>
    <row r="632" spans="1:20" x14ac:dyDescent="0.25">
      <c r="A632" t="s">
        <v>309</v>
      </c>
      <c r="B632" s="37">
        <v>4</v>
      </c>
      <c r="C632" t="str">
        <f>_xlfn.XLOOKUP(B632,'Centro de Custo'!A$2:A$45,'Centro de Custo'!B$2:B$45)</f>
        <v>Reforma</v>
      </c>
      <c r="D632" t="s">
        <v>354</v>
      </c>
      <c r="E632" s="39">
        <v>-35327.25</v>
      </c>
      <c r="F632" s="40" t="s">
        <v>10</v>
      </c>
      <c r="G632" s="41">
        <v>45660</v>
      </c>
      <c r="H632" s="42">
        <f>YEAR(Tabela3[[#This Row],[Data]])</f>
        <v>2025</v>
      </c>
      <c r="I632" s="42" t="str">
        <f>_xlfn.XLOOKUP(J632,'Centro de Custo'!J$2:J$13,'Centro de Custo'!K$2:K$13)</f>
        <v>Janeiro</v>
      </c>
      <c r="J632" s="43">
        <f>MONTH(Tabela3[[#This Row],[Data]])</f>
        <v>1</v>
      </c>
      <c r="K632" s="39">
        <f>SUM(E$3:Tabela3[[#This Row],[Valor]])</f>
        <v>4781279.430000001</v>
      </c>
      <c r="L632" s="40">
        <f t="shared" si="9"/>
        <v>2.22375</v>
      </c>
      <c r="M632" s="40"/>
      <c r="N632" s="40"/>
      <c r="O632" s="40"/>
      <c r="P632" s="39"/>
      <c r="Q632" s="39"/>
      <c r="R632" s="39"/>
      <c r="S632" s="39"/>
      <c r="T632" s="39"/>
    </row>
    <row r="633" spans="1:20" x14ac:dyDescent="0.25">
      <c r="A633" t="s">
        <v>55</v>
      </c>
      <c r="B633" s="37">
        <v>11</v>
      </c>
      <c r="C633" t="str">
        <f>_xlfn.XLOOKUP(B633,'Centro de Custo'!A$2:A$45,'Centro de Custo'!B$2:B$45)</f>
        <v>Distribuição de Lucro</v>
      </c>
      <c r="E633" s="39">
        <v>-715000</v>
      </c>
      <c r="F633" s="40" t="s">
        <v>10</v>
      </c>
      <c r="G633" s="41">
        <v>45660</v>
      </c>
      <c r="H633" s="42">
        <f>YEAR(Tabela3[[#This Row],[Data]])</f>
        <v>2025</v>
      </c>
      <c r="I633" s="42" t="str">
        <f>_xlfn.XLOOKUP(J633,'Centro de Custo'!J$2:J$13,'Centro de Custo'!K$2:K$13)</f>
        <v>Janeiro</v>
      </c>
      <c r="J633" s="43">
        <f>MONTH(Tabela3[[#This Row],[Data]])</f>
        <v>1</v>
      </c>
      <c r="K633" s="39">
        <f>SUM(E$3:Tabela3[[#This Row],[Valor]])</f>
        <v>4066279.4300000006</v>
      </c>
      <c r="L633" s="40">
        <f t="shared" si="9"/>
        <v>2.22375</v>
      </c>
      <c r="M633" s="40"/>
      <c r="N633" s="40"/>
      <c r="O633" s="40"/>
      <c r="P633" s="39"/>
      <c r="Q633" s="39"/>
      <c r="R633" s="39"/>
      <c r="S633" s="39"/>
      <c r="T633" s="39"/>
    </row>
    <row r="634" spans="1:20" x14ac:dyDescent="0.25">
      <c r="A634" t="s">
        <v>56</v>
      </c>
      <c r="B634" s="37">
        <v>11</v>
      </c>
      <c r="C634" t="str">
        <f>_xlfn.XLOOKUP(B634,'Centro de Custo'!A$2:A$45,'Centro de Custo'!B$2:B$45)</f>
        <v>Distribuição de Lucro</v>
      </c>
      <c r="E634" s="39">
        <v>-750000</v>
      </c>
      <c r="F634" s="40" t="s">
        <v>10</v>
      </c>
      <c r="G634" s="41">
        <v>45660</v>
      </c>
      <c r="H634" s="42">
        <f>YEAR(Tabela3[[#This Row],[Data]])</f>
        <v>2025</v>
      </c>
      <c r="I634" s="42" t="str">
        <f>_xlfn.XLOOKUP(J634,'Centro de Custo'!J$2:J$13,'Centro de Custo'!K$2:K$13)</f>
        <v>Janeiro</v>
      </c>
      <c r="J634" s="43">
        <f>MONTH(Tabela3[[#This Row],[Data]])</f>
        <v>1</v>
      </c>
      <c r="K634" s="39">
        <f>SUM(E$3:Tabela3[[#This Row],[Valor]])</f>
        <v>3316279.4300000006</v>
      </c>
      <c r="L634" s="40">
        <f t="shared" si="9"/>
        <v>2.22375</v>
      </c>
      <c r="M634" s="40"/>
      <c r="N634" s="40"/>
      <c r="O634" s="40"/>
      <c r="P634" s="39"/>
      <c r="Q634" s="39"/>
      <c r="R634" s="39"/>
      <c r="S634" s="39"/>
      <c r="T634" s="39"/>
    </row>
    <row r="635" spans="1:20" x14ac:dyDescent="0.25">
      <c r="A635" t="s">
        <v>221</v>
      </c>
      <c r="B635" s="37">
        <v>11</v>
      </c>
      <c r="C635" t="str">
        <f>_xlfn.XLOOKUP(B635,'Centro de Custo'!A$2:A$45,'Centro de Custo'!B$2:B$45)</f>
        <v>Distribuição de Lucro</v>
      </c>
      <c r="E635" s="39">
        <v>-970000</v>
      </c>
      <c r="F635" s="40" t="s">
        <v>10</v>
      </c>
      <c r="G635" s="41">
        <v>45660</v>
      </c>
      <c r="H635" s="42">
        <f>YEAR(Tabela3[[#This Row],[Data]])</f>
        <v>2025</v>
      </c>
      <c r="I635" s="42" t="str">
        <f>_xlfn.XLOOKUP(J635,'Centro de Custo'!J$2:J$13,'Centro de Custo'!K$2:K$13)</f>
        <v>Janeiro</v>
      </c>
      <c r="J635" s="43">
        <f>MONTH(Tabela3[[#This Row],[Data]])</f>
        <v>1</v>
      </c>
      <c r="K635" s="39">
        <f>SUM(E$3:Tabela3[[#This Row],[Valor]])</f>
        <v>2346279.4300000006</v>
      </c>
      <c r="L635" s="40">
        <f t="shared" si="9"/>
        <v>2.22375</v>
      </c>
      <c r="M635" s="40"/>
      <c r="N635" s="40"/>
      <c r="O635" s="40"/>
      <c r="P635" s="39"/>
      <c r="Q635" s="39"/>
      <c r="R635" s="39"/>
      <c r="S635" s="39"/>
      <c r="T635" s="39"/>
    </row>
    <row r="636" spans="1:20" x14ac:dyDescent="0.25">
      <c r="A636" t="s">
        <v>355</v>
      </c>
      <c r="B636" s="37">
        <v>11</v>
      </c>
      <c r="C636" t="str">
        <f>_xlfn.XLOOKUP(B636,'Centro de Custo'!A$2:A$45,'Centro de Custo'!B$2:B$45)</f>
        <v>Distribuição de Lucro</v>
      </c>
      <c r="E636" s="39">
        <v>-980000</v>
      </c>
      <c r="F636" s="40" t="s">
        <v>10</v>
      </c>
      <c r="G636" s="41">
        <v>45660</v>
      </c>
      <c r="H636" s="42">
        <f>YEAR(Tabela3[[#This Row],[Data]])</f>
        <v>2025</v>
      </c>
      <c r="I636" s="42" t="str">
        <f>_xlfn.XLOOKUP(J636,'Centro de Custo'!J$2:J$13,'Centro de Custo'!K$2:K$13)</f>
        <v>Janeiro</v>
      </c>
      <c r="J636" s="43">
        <f>MONTH(Tabela3[[#This Row],[Data]])</f>
        <v>1</v>
      </c>
      <c r="K636" s="39">
        <f>SUM(E$3:Tabela3[[#This Row],[Valor]])</f>
        <v>1366279.4300000006</v>
      </c>
      <c r="L636" s="40">
        <f t="shared" si="9"/>
        <v>2.22375</v>
      </c>
      <c r="M636" s="40"/>
      <c r="N636" s="40"/>
      <c r="O636" s="40"/>
      <c r="P636" s="39"/>
      <c r="Q636" s="39"/>
      <c r="R636" s="39"/>
      <c r="S636" s="39"/>
      <c r="T636" s="39"/>
    </row>
    <row r="637" spans="1:20" x14ac:dyDescent="0.25">
      <c r="A637" t="s">
        <v>58</v>
      </c>
      <c r="B637" s="37">
        <v>11</v>
      </c>
      <c r="C637" t="str">
        <f>_xlfn.XLOOKUP(B637,'Centro de Custo'!A$2:A$45,'Centro de Custo'!B$2:B$45)</f>
        <v>Distribuição de Lucro</v>
      </c>
      <c r="E637" s="39">
        <v>-1000000</v>
      </c>
      <c r="F637" s="40" t="s">
        <v>10</v>
      </c>
      <c r="G637" s="41">
        <v>45660</v>
      </c>
      <c r="H637" s="42">
        <f>YEAR(Tabela3[[#This Row],[Data]])</f>
        <v>2025</v>
      </c>
      <c r="I637" s="42" t="str">
        <f>_xlfn.XLOOKUP(J637,'Centro de Custo'!J$2:J$13,'Centro de Custo'!K$2:K$13)</f>
        <v>Janeiro</v>
      </c>
      <c r="J637" s="43">
        <f>MONTH(Tabela3[[#This Row],[Data]])</f>
        <v>1</v>
      </c>
      <c r="K637" s="39">
        <f>SUM(E$3:Tabela3[[#This Row],[Valor]])</f>
        <v>366279.43000000063</v>
      </c>
      <c r="L637" s="40">
        <f t="shared" si="9"/>
        <v>2.22375</v>
      </c>
      <c r="M637" s="40"/>
      <c r="N637" s="40"/>
      <c r="O637" s="40"/>
      <c r="P637" s="39"/>
      <c r="Q637" s="39"/>
      <c r="R637" s="39"/>
      <c r="S637" s="39"/>
      <c r="T637" s="39"/>
    </row>
    <row r="638" spans="1:20" x14ac:dyDescent="0.25">
      <c r="A638" s="44" t="s">
        <v>178</v>
      </c>
      <c r="B638" s="37">
        <v>20</v>
      </c>
      <c r="C638" t="str">
        <f>_xlfn.XLOOKUP(B638,'Centro de Custo'!A$2:A$45,'Centro de Custo'!B$2:B$45)</f>
        <v>Desp. ADM</v>
      </c>
      <c r="E638" s="39">
        <v>-169.9</v>
      </c>
      <c r="F638" s="40" t="s">
        <v>10</v>
      </c>
      <c r="G638" s="41">
        <v>45663</v>
      </c>
      <c r="H638" s="42">
        <f>YEAR(Tabela3[[#This Row],[Data]])</f>
        <v>2025</v>
      </c>
      <c r="I638" s="42" t="str">
        <f>_xlfn.XLOOKUP(J638,'Centro de Custo'!J$2:J$13,'Centro de Custo'!K$2:K$13)</f>
        <v>Janeiro</v>
      </c>
      <c r="J638" s="43">
        <f>MONTH(Tabela3[[#This Row],[Data]])</f>
        <v>1</v>
      </c>
      <c r="K638" s="39">
        <f>SUM(E$3:Tabela3[[#This Row],[Valor]])</f>
        <v>366109.5300000006</v>
      </c>
      <c r="L638" s="40">
        <f t="shared" si="9"/>
        <v>2.22375</v>
      </c>
      <c r="M638" s="40"/>
      <c r="N638" s="40"/>
      <c r="O638" s="40"/>
      <c r="P638" s="39"/>
      <c r="Q638" s="39"/>
      <c r="R638" s="39"/>
      <c r="S638" s="39"/>
      <c r="T638" s="39"/>
    </row>
    <row r="639" spans="1:20" x14ac:dyDescent="0.25">
      <c r="A639" t="s">
        <v>190</v>
      </c>
      <c r="B639" s="37">
        <v>13</v>
      </c>
      <c r="C639" t="str">
        <f>_xlfn.XLOOKUP(B639,'Centro de Custo'!A$2:A$45,'Centro de Custo'!B$2:B$45)</f>
        <v>Terceirizados</v>
      </c>
      <c r="E639" s="39">
        <v>-4886.44</v>
      </c>
      <c r="F639" s="40" t="s">
        <v>10</v>
      </c>
      <c r="G639" s="41">
        <v>45663</v>
      </c>
      <c r="H639" s="42">
        <f>YEAR(Tabela3[[#This Row],[Data]])</f>
        <v>2025</v>
      </c>
      <c r="I639" s="42" t="str">
        <f>_xlfn.XLOOKUP(J639,'Centro de Custo'!J$2:J$13,'Centro de Custo'!K$2:K$13)</f>
        <v>Janeiro</v>
      </c>
      <c r="J639" s="43">
        <f>MONTH(Tabela3[[#This Row],[Data]])</f>
        <v>1</v>
      </c>
      <c r="K639" s="39">
        <f>SUM(E$3:Tabela3[[#This Row],[Valor]])</f>
        <v>361223.0900000006</v>
      </c>
      <c r="L639" s="40">
        <f t="shared" si="9"/>
        <v>2.22375</v>
      </c>
      <c r="M639" s="40"/>
      <c r="N639" s="40"/>
      <c r="O639" s="40"/>
      <c r="P639" s="39"/>
      <c r="Q639" s="39"/>
      <c r="R639" s="39"/>
      <c r="S639" s="39"/>
      <c r="T639" s="39"/>
    </row>
    <row r="640" spans="1:20" x14ac:dyDescent="0.25">
      <c r="A640" t="s">
        <v>336</v>
      </c>
      <c r="B640" s="37">
        <v>1</v>
      </c>
      <c r="C640" t="str">
        <f>_xlfn.XLOOKUP(B640,'Centro de Custo'!A$2:A$45,'Centro de Custo'!B$2:B$45)</f>
        <v>Receita de Produto</v>
      </c>
      <c r="E640" s="39">
        <v>3000000</v>
      </c>
      <c r="F640" s="40" t="s">
        <v>10</v>
      </c>
      <c r="G640" s="41">
        <v>45667</v>
      </c>
      <c r="H640" s="42">
        <f>YEAR(Tabela3[[#This Row],[Data]])</f>
        <v>2025</v>
      </c>
      <c r="I640" s="42" t="str">
        <f>_xlfn.XLOOKUP(J640,'Centro de Custo'!J$2:J$13,'Centro de Custo'!K$2:K$13)</f>
        <v>Janeiro</v>
      </c>
      <c r="J640" s="43">
        <f>MONTH(Tabela3[[#This Row],[Data]])</f>
        <v>1</v>
      </c>
      <c r="K640" s="39">
        <f>SUM(E$3:Tabela3[[#This Row],[Valor]])</f>
        <v>3361223.090000001</v>
      </c>
      <c r="L640" s="40">
        <f t="shared" si="9"/>
        <v>2.22375</v>
      </c>
      <c r="M640" s="40"/>
      <c r="N640" s="40"/>
      <c r="O640" s="40"/>
      <c r="P640" s="39"/>
      <c r="Q640" s="39"/>
      <c r="R640" s="39"/>
      <c r="S640" s="39"/>
      <c r="T640" s="39"/>
    </row>
    <row r="641" spans="1:20" x14ac:dyDescent="0.25">
      <c r="A641" t="s">
        <v>344</v>
      </c>
      <c r="B641" s="37">
        <v>40</v>
      </c>
      <c r="C641" t="str">
        <f>_xlfn.XLOOKUP(B641,'Centro de Custo'!A$2:A$45,'Centro de Custo'!B$2:B$45)</f>
        <v>Aplicação Financeira</v>
      </c>
      <c r="E641" s="39">
        <v>-3000000</v>
      </c>
      <c r="F641" s="40" t="s">
        <v>10</v>
      </c>
      <c r="G641" s="41">
        <v>45667</v>
      </c>
      <c r="H641" s="42">
        <f>YEAR(Tabela3[[#This Row],[Data]])</f>
        <v>2025</v>
      </c>
      <c r="I641" s="42" t="str">
        <f>_xlfn.XLOOKUP(J641,'Centro de Custo'!J$2:J$13,'Centro de Custo'!K$2:K$13)</f>
        <v>Janeiro</v>
      </c>
      <c r="J641" s="43">
        <f>MONTH(Tabela3[[#This Row],[Data]])</f>
        <v>1</v>
      </c>
      <c r="K641" s="39">
        <f>SUM(E$3:Tabela3[[#This Row],[Valor]])</f>
        <v>361223.0900000008</v>
      </c>
      <c r="L641" s="40">
        <f t="shared" si="9"/>
        <v>2.22375</v>
      </c>
      <c r="M641" s="40"/>
      <c r="N641" s="40"/>
      <c r="O641" s="40"/>
      <c r="P641" s="39"/>
      <c r="Q641" s="39"/>
      <c r="R641" s="39"/>
      <c r="S641" s="39"/>
      <c r="T641" s="39"/>
    </row>
    <row r="642" spans="1:20" x14ac:dyDescent="0.25">
      <c r="A642" t="s">
        <v>303</v>
      </c>
      <c r="B642" s="37">
        <v>4</v>
      </c>
      <c r="C642" t="str">
        <f>_xlfn.XLOOKUP(B642,'Centro de Custo'!A$2:A$45,'Centro de Custo'!B$2:B$45)</f>
        <v>Reforma</v>
      </c>
      <c r="E642" s="39">
        <v>-1705</v>
      </c>
      <c r="F642" s="40" t="s">
        <v>10</v>
      </c>
      <c r="G642" s="41">
        <v>45672</v>
      </c>
      <c r="H642" s="42">
        <f>YEAR(Tabela3[[#This Row],[Data]])</f>
        <v>2025</v>
      </c>
      <c r="I642" s="42" t="str">
        <f>_xlfn.XLOOKUP(J642,'Centro de Custo'!J$2:J$13,'Centro de Custo'!K$2:K$13)</f>
        <v>Janeiro</v>
      </c>
      <c r="J642" s="43">
        <f>MONTH(Tabela3[[#This Row],[Data]])</f>
        <v>1</v>
      </c>
      <c r="K642" s="39">
        <f>SUM(E$3:Tabela3[[#This Row],[Valor]])</f>
        <v>359518.0900000008</v>
      </c>
      <c r="L642" s="40">
        <f t="shared" si="9"/>
        <v>2.22375</v>
      </c>
      <c r="M642" s="40"/>
      <c r="N642" s="40"/>
      <c r="O642" s="40"/>
      <c r="P642" s="39"/>
      <c r="Q642" s="39"/>
      <c r="R642" s="39"/>
      <c r="S642" s="39"/>
      <c r="T642" s="39"/>
    </row>
    <row r="643" spans="1:20" x14ac:dyDescent="0.25">
      <c r="A643" t="s">
        <v>204</v>
      </c>
      <c r="B643" s="37">
        <v>20</v>
      </c>
      <c r="C643" t="str">
        <f>_xlfn.XLOOKUP(B643,'Centro de Custo'!A$2:A$45,'Centro de Custo'!B$2:B$45)</f>
        <v>Desp. ADM</v>
      </c>
      <c r="E643" s="39">
        <v>-92.82</v>
      </c>
      <c r="F643" s="40" t="s">
        <v>10</v>
      </c>
      <c r="G643" s="41">
        <v>45673</v>
      </c>
      <c r="H643" s="42">
        <f>YEAR(Tabela3[[#This Row],[Data]])</f>
        <v>2025</v>
      </c>
      <c r="I643" s="42" t="str">
        <f>_xlfn.XLOOKUP(J643,'Centro de Custo'!J$2:J$13,'Centro de Custo'!K$2:K$13)</f>
        <v>Janeiro</v>
      </c>
      <c r="J643" s="43">
        <f>MONTH(Tabela3[[#This Row],[Data]])</f>
        <v>1</v>
      </c>
      <c r="K643" s="39">
        <f>SUM(E$3:Tabela3[[#This Row],[Valor]])</f>
        <v>359425.2700000008</v>
      </c>
      <c r="L643" s="40">
        <f t="shared" ref="L643:L706" si="10">17.79/8</f>
        <v>2.22375</v>
      </c>
      <c r="M643" s="40"/>
      <c r="N643" s="40"/>
      <c r="O643" s="40"/>
      <c r="P643" s="39"/>
      <c r="Q643" s="39"/>
      <c r="R643" s="39"/>
      <c r="S643" s="39"/>
      <c r="T643" s="39"/>
    </row>
    <row r="644" spans="1:20" x14ac:dyDescent="0.25">
      <c r="A644" t="s">
        <v>205</v>
      </c>
      <c r="B644" s="37">
        <v>20</v>
      </c>
      <c r="C644" t="str">
        <f>_xlfn.XLOOKUP(B644,'Centro de Custo'!A$2:A$45,'Centro de Custo'!B$2:B$45)</f>
        <v>Desp. ADM</v>
      </c>
      <c r="E644" s="39">
        <v>-703.21</v>
      </c>
      <c r="F644" s="40" t="s">
        <v>10</v>
      </c>
      <c r="G644" s="41">
        <v>45673</v>
      </c>
      <c r="H644" s="42">
        <f>YEAR(Tabela3[[#This Row],[Data]])</f>
        <v>2025</v>
      </c>
      <c r="I644" s="42" t="str">
        <f>_xlfn.XLOOKUP(J644,'Centro de Custo'!J$2:J$13,'Centro de Custo'!K$2:K$13)</f>
        <v>Janeiro</v>
      </c>
      <c r="J644" s="43">
        <f>MONTH(Tabela3[[#This Row],[Data]])</f>
        <v>1</v>
      </c>
      <c r="K644" s="39">
        <f>SUM(E$3:Tabela3[[#This Row],[Valor]])</f>
        <v>358722.06000000075</v>
      </c>
      <c r="L644" s="40">
        <f t="shared" si="10"/>
        <v>2.22375</v>
      </c>
      <c r="M644" s="40"/>
      <c r="N644" s="40"/>
      <c r="O644" s="40"/>
      <c r="P644" s="39"/>
      <c r="Q644" s="39"/>
      <c r="R644" s="39"/>
      <c r="S644" s="39"/>
      <c r="T644" s="39"/>
    </row>
    <row r="645" spans="1:20" x14ac:dyDescent="0.25">
      <c r="A645" t="s">
        <v>356</v>
      </c>
      <c r="B645" s="37">
        <v>10</v>
      </c>
      <c r="C645" t="str">
        <f>_xlfn.XLOOKUP(B645,'Centro de Custo'!A$2:A$45,'Centro de Custo'!B$2:B$45)</f>
        <v>Retirada Mensal</v>
      </c>
      <c r="E645" s="39">
        <v>-3485</v>
      </c>
      <c r="F645" s="40" t="s">
        <v>10</v>
      </c>
      <c r="G645" s="41">
        <v>45673</v>
      </c>
      <c r="H645" s="42">
        <f>YEAR(Tabela3[[#This Row],[Data]])</f>
        <v>2025</v>
      </c>
      <c r="I645" s="42" t="str">
        <f>_xlfn.XLOOKUP(J645,'Centro de Custo'!J$2:J$13,'Centro de Custo'!K$2:K$13)</f>
        <v>Janeiro</v>
      </c>
      <c r="J645" s="43">
        <f>MONTH(Tabela3[[#This Row],[Data]])</f>
        <v>1</v>
      </c>
      <c r="K645" s="39">
        <f>SUM(E$3:Tabela3[[#This Row],[Valor]])</f>
        <v>355237.06000000075</v>
      </c>
      <c r="L645" s="40">
        <f t="shared" si="10"/>
        <v>2.22375</v>
      </c>
      <c r="M645" s="40"/>
      <c r="N645" s="40"/>
      <c r="O645" s="40"/>
      <c r="P645" s="39"/>
      <c r="Q645" s="39"/>
      <c r="R645" s="39"/>
      <c r="S645" s="39"/>
      <c r="T645" s="39"/>
    </row>
    <row r="646" spans="1:20" x14ac:dyDescent="0.25">
      <c r="A646" t="s">
        <v>357</v>
      </c>
      <c r="B646" s="37">
        <v>22</v>
      </c>
      <c r="C646" t="str">
        <f>_xlfn.XLOOKUP(B646,'Centro de Custo'!A$2:A$45,'Centro de Custo'!B$2:B$45)</f>
        <v>Doação</v>
      </c>
      <c r="E646" s="39">
        <v>-6515</v>
      </c>
      <c r="F646" s="40" t="s">
        <v>10</v>
      </c>
      <c r="G646" s="41">
        <v>45673</v>
      </c>
      <c r="H646" s="42">
        <f>YEAR(Tabela3[[#This Row],[Data]])</f>
        <v>2025</v>
      </c>
      <c r="I646" s="42" t="str">
        <f>_xlfn.XLOOKUP(J646,'Centro de Custo'!J$2:J$13,'Centro de Custo'!K$2:K$13)</f>
        <v>Janeiro</v>
      </c>
      <c r="J646" s="43">
        <f>MONTH(Tabela3[[#This Row],[Data]])</f>
        <v>1</v>
      </c>
      <c r="K646" s="39">
        <f>SUM(E$3:Tabela3[[#This Row],[Valor]])</f>
        <v>348722.06000000075</v>
      </c>
      <c r="L646" s="40">
        <f t="shared" si="10"/>
        <v>2.22375</v>
      </c>
      <c r="M646" s="40"/>
      <c r="N646" s="40"/>
      <c r="O646" s="40"/>
      <c r="P646" s="39"/>
      <c r="Q646" s="39"/>
      <c r="R646" s="39"/>
      <c r="S646" s="39"/>
      <c r="T646" s="39"/>
    </row>
    <row r="647" spans="1:20" x14ac:dyDescent="0.25">
      <c r="A647" t="s">
        <v>358</v>
      </c>
      <c r="B647" s="37">
        <v>22</v>
      </c>
      <c r="C647" t="str">
        <f>_xlfn.XLOOKUP(B647,'Centro de Custo'!A$2:A$45,'Centro de Custo'!B$2:B$45)</f>
        <v>Doação</v>
      </c>
      <c r="E647" s="39">
        <v>-10000</v>
      </c>
      <c r="F647" s="40" t="s">
        <v>10</v>
      </c>
      <c r="G647" s="41">
        <v>45673</v>
      </c>
      <c r="H647" s="42">
        <f>YEAR(Tabela3[[#This Row],[Data]])</f>
        <v>2025</v>
      </c>
      <c r="I647" s="42" t="str">
        <f>_xlfn.XLOOKUP(J647,'Centro de Custo'!J$2:J$13,'Centro de Custo'!K$2:K$13)</f>
        <v>Janeiro</v>
      </c>
      <c r="J647" s="43">
        <f>MONTH(Tabela3[[#This Row],[Data]])</f>
        <v>1</v>
      </c>
      <c r="K647" s="39">
        <f>SUM(E$3:Tabela3[[#This Row],[Valor]])</f>
        <v>338722.06000000075</v>
      </c>
      <c r="L647" s="40">
        <f t="shared" si="10"/>
        <v>2.22375</v>
      </c>
      <c r="M647" s="40"/>
      <c r="N647" s="40"/>
      <c r="O647" s="40"/>
      <c r="P647" s="39"/>
      <c r="Q647" s="39"/>
      <c r="R647" s="39"/>
      <c r="S647" s="39"/>
      <c r="T647" s="39"/>
    </row>
    <row r="648" spans="1:20" x14ac:dyDescent="0.25">
      <c r="A648" t="s">
        <v>359</v>
      </c>
      <c r="B648" s="37">
        <v>11</v>
      </c>
      <c r="C648" t="str">
        <f>_xlfn.XLOOKUP(B648,'Centro de Custo'!A$2:A$45,'Centro de Custo'!B$2:B$45)</f>
        <v>Distribuição de Lucro</v>
      </c>
      <c r="E648" s="39">
        <v>-100000</v>
      </c>
      <c r="F648" s="40" t="s">
        <v>10</v>
      </c>
      <c r="G648" s="41">
        <v>45677</v>
      </c>
      <c r="H648" s="42">
        <f>YEAR(Tabela3[[#This Row],[Data]])</f>
        <v>2025</v>
      </c>
      <c r="I648" s="42" t="str">
        <f>_xlfn.XLOOKUP(J648,'Centro de Custo'!J$2:J$13,'Centro de Custo'!K$2:K$13)</f>
        <v>Janeiro</v>
      </c>
      <c r="J648" s="43">
        <f>MONTH(Tabela3[[#This Row],[Data]])</f>
        <v>1</v>
      </c>
      <c r="K648" s="39">
        <f>SUM(E$3:Tabela3[[#This Row],[Valor]])</f>
        <v>238722.06000000075</v>
      </c>
      <c r="L648" s="40">
        <f t="shared" si="10"/>
        <v>2.22375</v>
      </c>
      <c r="M648" s="40"/>
      <c r="N648" s="40"/>
      <c r="O648" s="40"/>
      <c r="P648" s="39"/>
      <c r="Q648" s="39"/>
      <c r="R648" s="39"/>
      <c r="S648" s="39"/>
      <c r="T648" s="39"/>
    </row>
    <row r="649" spans="1:20" x14ac:dyDescent="0.25">
      <c r="A649" t="s">
        <v>360</v>
      </c>
      <c r="B649" s="37">
        <v>4</v>
      </c>
      <c r="C649" t="str">
        <f>_xlfn.XLOOKUP(B649,'Centro de Custo'!A$2:A$45,'Centro de Custo'!B$2:B$45)</f>
        <v>Reforma</v>
      </c>
      <c r="E649" s="39">
        <v>-3000</v>
      </c>
      <c r="F649" s="40" t="s">
        <v>10</v>
      </c>
      <c r="G649" s="41">
        <v>45678</v>
      </c>
      <c r="H649" s="42">
        <f>YEAR(Tabela3[[#This Row],[Data]])</f>
        <v>2025</v>
      </c>
      <c r="I649" s="42" t="str">
        <f>_xlfn.XLOOKUP(J649,'Centro de Custo'!J$2:J$13,'Centro de Custo'!K$2:K$13)</f>
        <v>Janeiro</v>
      </c>
      <c r="J649" s="43">
        <f>MONTH(Tabela3[[#This Row],[Data]])</f>
        <v>1</v>
      </c>
      <c r="K649" s="39">
        <f>SUM(E$3:Tabela3[[#This Row],[Valor]])</f>
        <v>235722.06000000075</v>
      </c>
      <c r="L649" s="40">
        <f t="shared" si="10"/>
        <v>2.22375</v>
      </c>
      <c r="M649" s="40"/>
      <c r="N649" s="40"/>
      <c r="O649" s="40"/>
      <c r="P649" s="39"/>
      <c r="Q649" s="39"/>
      <c r="R649" s="39"/>
      <c r="S649" s="39"/>
      <c r="T649" s="39"/>
    </row>
    <row r="650" spans="1:20" x14ac:dyDescent="0.25">
      <c r="A650" t="s">
        <v>224</v>
      </c>
      <c r="B650" s="37">
        <v>20</v>
      </c>
      <c r="C650" t="str">
        <f>_xlfn.XLOOKUP(B650,'Centro de Custo'!A$2:A$45,'Centro de Custo'!B$2:B$45)</f>
        <v>Desp. ADM</v>
      </c>
      <c r="E650" s="39">
        <v>-25.85</v>
      </c>
      <c r="F650" s="40" t="s">
        <v>10</v>
      </c>
      <c r="G650" s="41">
        <v>45684</v>
      </c>
      <c r="H650" s="42">
        <f>YEAR(Tabela3[[#This Row],[Data]])</f>
        <v>2025</v>
      </c>
      <c r="I650" s="42" t="str">
        <f>_xlfn.XLOOKUP(J650,'Centro de Custo'!J$2:J$13,'Centro de Custo'!K$2:K$13)</f>
        <v>Janeiro</v>
      </c>
      <c r="J650" s="43">
        <f>MONTH(Tabela3[[#This Row],[Data]])</f>
        <v>1</v>
      </c>
      <c r="K650" s="39">
        <f>SUM(E$3:Tabela3[[#This Row],[Valor]])</f>
        <v>235696.21000000075</v>
      </c>
      <c r="L650" s="40">
        <f t="shared" si="10"/>
        <v>2.22375</v>
      </c>
      <c r="M650" s="40"/>
      <c r="N650" s="40"/>
      <c r="O650" s="40"/>
      <c r="P650" s="39"/>
      <c r="Q650" s="39"/>
      <c r="R650" s="39"/>
      <c r="S650" s="39"/>
      <c r="T650" s="39"/>
    </row>
    <row r="651" spans="1:20" x14ac:dyDescent="0.25">
      <c r="A651" t="s">
        <v>344</v>
      </c>
      <c r="B651" s="37">
        <v>41</v>
      </c>
      <c r="C651" t="str">
        <f>_xlfn.XLOOKUP(B651,'Centro de Custo'!A$2:A$45,'Centro de Custo'!B$2:B$45)</f>
        <v>Resgate Financeiro</v>
      </c>
      <c r="E651" s="39">
        <v>1400183.75</v>
      </c>
      <c r="F651" s="40" t="s">
        <v>10</v>
      </c>
      <c r="G651" s="41">
        <v>45687</v>
      </c>
      <c r="H651" s="42">
        <f>YEAR(Tabela3[[#This Row],[Data]])</f>
        <v>2025</v>
      </c>
      <c r="I651" s="42" t="str">
        <f>_xlfn.XLOOKUP(J651,'Centro de Custo'!J$2:J$13,'Centro de Custo'!K$2:K$13)</f>
        <v>Janeiro</v>
      </c>
      <c r="J651" s="43">
        <f>MONTH(Tabela3[[#This Row],[Data]])</f>
        <v>1</v>
      </c>
      <c r="K651" s="39">
        <f>SUM(E$3:Tabela3[[#This Row],[Valor]])</f>
        <v>1635879.9600000007</v>
      </c>
      <c r="L651" s="40">
        <f t="shared" si="10"/>
        <v>2.22375</v>
      </c>
      <c r="M651" s="40"/>
      <c r="N651" s="40"/>
      <c r="O651" s="40"/>
      <c r="P651" s="39"/>
      <c r="Q651" s="39"/>
      <c r="R651" s="39"/>
      <c r="S651" s="39"/>
      <c r="T651" s="39"/>
    </row>
    <row r="652" spans="1:20" x14ac:dyDescent="0.25">
      <c r="A652" t="s">
        <v>361</v>
      </c>
      <c r="B652" s="37">
        <v>11</v>
      </c>
      <c r="C652" t="str">
        <f>_xlfn.XLOOKUP(B652,'Centro de Custo'!A$2:A$45,'Centro de Custo'!B$2:B$45)</f>
        <v>Distribuição de Lucro</v>
      </c>
      <c r="E652" s="39">
        <v>-1398100</v>
      </c>
      <c r="F652" s="40" t="s">
        <v>10</v>
      </c>
      <c r="G652" s="41">
        <v>45687</v>
      </c>
      <c r="H652" s="42">
        <f>YEAR(Tabela3[[#This Row],[Data]])</f>
        <v>2025</v>
      </c>
      <c r="I652" s="42" t="str">
        <f>_xlfn.XLOOKUP(J652,'Centro de Custo'!J$2:J$13,'Centro de Custo'!K$2:K$13)</f>
        <v>Janeiro</v>
      </c>
      <c r="J652" s="43">
        <f>MONTH(Tabela3[[#This Row],[Data]])</f>
        <v>1</v>
      </c>
      <c r="K652" s="39">
        <f>SUM(E$3:Tabela3[[#This Row],[Valor]])</f>
        <v>237779.96000000066</v>
      </c>
      <c r="L652" s="40">
        <f t="shared" si="10"/>
        <v>2.22375</v>
      </c>
      <c r="M652" s="40"/>
      <c r="N652" s="40"/>
      <c r="O652" s="40"/>
      <c r="P652" s="39"/>
      <c r="Q652" s="39"/>
      <c r="R652" s="39"/>
      <c r="S652" s="39"/>
      <c r="T652" s="39"/>
    </row>
    <row r="653" spans="1:20" x14ac:dyDescent="0.25">
      <c r="A653" t="s">
        <v>362</v>
      </c>
      <c r="B653" s="37">
        <v>4</v>
      </c>
      <c r="C653" t="str">
        <f>_xlfn.XLOOKUP(B653,'Centro de Custo'!A$2:A$45,'Centro de Custo'!B$2:B$45)</f>
        <v>Reforma</v>
      </c>
      <c r="E653" s="39">
        <v>-1323</v>
      </c>
      <c r="F653" s="40" t="s">
        <v>10</v>
      </c>
      <c r="G653" s="41">
        <v>45688</v>
      </c>
      <c r="H653" s="42">
        <f>YEAR(Tabela3[[#This Row],[Data]])</f>
        <v>2025</v>
      </c>
      <c r="I653" s="42" t="str">
        <f>_xlfn.XLOOKUP(J653,'Centro de Custo'!J$2:J$13,'Centro de Custo'!K$2:K$13)</f>
        <v>Janeiro</v>
      </c>
      <c r="J653" s="43">
        <f>MONTH(Tabela3[[#This Row],[Data]])</f>
        <v>1</v>
      </c>
      <c r="K653" s="39">
        <f>SUM(E$3:Tabela3[[#This Row],[Valor]])</f>
        <v>236456.96000000066</v>
      </c>
      <c r="L653" s="40">
        <f t="shared" si="10"/>
        <v>2.22375</v>
      </c>
      <c r="M653" s="40"/>
      <c r="N653" s="40"/>
      <c r="O653" s="40"/>
      <c r="P653" s="39"/>
      <c r="Q653" s="39"/>
      <c r="R653" s="39"/>
      <c r="S653" s="39"/>
      <c r="T653" s="39"/>
    </row>
    <row r="654" spans="1:20" x14ac:dyDescent="0.25">
      <c r="A654" t="s">
        <v>244</v>
      </c>
      <c r="B654" s="37">
        <v>13</v>
      </c>
      <c r="C654" t="str">
        <f>_xlfn.XLOOKUP(B654,'Centro de Custo'!A$2:A$45,'Centro de Custo'!B$2:B$45)</f>
        <v>Terceirizados</v>
      </c>
      <c r="E654" s="39">
        <v>-501.7</v>
      </c>
      <c r="F654" s="40" t="s">
        <v>10</v>
      </c>
      <c r="G654" s="41">
        <v>45691</v>
      </c>
      <c r="H654" s="42">
        <f>YEAR(Tabela3[[#This Row],[Data]])</f>
        <v>2025</v>
      </c>
      <c r="I654" s="42" t="str">
        <f>_xlfn.XLOOKUP(J654,'Centro de Custo'!J$2:J$13,'Centro de Custo'!K$2:K$13)</f>
        <v>Fevereiro</v>
      </c>
      <c r="J654" s="43">
        <f>MONTH(Tabela3[[#This Row],[Data]])</f>
        <v>2</v>
      </c>
      <c r="K654" s="39">
        <f>SUM(E$3:Tabela3[[#This Row],[Valor]])</f>
        <v>235955.26000000065</v>
      </c>
      <c r="L654" s="40">
        <f t="shared" si="10"/>
        <v>2.22375</v>
      </c>
      <c r="M654" s="40"/>
      <c r="N654" s="40"/>
      <c r="O654" s="40"/>
      <c r="P654" s="39"/>
      <c r="Q654" s="39"/>
      <c r="R654" s="39"/>
      <c r="S654" s="39"/>
      <c r="T654" s="39"/>
    </row>
    <row r="655" spans="1:20" x14ac:dyDescent="0.25">
      <c r="A655" t="s">
        <v>198</v>
      </c>
      <c r="B655" s="37">
        <v>20</v>
      </c>
      <c r="C655" t="str">
        <f>_xlfn.XLOOKUP(B655,'Centro de Custo'!A$2:A$45,'Centro de Custo'!B$2:B$45)</f>
        <v>Desp. ADM</v>
      </c>
      <c r="E655" s="39">
        <v>-4141.91</v>
      </c>
      <c r="F655" s="40" t="s">
        <v>10</v>
      </c>
      <c r="G655" s="41">
        <v>45691</v>
      </c>
      <c r="H655" s="42">
        <f>YEAR(Tabela3[[#This Row],[Data]])</f>
        <v>2025</v>
      </c>
      <c r="I655" s="42" t="str">
        <f>_xlfn.XLOOKUP(J655,'Centro de Custo'!J$2:J$13,'Centro de Custo'!K$2:K$13)</f>
        <v>Fevereiro</v>
      </c>
      <c r="J655" s="43">
        <f>MONTH(Tabela3[[#This Row],[Data]])</f>
        <v>2</v>
      </c>
      <c r="K655" s="39">
        <f>SUM(E$3:Tabela3[[#This Row],[Valor]])</f>
        <v>231813.35000000065</v>
      </c>
      <c r="L655" s="40">
        <f t="shared" si="10"/>
        <v>2.22375</v>
      </c>
      <c r="M655" s="40"/>
      <c r="N655" s="40"/>
      <c r="O655" s="40"/>
      <c r="P655" s="39"/>
      <c r="Q655" s="39"/>
      <c r="R655" s="39"/>
      <c r="S655" s="39"/>
      <c r="T655" s="39"/>
    </row>
    <row r="656" spans="1:20" x14ac:dyDescent="0.25">
      <c r="A656" t="s">
        <v>309</v>
      </c>
      <c r="B656" s="37">
        <v>4</v>
      </c>
      <c r="C656" t="str">
        <f>_xlfn.XLOOKUP(B656,'Centro de Custo'!A$2:A$45,'Centro de Custo'!B$2:B$45)</f>
        <v>Reforma</v>
      </c>
      <c r="D656" t="s">
        <v>363</v>
      </c>
      <c r="E656" s="39">
        <v>-35327.25</v>
      </c>
      <c r="F656" s="40" t="s">
        <v>10</v>
      </c>
      <c r="G656" s="41">
        <v>45691</v>
      </c>
      <c r="H656" s="42">
        <f>YEAR(Tabela3[[#This Row],[Data]])</f>
        <v>2025</v>
      </c>
      <c r="I656" s="42" t="str">
        <f>_xlfn.XLOOKUP(J656,'Centro de Custo'!J$2:J$13,'Centro de Custo'!K$2:K$13)</f>
        <v>Fevereiro</v>
      </c>
      <c r="J656" s="43">
        <f>MONTH(Tabela3[[#This Row],[Data]])</f>
        <v>2</v>
      </c>
      <c r="K656" s="39">
        <f>SUM(E$3:Tabela3[[#This Row],[Valor]])</f>
        <v>196486.10000000065</v>
      </c>
      <c r="L656" s="40">
        <f t="shared" si="10"/>
        <v>2.22375</v>
      </c>
      <c r="M656" s="40"/>
      <c r="N656" s="40"/>
      <c r="O656" s="40"/>
      <c r="P656" s="39"/>
      <c r="Q656" s="39"/>
      <c r="R656" s="39"/>
      <c r="S656" s="39"/>
      <c r="T656" s="39"/>
    </row>
    <row r="657" spans="1:20" x14ac:dyDescent="0.25">
      <c r="A657" t="s">
        <v>344</v>
      </c>
      <c r="B657" s="37">
        <v>41</v>
      </c>
      <c r="C657" t="str">
        <f>_xlfn.XLOOKUP(B657,'Centro de Custo'!A$2:A$45,'Centro de Custo'!B$2:B$45)</f>
        <v>Resgate Financeiro</v>
      </c>
      <c r="E657" s="39">
        <v>300054.73</v>
      </c>
      <c r="F657" s="40" t="s">
        <v>10</v>
      </c>
      <c r="G657" s="41">
        <v>45694</v>
      </c>
      <c r="H657" s="42">
        <f>YEAR(Tabela3[[#This Row],[Data]])</f>
        <v>2025</v>
      </c>
      <c r="I657" s="42" t="str">
        <f>_xlfn.XLOOKUP(J657,'Centro de Custo'!J$2:J$13,'Centro de Custo'!K$2:K$13)</f>
        <v>Fevereiro</v>
      </c>
      <c r="J657" s="43">
        <f>MONTH(Tabela3[[#This Row],[Data]])</f>
        <v>2</v>
      </c>
      <c r="K657" s="39">
        <f>SUM(E$3:Tabela3[[#This Row],[Valor]])</f>
        <v>496540.83000000066</v>
      </c>
      <c r="L657" s="40">
        <f t="shared" si="10"/>
        <v>2.22375</v>
      </c>
      <c r="M657" s="40"/>
      <c r="N657" s="40"/>
      <c r="O657" s="40"/>
      <c r="P657" s="39"/>
      <c r="Q657" s="39"/>
      <c r="R657" s="39"/>
      <c r="S657" s="39"/>
      <c r="T657" s="39"/>
    </row>
    <row r="658" spans="1:20" x14ac:dyDescent="0.25">
      <c r="A658" t="s">
        <v>364</v>
      </c>
      <c r="B658" s="37">
        <v>17</v>
      </c>
      <c r="C658" t="str">
        <f>_xlfn.XLOOKUP(B658,'Centro de Custo'!A$2:A$45,'Centro de Custo'!B$2:B$45)</f>
        <v>Outros (Socios)</v>
      </c>
      <c r="E658" s="39">
        <v>-55.09</v>
      </c>
      <c r="F658" s="40" t="s">
        <v>10</v>
      </c>
      <c r="G658" s="41">
        <v>45694</v>
      </c>
      <c r="H658" s="42">
        <f>YEAR(Tabela3[[#This Row],[Data]])</f>
        <v>2025</v>
      </c>
      <c r="I658" s="42" t="str">
        <f>_xlfn.XLOOKUP(J658,'Centro de Custo'!J$2:J$13,'Centro de Custo'!K$2:K$13)</f>
        <v>Fevereiro</v>
      </c>
      <c r="J658" s="43">
        <f>MONTH(Tabela3[[#This Row],[Data]])</f>
        <v>2</v>
      </c>
      <c r="K658" s="39">
        <f>SUM(E$3:Tabela3[[#This Row],[Valor]])</f>
        <v>496485.74000000063</v>
      </c>
      <c r="L658" s="40">
        <f t="shared" si="10"/>
        <v>2.22375</v>
      </c>
      <c r="M658" s="40"/>
      <c r="N658" s="40"/>
      <c r="O658" s="40"/>
      <c r="P658" s="39"/>
      <c r="Q658" s="39"/>
      <c r="R658" s="39"/>
      <c r="S658" s="39"/>
      <c r="T658" s="39"/>
    </row>
    <row r="659" spans="1:20" x14ac:dyDescent="0.25">
      <c r="A659" t="s">
        <v>167</v>
      </c>
      <c r="B659" s="37">
        <v>20</v>
      </c>
      <c r="C659" t="str">
        <f>_xlfn.XLOOKUP(B659,'Centro de Custo'!A$2:A$45,'Centro de Custo'!B$2:B$45)</f>
        <v>Desp. ADM</v>
      </c>
      <c r="E659" s="39">
        <v>-490.56</v>
      </c>
      <c r="F659" s="40" t="s">
        <v>10</v>
      </c>
      <c r="G659" s="41">
        <v>45694</v>
      </c>
      <c r="H659" s="42">
        <f>YEAR(Tabela3[[#This Row],[Data]])</f>
        <v>2025</v>
      </c>
      <c r="I659" s="42" t="str">
        <f>_xlfn.XLOOKUP(J659,'Centro de Custo'!J$2:J$13,'Centro de Custo'!K$2:K$13)</f>
        <v>Fevereiro</v>
      </c>
      <c r="J659" s="43">
        <f>MONTH(Tabela3[[#This Row],[Data]])</f>
        <v>2</v>
      </c>
      <c r="K659" s="39">
        <f>SUM(E$3:Tabela3[[#This Row],[Valor]])</f>
        <v>495995.18000000063</v>
      </c>
      <c r="L659" s="40">
        <f t="shared" si="10"/>
        <v>2.22375</v>
      </c>
      <c r="M659" s="40"/>
      <c r="N659" s="40"/>
      <c r="O659" s="40"/>
      <c r="P659" s="39"/>
      <c r="Q659" s="39"/>
      <c r="R659" s="39"/>
      <c r="S659" s="39"/>
      <c r="T659" s="39"/>
    </row>
    <row r="660" spans="1:20" x14ac:dyDescent="0.25">
      <c r="A660" t="s">
        <v>349</v>
      </c>
      <c r="B660" s="37">
        <v>5</v>
      </c>
      <c r="C660" t="str">
        <f>_xlfn.XLOOKUP(B660,'Centro de Custo'!A$2:A$45,'Centro de Custo'!B$2:B$45)</f>
        <v>Consultoria</v>
      </c>
      <c r="E660" s="39">
        <v>-1000</v>
      </c>
      <c r="F660" s="40" t="s">
        <v>10</v>
      </c>
      <c r="G660" s="41">
        <v>45694</v>
      </c>
      <c r="H660" s="42">
        <f>YEAR(Tabela3[[#This Row],[Data]])</f>
        <v>2025</v>
      </c>
      <c r="I660" s="42" t="str">
        <f>_xlfn.XLOOKUP(J660,'Centro de Custo'!J$2:J$13,'Centro de Custo'!K$2:K$13)</f>
        <v>Fevereiro</v>
      </c>
      <c r="J660" s="43">
        <f>MONTH(Tabela3[[#This Row],[Data]])</f>
        <v>2</v>
      </c>
      <c r="K660" s="39">
        <f>SUM(E$3:Tabela3[[#This Row],[Valor]])</f>
        <v>494995.18000000063</v>
      </c>
      <c r="L660" s="40">
        <f t="shared" si="10"/>
        <v>2.22375</v>
      </c>
      <c r="M660" s="40"/>
      <c r="N660" s="40"/>
      <c r="O660" s="40"/>
      <c r="P660" s="39"/>
      <c r="Q660" s="39"/>
      <c r="R660" s="39"/>
      <c r="S660" s="39"/>
      <c r="T660" s="39"/>
    </row>
    <row r="661" spans="1:20" x14ac:dyDescent="0.25">
      <c r="A661" t="s">
        <v>365</v>
      </c>
      <c r="B661" s="37">
        <v>17</v>
      </c>
      <c r="C661" t="str">
        <f>_xlfn.XLOOKUP(B661,'Centro de Custo'!A$2:A$45,'Centro de Custo'!B$2:B$45)</f>
        <v>Outros (Socios)</v>
      </c>
      <c r="E661" s="39">
        <v>-1534.81</v>
      </c>
      <c r="F661" s="40" t="s">
        <v>10</v>
      </c>
      <c r="G661" s="41">
        <v>45694</v>
      </c>
      <c r="H661" s="42">
        <f>YEAR(Tabela3[[#This Row],[Data]])</f>
        <v>2025</v>
      </c>
      <c r="I661" s="42" t="str">
        <f>_xlfn.XLOOKUP(J661,'Centro de Custo'!J$2:J$13,'Centro de Custo'!K$2:K$13)</f>
        <v>Fevereiro</v>
      </c>
      <c r="J661" s="43">
        <f>MONTH(Tabela3[[#This Row],[Data]])</f>
        <v>2</v>
      </c>
      <c r="K661" s="39">
        <f>SUM(E$3:Tabela3[[#This Row],[Valor]])</f>
        <v>493460.37000000064</v>
      </c>
      <c r="L661" s="40">
        <f t="shared" si="10"/>
        <v>2.22375</v>
      </c>
      <c r="M661" s="40"/>
      <c r="N661" s="40"/>
      <c r="O661" s="40"/>
      <c r="P661" s="39"/>
      <c r="Q661" s="39"/>
      <c r="R661" s="39"/>
      <c r="S661" s="39"/>
      <c r="T661" s="39"/>
    </row>
    <row r="662" spans="1:20" x14ac:dyDescent="0.25">
      <c r="A662" t="s">
        <v>326</v>
      </c>
      <c r="B662" s="37">
        <v>17</v>
      </c>
      <c r="C662" t="str">
        <f>_xlfn.XLOOKUP(B662,'Centro de Custo'!A$2:A$45,'Centro de Custo'!B$2:B$45)</f>
        <v>Outros (Socios)</v>
      </c>
      <c r="E662" s="39">
        <v>-1720</v>
      </c>
      <c r="F662" s="40" t="s">
        <v>10</v>
      </c>
      <c r="G662" s="41">
        <v>45694</v>
      </c>
      <c r="H662" s="42">
        <f>YEAR(Tabela3[[#This Row],[Data]])</f>
        <v>2025</v>
      </c>
      <c r="I662" s="42" t="str">
        <f>_xlfn.XLOOKUP(J662,'Centro de Custo'!J$2:J$13,'Centro de Custo'!K$2:K$13)</f>
        <v>Fevereiro</v>
      </c>
      <c r="J662" s="43">
        <f>MONTH(Tabela3[[#This Row],[Data]])</f>
        <v>2</v>
      </c>
      <c r="K662" s="39">
        <f>SUM(E$3:Tabela3[[#This Row],[Valor]])</f>
        <v>491740.37000000064</v>
      </c>
      <c r="L662" s="40">
        <f t="shared" si="10"/>
        <v>2.22375</v>
      </c>
      <c r="M662" s="40"/>
      <c r="N662" s="40"/>
      <c r="O662" s="40"/>
      <c r="P662" s="39"/>
      <c r="Q662" s="39"/>
      <c r="R662" s="39"/>
      <c r="S662" s="39"/>
      <c r="T662" s="39"/>
    </row>
    <row r="663" spans="1:20" x14ac:dyDescent="0.25">
      <c r="A663" t="s">
        <v>327</v>
      </c>
      <c r="B663" s="37">
        <v>17</v>
      </c>
      <c r="C663" t="str">
        <f>_xlfn.XLOOKUP(B663,'Centro de Custo'!A$2:A$45,'Centro de Custo'!B$2:B$45)</f>
        <v>Outros (Socios)</v>
      </c>
      <c r="E663" s="39">
        <v>-1720</v>
      </c>
      <c r="F663" s="40" t="s">
        <v>10</v>
      </c>
      <c r="G663" s="41">
        <v>45694</v>
      </c>
      <c r="H663" s="42">
        <f>YEAR(Tabela3[[#This Row],[Data]])</f>
        <v>2025</v>
      </c>
      <c r="I663" s="42" t="str">
        <f>_xlfn.XLOOKUP(J663,'Centro de Custo'!J$2:J$13,'Centro de Custo'!K$2:K$13)</f>
        <v>Fevereiro</v>
      </c>
      <c r="J663" s="43">
        <f>MONTH(Tabela3[[#This Row],[Data]])</f>
        <v>2</v>
      </c>
      <c r="K663" s="39">
        <f>SUM(E$3:Tabela3[[#This Row],[Valor]])</f>
        <v>490020.37000000064</v>
      </c>
      <c r="L663" s="40">
        <f t="shared" si="10"/>
        <v>2.22375</v>
      </c>
      <c r="M663" s="40"/>
      <c r="N663" s="40"/>
      <c r="O663" s="40"/>
      <c r="P663" s="39"/>
      <c r="Q663" s="39"/>
      <c r="R663" s="39"/>
      <c r="S663" s="39"/>
      <c r="T663" s="39"/>
    </row>
    <row r="664" spans="1:20" x14ac:dyDescent="0.25">
      <c r="A664" t="s">
        <v>366</v>
      </c>
      <c r="B664" s="37">
        <v>17</v>
      </c>
      <c r="C664" t="str">
        <f>_xlfn.XLOOKUP(B664,'Centro de Custo'!A$2:A$45,'Centro de Custo'!B$2:B$45)</f>
        <v>Outros (Socios)</v>
      </c>
      <c r="E664" s="39">
        <v>-1720</v>
      </c>
      <c r="F664" s="40" t="s">
        <v>10</v>
      </c>
      <c r="G664" s="41">
        <v>45694</v>
      </c>
      <c r="H664" s="42">
        <f>YEAR(Tabela3[[#This Row],[Data]])</f>
        <v>2025</v>
      </c>
      <c r="I664" s="42" t="str">
        <f>_xlfn.XLOOKUP(J664,'Centro de Custo'!J$2:J$13,'Centro de Custo'!K$2:K$13)</f>
        <v>Fevereiro</v>
      </c>
      <c r="J664" s="43">
        <f>MONTH(Tabela3[[#This Row],[Data]])</f>
        <v>2</v>
      </c>
      <c r="K664" s="39">
        <f>SUM(E$3:Tabela3[[#This Row],[Valor]])</f>
        <v>488300.37000000064</v>
      </c>
      <c r="L664" s="40">
        <f t="shared" si="10"/>
        <v>2.22375</v>
      </c>
      <c r="M664" s="40"/>
      <c r="N664" s="40"/>
      <c r="O664" s="40"/>
      <c r="P664" s="39"/>
      <c r="Q664" s="39"/>
      <c r="R664" s="39"/>
      <c r="S664" s="39"/>
      <c r="T664" s="39"/>
    </row>
    <row r="665" spans="1:20" x14ac:dyDescent="0.25">
      <c r="A665" t="s">
        <v>328</v>
      </c>
      <c r="B665" s="37">
        <v>17</v>
      </c>
      <c r="C665" t="str">
        <f>_xlfn.XLOOKUP(B665,'Centro de Custo'!A$2:A$45,'Centro de Custo'!B$2:B$45)</f>
        <v>Outros (Socios)</v>
      </c>
      <c r="E665" s="39">
        <v>-1780</v>
      </c>
      <c r="F665" s="40" t="s">
        <v>10</v>
      </c>
      <c r="G665" s="41">
        <v>45694</v>
      </c>
      <c r="H665" s="42">
        <f>YEAR(Tabela3[[#This Row],[Data]])</f>
        <v>2025</v>
      </c>
      <c r="I665" s="42" t="str">
        <f>_xlfn.XLOOKUP(J665,'Centro de Custo'!J$2:J$13,'Centro de Custo'!K$2:K$13)</f>
        <v>Fevereiro</v>
      </c>
      <c r="J665" s="43">
        <f>MONTH(Tabela3[[#This Row],[Data]])</f>
        <v>2</v>
      </c>
      <c r="K665" s="39">
        <f>SUM(E$3:Tabela3[[#This Row],[Valor]])</f>
        <v>486520.37000000064</v>
      </c>
      <c r="L665" s="40">
        <f t="shared" si="10"/>
        <v>2.22375</v>
      </c>
      <c r="M665" s="40"/>
      <c r="N665" s="40"/>
      <c r="O665" s="40"/>
      <c r="P665" s="39"/>
      <c r="Q665" s="39"/>
      <c r="R665" s="39"/>
      <c r="S665" s="39"/>
      <c r="T665" s="39"/>
    </row>
    <row r="666" spans="1:20" x14ac:dyDescent="0.25">
      <c r="A666" t="s">
        <v>367</v>
      </c>
      <c r="B666" s="37">
        <v>22</v>
      </c>
      <c r="C666" t="str">
        <f>_xlfn.XLOOKUP(B666,'Centro de Custo'!A$2:A$45,'Centro de Custo'!B$2:B$45)</f>
        <v>Doação</v>
      </c>
      <c r="E666" s="39">
        <v>-4613</v>
      </c>
      <c r="F666" s="40" t="s">
        <v>10</v>
      </c>
      <c r="G666" s="41">
        <v>45694</v>
      </c>
      <c r="H666" s="42">
        <f>YEAR(Tabela3[[#This Row],[Data]])</f>
        <v>2025</v>
      </c>
      <c r="I666" s="42" t="str">
        <f>_xlfn.XLOOKUP(J666,'Centro de Custo'!J$2:J$13,'Centro de Custo'!K$2:K$13)</f>
        <v>Fevereiro</v>
      </c>
      <c r="J666" s="43">
        <f>MONTH(Tabela3[[#This Row],[Data]])</f>
        <v>2</v>
      </c>
      <c r="K666" s="39">
        <f>SUM(E$3:Tabela3[[#This Row],[Valor]])</f>
        <v>481907.37000000064</v>
      </c>
      <c r="L666" s="40">
        <f t="shared" si="10"/>
        <v>2.22375</v>
      </c>
      <c r="M666" s="40"/>
      <c r="N666" s="40"/>
      <c r="O666" s="40"/>
      <c r="P666" s="39"/>
      <c r="Q666" s="39"/>
      <c r="R666" s="39"/>
      <c r="S666" s="39"/>
      <c r="T666" s="39"/>
    </row>
    <row r="667" spans="1:20" x14ac:dyDescent="0.25">
      <c r="A667" t="s">
        <v>368</v>
      </c>
      <c r="B667" s="37">
        <v>22</v>
      </c>
      <c r="C667" t="str">
        <f>_xlfn.XLOOKUP(B667,'Centro de Custo'!A$2:A$45,'Centro de Custo'!B$2:B$45)</f>
        <v>Doação</v>
      </c>
      <c r="E667" s="39">
        <v>-6000</v>
      </c>
      <c r="F667" s="40" t="s">
        <v>10</v>
      </c>
      <c r="G667" s="41">
        <v>45694</v>
      </c>
      <c r="H667" s="42">
        <f>YEAR(Tabela3[[#This Row],[Data]])</f>
        <v>2025</v>
      </c>
      <c r="I667" s="42" t="str">
        <f>_xlfn.XLOOKUP(J667,'Centro de Custo'!J$2:J$13,'Centro de Custo'!K$2:K$13)</f>
        <v>Fevereiro</v>
      </c>
      <c r="J667" s="43">
        <f>MONTH(Tabela3[[#This Row],[Data]])</f>
        <v>2</v>
      </c>
      <c r="K667" s="39">
        <f>SUM(E$3:Tabela3[[#This Row],[Valor]])</f>
        <v>475907.37000000064</v>
      </c>
      <c r="L667" s="40">
        <f t="shared" si="10"/>
        <v>2.22375</v>
      </c>
      <c r="M667" s="40"/>
      <c r="N667" s="40"/>
      <c r="O667" s="40"/>
      <c r="P667" s="39"/>
      <c r="Q667" s="39"/>
      <c r="R667" s="39"/>
      <c r="S667" s="39"/>
      <c r="T667" s="39"/>
    </row>
    <row r="668" spans="1:20" x14ac:dyDescent="0.25">
      <c r="A668" t="s">
        <v>369</v>
      </c>
      <c r="B668" s="37">
        <v>22</v>
      </c>
      <c r="C668" t="str">
        <f>_xlfn.XLOOKUP(B668,'Centro de Custo'!A$2:A$45,'Centro de Custo'!B$2:B$45)</f>
        <v>Doação</v>
      </c>
      <c r="E668" s="39">
        <v>-6515</v>
      </c>
      <c r="F668" s="40" t="s">
        <v>10</v>
      </c>
      <c r="G668" s="41">
        <v>45694</v>
      </c>
      <c r="H668" s="42">
        <f>YEAR(Tabela3[[#This Row],[Data]])</f>
        <v>2025</v>
      </c>
      <c r="I668" s="42" t="str">
        <f>_xlfn.XLOOKUP(J668,'Centro de Custo'!J$2:J$13,'Centro de Custo'!K$2:K$13)</f>
        <v>Fevereiro</v>
      </c>
      <c r="J668" s="43">
        <f>MONTH(Tabela3[[#This Row],[Data]])</f>
        <v>2</v>
      </c>
      <c r="K668" s="39">
        <f>SUM(E$3:Tabela3[[#This Row],[Valor]])</f>
        <v>469392.37000000064</v>
      </c>
      <c r="L668" s="40">
        <f t="shared" si="10"/>
        <v>2.22375</v>
      </c>
      <c r="M668" s="40"/>
      <c r="N668" s="40"/>
      <c r="O668" s="40"/>
      <c r="P668" s="39"/>
      <c r="Q668" s="39"/>
      <c r="R668" s="39"/>
      <c r="S668" s="39"/>
      <c r="T668" s="39"/>
    </row>
    <row r="669" spans="1:20" x14ac:dyDescent="0.25">
      <c r="A669" t="s">
        <v>370</v>
      </c>
      <c r="B669" s="37">
        <v>10</v>
      </c>
      <c r="C669" t="str">
        <f>_xlfn.XLOOKUP(B669,'Centro de Custo'!A$2:A$45,'Centro de Custo'!B$2:B$45)</f>
        <v>Retirada Mensal</v>
      </c>
      <c r="E669" s="39">
        <v>-7000</v>
      </c>
      <c r="F669" s="40" t="s">
        <v>10</v>
      </c>
      <c r="G669" s="41">
        <v>45694</v>
      </c>
      <c r="H669" s="42">
        <f>YEAR(Tabela3[[#This Row],[Data]])</f>
        <v>2025</v>
      </c>
      <c r="I669" s="42" t="str">
        <f>_xlfn.XLOOKUP(J669,'Centro de Custo'!J$2:J$13,'Centro de Custo'!K$2:K$13)</f>
        <v>Fevereiro</v>
      </c>
      <c r="J669" s="43">
        <f>MONTH(Tabela3[[#This Row],[Data]])</f>
        <v>2</v>
      </c>
      <c r="K669" s="39">
        <f>SUM(E$3:Tabela3[[#This Row],[Valor]])</f>
        <v>462392.37000000064</v>
      </c>
      <c r="L669" s="40">
        <f t="shared" si="10"/>
        <v>2.22375</v>
      </c>
      <c r="M669" s="40"/>
      <c r="N669" s="40"/>
      <c r="O669" s="40"/>
      <c r="P669" s="39"/>
      <c r="Q669" s="39"/>
      <c r="R669" s="39"/>
      <c r="S669" s="39"/>
      <c r="T669" s="39"/>
    </row>
    <row r="670" spans="1:20" x14ac:dyDescent="0.25">
      <c r="A670" t="s">
        <v>371</v>
      </c>
      <c r="B670" s="37">
        <v>22</v>
      </c>
      <c r="C670" t="str">
        <f>_xlfn.XLOOKUP(B670,'Centro de Custo'!A$2:A$45,'Centro de Custo'!B$2:B$45)</f>
        <v>Doação</v>
      </c>
      <c r="E670" s="39">
        <v>-8856</v>
      </c>
      <c r="F670" s="40" t="s">
        <v>10</v>
      </c>
      <c r="G670" s="41">
        <v>45694</v>
      </c>
      <c r="H670" s="42">
        <f>YEAR(Tabela3[[#This Row],[Data]])</f>
        <v>2025</v>
      </c>
      <c r="I670" s="42" t="str">
        <f>_xlfn.XLOOKUP(J670,'Centro de Custo'!J$2:J$13,'Centro de Custo'!K$2:K$13)</f>
        <v>Fevereiro</v>
      </c>
      <c r="J670" s="43">
        <f>MONTH(Tabela3[[#This Row],[Data]])</f>
        <v>2</v>
      </c>
      <c r="K670" s="39">
        <f>SUM(E$3:Tabela3[[#This Row],[Valor]])</f>
        <v>453536.37000000064</v>
      </c>
      <c r="L670" s="40">
        <f t="shared" si="10"/>
        <v>2.22375</v>
      </c>
      <c r="M670" s="40"/>
      <c r="N670" s="40"/>
      <c r="O670" s="40"/>
      <c r="P670" s="39"/>
      <c r="Q670" s="39"/>
      <c r="R670" s="39"/>
      <c r="S670" s="39"/>
      <c r="T670" s="39"/>
    </row>
    <row r="671" spans="1:20" x14ac:dyDescent="0.25">
      <c r="A671" t="s">
        <v>55</v>
      </c>
      <c r="B671" s="37">
        <v>10</v>
      </c>
      <c r="C671" t="str">
        <f>_xlfn.XLOOKUP(B671,'Centro de Custo'!A$2:A$45,'Centro de Custo'!B$2:B$45)</f>
        <v>Retirada Mensal</v>
      </c>
      <c r="E671" s="39">
        <v>-9780</v>
      </c>
      <c r="F671" s="40" t="s">
        <v>10</v>
      </c>
      <c r="G671" s="41">
        <v>45694</v>
      </c>
      <c r="H671" s="42">
        <f>YEAR(Tabela3[[#This Row],[Data]])</f>
        <v>2025</v>
      </c>
      <c r="I671" s="42" t="str">
        <f>_xlfn.XLOOKUP(J671,'Centro de Custo'!J$2:J$13,'Centro de Custo'!K$2:K$13)</f>
        <v>Fevereiro</v>
      </c>
      <c r="J671" s="43">
        <f>MONTH(Tabela3[[#This Row],[Data]])</f>
        <v>2</v>
      </c>
      <c r="K671" s="39">
        <f>SUM(E$3:Tabela3[[#This Row],[Valor]])</f>
        <v>443756.37000000064</v>
      </c>
      <c r="L671" s="40">
        <f t="shared" si="10"/>
        <v>2.22375</v>
      </c>
      <c r="M671" s="40"/>
      <c r="N671" s="40"/>
      <c r="O671" s="40"/>
      <c r="P671" s="39"/>
      <c r="Q671" s="39"/>
      <c r="R671" s="39"/>
      <c r="S671" s="39"/>
      <c r="T671" s="39"/>
    </row>
    <row r="672" spans="1:20" x14ac:dyDescent="0.25">
      <c r="A672" t="s">
        <v>92</v>
      </c>
      <c r="B672" s="37">
        <v>10</v>
      </c>
      <c r="C672" t="str">
        <f>_xlfn.XLOOKUP(B672,'Centro de Custo'!A$2:A$45,'Centro de Custo'!B$2:B$45)</f>
        <v>Retirada Mensal</v>
      </c>
      <c r="E672" s="39">
        <v>-9967</v>
      </c>
      <c r="F672" s="40" t="s">
        <v>10</v>
      </c>
      <c r="G672" s="41">
        <v>45694</v>
      </c>
      <c r="H672" s="42">
        <f>YEAR(Tabela3[[#This Row],[Data]])</f>
        <v>2025</v>
      </c>
      <c r="I672" s="42" t="str">
        <f>_xlfn.XLOOKUP(J672,'Centro de Custo'!J$2:J$13,'Centro de Custo'!K$2:K$13)</f>
        <v>Fevereiro</v>
      </c>
      <c r="J672" s="43">
        <f>MONTH(Tabela3[[#This Row],[Data]])</f>
        <v>2</v>
      </c>
      <c r="K672" s="39">
        <f>SUM(E$3:Tabela3[[#This Row],[Valor]])</f>
        <v>433789.37000000064</v>
      </c>
      <c r="L672" s="40">
        <f t="shared" si="10"/>
        <v>2.22375</v>
      </c>
      <c r="M672" s="40"/>
      <c r="N672" s="40"/>
      <c r="O672" s="40"/>
      <c r="P672" s="39"/>
      <c r="Q672" s="39"/>
      <c r="R672" s="39"/>
      <c r="S672" s="39"/>
      <c r="T672" s="39"/>
    </row>
    <row r="673" spans="1:20" x14ac:dyDescent="0.25">
      <c r="A673" t="s">
        <v>124</v>
      </c>
      <c r="B673" s="37">
        <v>10</v>
      </c>
      <c r="C673" t="str">
        <f>_xlfn.XLOOKUP(B673,'Centro de Custo'!A$2:A$45,'Centro de Custo'!B$2:B$45)</f>
        <v>Retirada Mensal</v>
      </c>
      <c r="E673" s="39">
        <v>-10000</v>
      </c>
      <c r="F673" s="40" t="s">
        <v>10</v>
      </c>
      <c r="G673" s="41">
        <v>45694</v>
      </c>
      <c r="H673" s="42">
        <f>YEAR(Tabela3[[#This Row],[Data]])</f>
        <v>2025</v>
      </c>
      <c r="I673" s="42" t="str">
        <f>_xlfn.XLOOKUP(J673,'Centro de Custo'!J$2:J$13,'Centro de Custo'!K$2:K$13)</f>
        <v>Fevereiro</v>
      </c>
      <c r="J673" s="43">
        <f>MONTH(Tabela3[[#This Row],[Data]])</f>
        <v>2</v>
      </c>
      <c r="K673" s="39">
        <f>SUM(E$3:Tabela3[[#This Row],[Valor]])</f>
        <v>423789.37000000064</v>
      </c>
      <c r="L673" s="40">
        <f t="shared" si="10"/>
        <v>2.22375</v>
      </c>
      <c r="M673" s="40"/>
      <c r="N673" s="40"/>
      <c r="O673" s="40"/>
      <c r="P673" s="39"/>
      <c r="Q673" s="39"/>
      <c r="R673" s="39"/>
      <c r="S673" s="39"/>
      <c r="T673" s="39"/>
    </row>
    <row r="674" spans="1:20" x14ac:dyDescent="0.25">
      <c r="A674" t="s">
        <v>104</v>
      </c>
      <c r="B674" s="37">
        <v>10</v>
      </c>
      <c r="C674" t="str">
        <f>_xlfn.XLOOKUP(B674,'Centro de Custo'!A$2:A$45,'Centro de Custo'!B$2:B$45)</f>
        <v>Retirada Mensal</v>
      </c>
      <c r="E674" s="39">
        <v>-10000</v>
      </c>
      <c r="F674" s="40" t="s">
        <v>10</v>
      </c>
      <c r="G674" s="41">
        <v>45694</v>
      </c>
      <c r="H674" s="42">
        <f>YEAR(Tabela3[[#This Row],[Data]])</f>
        <v>2025</v>
      </c>
      <c r="I674" s="42" t="str">
        <f>_xlfn.XLOOKUP(J674,'Centro de Custo'!J$2:J$13,'Centro de Custo'!K$2:K$13)</f>
        <v>Fevereiro</v>
      </c>
      <c r="J674" s="43">
        <f>MONTH(Tabela3[[#This Row],[Data]])</f>
        <v>2</v>
      </c>
      <c r="K674" s="39">
        <f>SUM(E$3:Tabela3[[#This Row],[Valor]])</f>
        <v>413789.37000000064</v>
      </c>
      <c r="L674" s="40">
        <f t="shared" si="10"/>
        <v>2.22375</v>
      </c>
      <c r="M674" s="40"/>
      <c r="N674" s="40"/>
      <c r="O674" s="40"/>
      <c r="P674" s="39"/>
      <c r="Q674" s="39"/>
      <c r="R674" s="39"/>
      <c r="S674" s="39"/>
      <c r="T674" s="39"/>
    </row>
    <row r="675" spans="1:20" x14ac:dyDescent="0.25">
      <c r="A675" t="s">
        <v>372</v>
      </c>
      <c r="B675" s="37">
        <v>22</v>
      </c>
      <c r="C675" t="str">
        <f>_xlfn.XLOOKUP(B675,'Centro de Custo'!A$2:A$45,'Centro de Custo'!B$2:B$45)</f>
        <v>Doação</v>
      </c>
      <c r="E675" s="39">
        <v>-10000</v>
      </c>
      <c r="F675" s="40" t="s">
        <v>10</v>
      </c>
      <c r="G675" s="41">
        <v>45694</v>
      </c>
      <c r="H675" s="42">
        <f>YEAR(Tabela3[[#This Row],[Data]])</f>
        <v>2025</v>
      </c>
      <c r="I675" s="42" t="str">
        <f>_xlfn.XLOOKUP(J675,'Centro de Custo'!J$2:J$13,'Centro de Custo'!K$2:K$13)</f>
        <v>Fevereiro</v>
      </c>
      <c r="J675" s="43">
        <f>MONTH(Tabela3[[#This Row],[Data]])</f>
        <v>2</v>
      </c>
      <c r="K675" s="39">
        <f>SUM(E$3:Tabela3[[#This Row],[Valor]])</f>
        <v>403789.37000000064</v>
      </c>
      <c r="L675" s="40">
        <f t="shared" si="10"/>
        <v>2.22375</v>
      </c>
      <c r="M675" s="40"/>
      <c r="N675" s="40"/>
      <c r="O675" s="40"/>
      <c r="P675" s="39"/>
      <c r="Q675" s="39"/>
      <c r="R675" s="39"/>
      <c r="S675" s="39"/>
      <c r="T675" s="39"/>
    </row>
    <row r="676" spans="1:20" x14ac:dyDescent="0.25">
      <c r="A676" t="s">
        <v>56</v>
      </c>
      <c r="B676" s="37">
        <v>10</v>
      </c>
      <c r="C676" t="str">
        <f>_xlfn.XLOOKUP(B676,'Centro de Custo'!A$2:A$45,'Centro de Custo'!B$2:B$45)</f>
        <v>Retirada Mensal</v>
      </c>
      <c r="E676" s="39">
        <v>-10220</v>
      </c>
      <c r="F676" s="40" t="s">
        <v>10</v>
      </c>
      <c r="G676" s="41">
        <v>45694</v>
      </c>
      <c r="H676" s="42">
        <f>YEAR(Tabela3[[#This Row],[Data]])</f>
        <v>2025</v>
      </c>
      <c r="I676" s="42" t="str">
        <f>_xlfn.XLOOKUP(J676,'Centro de Custo'!J$2:J$13,'Centro de Custo'!K$2:K$13)</f>
        <v>Fevereiro</v>
      </c>
      <c r="J676" s="43">
        <f>MONTH(Tabela3[[#This Row],[Data]])</f>
        <v>2</v>
      </c>
      <c r="K676" s="39">
        <f>SUM(E$3:Tabela3[[#This Row],[Valor]])</f>
        <v>393569.37000000064</v>
      </c>
      <c r="L676" s="40">
        <f t="shared" si="10"/>
        <v>2.22375</v>
      </c>
      <c r="M676" s="40"/>
      <c r="N676" s="40"/>
      <c r="O676" s="40"/>
      <c r="P676" s="39"/>
      <c r="Q676" s="39"/>
      <c r="R676" s="39"/>
      <c r="S676" s="39"/>
      <c r="T676" s="39"/>
    </row>
    <row r="677" spans="1:20" x14ac:dyDescent="0.25">
      <c r="A677" t="s">
        <v>373</v>
      </c>
      <c r="B677" s="37">
        <v>10</v>
      </c>
      <c r="C677" t="str">
        <f>_xlfn.XLOOKUP(B677,'Centro de Custo'!A$2:A$45,'Centro de Custo'!B$2:B$45)</f>
        <v>Retirada Mensal</v>
      </c>
      <c r="E677" s="39">
        <v>-12629</v>
      </c>
      <c r="F677" s="40" t="s">
        <v>10</v>
      </c>
      <c r="G677" s="41">
        <v>45694</v>
      </c>
      <c r="H677" s="42">
        <f>YEAR(Tabela3[[#This Row],[Data]])</f>
        <v>2025</v>
      </c>
      <c r="I677" s="42" t="str">
        <f>_xlfn.XLOOKUP(J677,'Centro de Custo'!J$2:J$13,'Centro de Custo'!K$2:K$13)</f>
        <v>Fevereiro</v>
      </c>
      <c r="J677" s="43">
        <f>MONTH(Tabela3[[#This Row],[Data]])</f>
        <v>2</v>
      </c>
      <c r="K677" s="39">
        <f>SUM(E$3:Tabela3[[#This Row],[Valor]])</f>
        <v>380940.37000000064</v>
      </c>
      <c r="L677" s="40">
        <f t="shared" si="10"/>
        <v>2.22375</v>
      </c>
      <c r="M677" s="40"/>
      <c r="N677" s="40"/>
      <c r="O677" s="40"/>
      <c r="P677" s="39"/>
      <c r="Q677" s="39"/>
      <c r="R677" s="39"/>
      <c r="S677" s="39"/>
      <c r="T677" s="39"/>
    </row>
    <row r="678" spans="1:20" x14ac:dyDescent="0.25">
      <c r="A678" t="s">
        <v>374</v>
      </c>
      <c r="B678" s="37">
        <v>50</v>
      </c>
      <c r="C678" t="str">
        <f>_xlfn.XLOOKUP(B678,'Centro de Custo'!A$2:A$45,'Centro de Custo'!B$2:B$45)</f>
        <v>Empréstimos</v>
      </c>
      <c r="E678" s="39">
        <v>-370000</v>
      </c>
      <c r="F678" s="40" t="s">
        <v>10</v>
      </c>
      <c r="G678" s="41">
        <v>45694</v>
      </c>
      <c r="H678" s="42">
        <f>YEAR(Tabela3[[#This Row],[Data]])</f>
        <v>2025</v>
      </c>
      <c r="I678" s="42" t="str">
        <f>_xlfn.XLOOKUP(J678,'Centro de Custo'!J$2:J$13,'Centro de Custo'!K$2:K$13)</f>
        <v>Fevereiro</v>
      </c>
      <c r="J678" s="43">
        <f>MONTH(Tabela3[[#This Row],[Data]])</f>
        <v>2</v>
      </c>
      <c r="K678" s="39">
        <f>SUM(E$3:Tabela3[[#This Row],[Valor]])</f>
        <v>10940.370000000636</v>
      </c>
      <c r="L678" s="40">
        <f t="shared" si="10"/>
        <v>2.22375</v>
      </c>
      <c r="M678" s="40"/>
      <c r="N678" s="40"/>
      <c r="O678" s="40"/>
      <c r="P678" s="39"/>
      <c r="Q678" s="39"/>
      <c r="R678" s="39"/>
      <c r="S678" s="39"/>
      <c r="T678" s="39"/>
    </row>
    <row r="679" spans="1:20" x14ac:dyDescent="0.25">
      <c r="A679" t="s">
        <v>178</v>
      </c>
      <c r="B679" s="37">
        <v>20</v>
      </c>
      <c r="C679" t="str">
        <f>_xlfn.XLOOKUP(B679,'Centro de Custo'!A$2:A$45,'Centro de Custo'!B$2:B$45)</f>
        <v>Desp. ADM</v>
      </c>
      <c r="E679" s="39">
        <v>-169.9</v>
      </c>
      <c r="F679" s="40" t="s">
        <v>10</v>
      </c>
      <c r="G679" s="41">
        <v>45695</v>
      </c>
      <c r="H679" s="42">
        <f>YEAR(Tabela3[[#This Row],[Data]])</f>
        <v>2025</v>
      </c>
      <c r="I679" s="42" t="str">
        <f>_xlfn.XLOOKUP(J679,'Centro de Custo'!J$2:J$13,'Centro de Custo'!K$2:K$13)</f>
        <v>Fevereiro</v>
      </c>
      <c r="J679" s="43">
        <f>MONTH(Tabela3[[#This Row],[Data]])</f>
        <v>2</v>
      </c>
      <c r="K679" s="39">
        <f>SUM(E$3:Tabela3[[#This Row],[Valor]])</f>
        <v>10770.470000000636</v>
      </c>
      <c r="L679" s="40">
        <f t="shared" si="10"/>
        <v>2.22375</v>
      </c>
      <c r="M679" s="40"/>
      <c r="N679" s="40"/>
      <c r="O679" s="40"/>
      <c r="P679" s="39"/>
      <c r="Q679" s="39"/>
      <c r="R679" s="39"/>
      <c r="S679" s="39"/>
      <c r="T679" s="39"/>
    </row>
    <row r="680" spans="1:20" x14ac:dyDescent="0.25">
      <c r="A680" t="s">
        <v>190</v>
      </c>
      <c r="B680" s="37">
        <v>13</v>
      </c>
      <c r="C680" t="str">
        <f>_xlfn.XLOOKUP(B680,'Centro de Custo'!A$2:A$45,'Centro de Custo'!B$2:B$45)</f>
        <v>Terceirizados</v>
      </c>
      <c r="E680" s="39">
        <v>-4886.44</v>
      </c>
      <c r="F680" s="40" t="s">
        <v>10</v>
      </c>
      <c r="G680" s="41">
        <v>45695</v>
      </c>
      <c r="H680" s="42">
        <f>YEAR(Tabela3[[#This Row],[Data]])</f>
        <v>2025</v>
      </c>
      <c r="I680" s="42" t="str">
        <f>_xlfn.XLOOKUP(J680,'Centro de Custo'!J$2:J$13,'Centro de Custo'!K$2:K$13)</f>
        <v>Fevereiro</v>
      </c>
      <c r="J680" s="43">
        <f>MONTH(Tabela3[[#This Row],[Data]])</f>
        <v>2</v>
      </c>
      <c r="K680" s="39">
        <f>SUM(E$3:Tabela3[[#This Row],[Valor]])</f>
        <v>5884.030000000636</v>
      </c>
      <c r="L680" s="40">
        <f t="shared" si="10"/>
        <v>2.22375</v>
      </c>
      <c r="M680" s="40"/>
      <c r="N680" s="40"/>
      <c r="O680" s="40"/>
      <c r="P680" s="39"/>
      <c r="Q680" s="39"/>
      <c r="R680" s="39"/>
      <c r="S680" s="39"/>
      <c r="T680" s="39"/>
    </row>
    <row r="681" spans="1:20" x14ac:dyDescent="0.25">
      <c r="A681" t="s">
        <v>375</v>
      </c>
      <c r="B681" s="37">
        <v>50</v>
      </c>
      <c r="C681" t="str">
        <f>_xlfn.XLOOKUP(B681,'Centro de Custo'!A$2:A$45,'Centro de Custo'!B$2:B$45)</f>
        <v>Empréstimos</v>
      </c>
      <c r="E681" s="39">
        <v>500</v>
      </c>
      <c r="F681" s="40" t="s">
        <v>10</v>
      </c>
      <c r="G681" s="41">
        <v>45699</v>
      </c>
      <c r="H681" s="42">
        <f>YEAR(Tabela3[[#This Row],[Data]])</f>
        <v>2025</v>
      </c>
      <c r="I681" s="42" t="str">
        <f>_xlfn.XLOOKUP(J681,'Centro de Custo'!J$2:J$13,'Centro de Custo'!K$2:K$13)</f>
        <v>Fevereiro</v>
      </c>
      <c r="J681" s="43">
        <f>MONTH(Tabela3[[#This Row],[Data]])</f>
        <v>2</v>
      </c>
      <c r="K681" s="39">
        <f>SUM(E$3:Tabela3[[#This Row],[Valor]])</f>
        <v>6384.030000000636</v>
      </c>
      <c r="L681" s="40">
        <f t="shared" si="10"/>
        <v>2.22375</v>
      </c>
      <c r="M681" s="40"/>
      <c r="N681" s="40"/>
      <c r="O681" s="40"/>
      <c r="P681" s="39"/>
      <c r="Q681" s="39"/>
      <c r="R681" s="39"/>
      <c r="S681" s="39"/>
      <c r="T681" s="39"/>
    </row>
    <row r="682" spans="1:20" x14ac:dyDescent="0.25">
      <c r="A682" t="s">
        <v>376</v>
      </c>
      <c r="B682" s="37">
        <v>30</v>
      </c>
      <c r="C682" t="str">
        <f>_xlfn.XLOOKUP(B682,'Centro de Custo'!A$2:A$45,'Centro de Custo'!B$2:B$45)</f>
        <v>Impostos</v>
      </c>
      <c r="E682" s="39">
        <v>-6247.28</v>
      </c>
      <c r="F682" s="40" t="s">
        <v>10</v>
      </c>
      <c r="G682" s="41">
        <v>45699</v>
      </c>
      <c r="H682" s="42">
        <f>YEAR(Tabela3[[#This Row],[Data]])</f>
        <v>2025</v>
      </c>
      <c r="I682" s="42" t="str">
        <f>_xlfn.XLOOKUP(J682,'Centro de Custo'!J$2:J$13,'Centro de Custo'!K$2:K$13)</f>
        <v>Fevereiro</v>
      </c>
      <c r="J682" s="43">
        <f>MONTH(Tabela3[[#This Row],[Data]])</f>
        <v>2</v>
      </c>
      <c r="K682" s="39">
        <f>SUM(E$3:Tabela3[[#This Row],[Valor]])</f>
        <v>136.75000000063665</v>
      </c>
      <c r="L682" s="40">
        <f t="shared" si="10"/>
        <v>2.22375</v>
      </c>
      <c r="M682" s="40"/>
      <c r="N682" s="40"/>
      <c r="O682" s="40"/>
      <c r="P682" s="39"/>
      <c r="Q682" s="39"/>
      <c r="R682" s="39"/>
      <c r="S682" s="39"/>
      <c r="T682" s="39"/>
    </row>
    <row r="683" spans="1:20" x14ac:dyDescent="0.25">
      <c r="A683" t="s">
        <v>51</v>
      </c>
      <c r="B683" s="37">
        <v>41</v>
      </c>
      <c r="C683" t="str">
        <f>_xlfn.XLOOKUP(B683,'Centro de Custo'!A$2:A$45,'Centro de Custo'!B$2:B$45)</f>
        <v>Resgate Financeiro</v>
      </c>
      <c r="E683" s="39">
        <v>220339.89</v>
      </c>
      <c r="F683" s="40" t="s">
        <v>10</v>
      </c>
      <c r="G683" s="41">
        <v>45700</v>
      </c>
      <c r="H683" s="42">
        <f>YEAR(Tabela3[[#This Row],[Data]])</f>
        <v>2025</v>
      </c>
      <c r="I683" s="42" t="str">
        <f>_xlfn.XLOOKUP(J683,'Centro de Custo'!J$2:J$13,'Centro de Custo'!K$2:K$13)</f>
        <v>Fevereiro</v>
      </c>
      <c r="J683" s="43">
        <f>MONTH(Tabela3[[#This Row],[Data]])</f>
        <v>2</v>
      </c>
      <c r="K683" s="39">
        <f>SUM(E$3:Tabela3[[#This Row],[Valor]])</f>
        <v>220476.64000000065</v>
      </c>
      <c r="L683" s="40">
        <f t="shared" si="10"/>
        <v>2.22375</v>
      </c>
      <c r="M683" s="40"/>
      <c r="N683" s="40"/>
      <c r="O683" s="40"/>
      <c r="P683" s="39"/>
      <c r="Q683" s="39"/>
      <c r="R683" s="39"/>
      <c r="S683" s="39"/>
      <c r="T683" s="39"/>
    </row>
    <row r="684" spans="1:20" x14ac:dyDescent="0.25">
      <c r="A684" t="s">
        <v>377</v>
      </c>
      <c r="B684" s="37">
        <v>30</v>
      </c>
      <c r="C684" t="str">
        <f>_xlfn.XLOOKUP(B684,'Centro de Custo'!A$2:A$45,'Centro de Custo'!B$2:B$45)</f>
        <v>Impostos</v>
      </c>
      <c r="E684" s="39">
        <v>-60138.54</v>
      </c>
      <c r="F684" s="40" t="s">
        <v>10</v>
      </c>
      <c r="G684" s="41">
        <v>45700</v>
      </c>
      <c r="H684" s="42">
        <f>YEAR(Tabela3[[#This Row],[Data]])</f>
        <v>2025</v>
      </c>
      <c r="I684" s="42" t="str">
        <f>_xlfn.XLOOKUP(J684,'Centro de Custo'!J$2:J$13,'Centro de Custo'!K$2:K$13)</f>
        <v>Fevereiro</v>
      </c>
      <c r="J684" s="43">
        <f>MONTH(Tabela3[[#This Row],[Data]])</f>
        <v>2</v>
      </c>
      <c r="K684" s="39">
        <f>SUM(E$3:Tabela3[[#This Row],[Valor]])</f>
        <v>160338.10000000065</v>
      </c>
      <c r="L684" s="40">
        <f t="shared" si="10"/>
        <v>2.22375</v>
      </c>
      <c r="M684" s="40"/>
      <c r="N684" s="40"/>
      <c r="O684" s="40"/>
      <c r="P684" s="39"/>
      <c r="Q684" s="39"/>
      <c r="R684" s="39"/>
      <c r="S684" s="39"/>
      <c r="T684" s="39"/>
    </row>
    <row r="685" spans="1:20" x14ac:dyDescent="0.25">
      <c r="A685" t="s">
        <v>378</v>
      </c>
      <c r="B685" s="37">
        <v>30</v>
      </c>
      <c r="C685" t="str">
        <f>_xlfn.XLOOKUP(B685,'Centro de Custo'!A$2:A$45,'Centro de Custo'!B$2:B$45)</f>
        <v>Impostos</v>
      </c>
      <c r="E685" s="39">
        <v>-100737.56</v>
      </c>
      <c r="F685" s="40" t="s">
        <v>10</v>
      </c>
      <c r="G685" s="41">
        <v>45700</v>
      </c>
      <c r="H685" s="42">
        <f>YEAR(Tabela3[[#This Row],[Data]])</f>
        <v>2025</v>
      </c>
      <c r="I685" s="42" t="str">
        <f>_xlfn.XLOOKUP(J685,'Centro de Custo'!J$2:J$13,'Centro de Custo'!K$2:K$13)</f>
        <v>Fevereiro</v>
      </c>
      <c r="J685" s="43">
        <f>MONTH(Tabela3[[#This Row],[Data]])</f>
        <v>2</v>
      </c>
      <c r="K685" s="39">
        <f>SUM(E$3:Tabela3[[#This Row],[Valor]])</f>
        <v>59600.54000000065</v>
      </c>
      <c r="L685" s="40">
        <f t="shared" si="10"/>
        <v>2.22375</v>
      </c>
      <c r="M685" s="40"/>
      <c r="N685" s="40"/>
      <c r="O685" s="40"/>
      <c r="P685" s="39"/>
      <c r="Q685" s="39"/>
      <c r="R685" s="39"/>
      <c r="S685" s="39"/>
      <c r="T685" s="39"/>
    </row>
    <row r="686" spans="1:20" x14ac:dyDescent="0.25">
      <c r="A686" t="s">
        <v>379</v>
      </c>
      <c r="B686" s="37">
        <v>14</v>
      </c>
      <c r="C686" t="str">
        <f>_xlfn.XLOOKUP(B686,'Centro de Custo'!A$2:A$45,'Centro de Custo'!B$2:B$45)</f>
        <v>Outros</v>
      </c>
      <c r="E686" s="39">
        <v>-52.3</v>
      </c>
      <c r="F686" s="40" t="s">
        <v>10</v>
      </c>
      <c r="G686" s="41">
        <v>45701</v>
      </c>
      <c r="H686" s="42">
        <f>YEAR(Tabela3[[#This Row],[Data]])</f>
        <v>2025</v>
      </c>
      <c r="I686" s="42" t="str">
        <f>_xlfn.XLOOKUP(J686,'Centro de Custo'!J$2:J$13,'Centro de Custo'!K$2:K$13)</f>
        <v>Fevereiro</v>
      </c>
      <c r="J686" s="43">
        <f>MONTH(Tabela3[[#This Row],[Data]])</f>
        <v>2</v>
      </c>
      <c r="K686" s="39">
        <f>SUM(E$3:Tabela3[[#This Row],[Valor]])</f>
        <v>59548.240000000646</v>
      </c>
      <c r="L686" s="40">
        <f t="shared" si="10"/>
        <v>2.22375</v>
      </c>
      <c r="M686" s="40"/>
      <c r="N686" s="40"/>
      <c r="O686" s="40"/>
      <c r="P686" s="39"/>
      <c r="Q686" s="39"/>
      <c r="R686" s="39"/>
      <c r="S686" s="39"/>
      <c r="T686" s="39"/>
    </row>
    <row r="687" spans="1:20" x14ac:dyDescent="0.25">
      <c r="A687" t="s">
        <v>380</v>
      </c>
      <c r="B687" s="37">
        <v>50</v>
      </c>
      <c r="C687" t="str">
        <f>_xlfn.XLOOKUP(B687,'Centro de Custo'!A$2:A$45,'Centro de Custo'!B$2:B$45)</f>
        <v>Empréstimos</v>
      </c>
      <c r="E687" s="39">
        <v>-3500</v>
      </c>
      <c r="F687" s="40" t="s">
        <v>10</v>
      </c>
      <c r="G687" s="41">
        <v>45701</v>
      </c>
      <c r="H687" s="42">
        <f>YEAR(Tabela3[[#This Row],[Data]])</f>
        <v>2025</v>
      </c>
      <c r="I687" s="42" t="str">
        <f>_xlfn.XLOOKUP(J687,'Centro de Custo'!J$2:J$13,'Centro de Custo'!K$2:K$13)</f>
        <v>Fevereiro</v>
      </c>
      <c r="J687" s="43">
        <f>MONTH(Tabela3[[#This Row],[Data]])</f>
        <v>2</v>
      </c>
      <c r="K687" s="39">
        <f>SUM(E$3:Tabela3[[#This Row],[Valor]])</f>
        <v>56048.240000000646</v>
      </c>
      <c r="L687" s="40">
        <f t="shared" si="10"/>
        <v>2.22375</v>
      </c>
      <c r="M687" s="40"/>
      <c r="N687" s="40"/>
      <c r="O687" s="40"/>
      <c r="P687" s="39"/>
      <c r="Q687" s="39"/>
      <c r="R687" s="39"/>
      <c r="S687" s="39"/>
      <c r="T687" s="39"/>
    </row>
    <row r="688" spans="1:20" x14ac:dyDescent="0.25">
      <c r="A688" t="s">
        <v>381</v>
      </c>
      <c r="B688" s="37">
        <v>12</v>
      </c>
      <c r="C688" t="str">
        <f>_xlfn.XLOOKUP(B688,'Centro de Custo'!A$2:A$45,'Centro de Custo'!B$2:B$45)</f>
        <v>Direitos Autorais Terceiros</v>
      </c>
      <c r="E688" s="39">
        <v>-42925.68</v>
      </c>
      <c r="F688" s="40" t="s">
        <v>10</v>
      </c>
      <c r="G688" s="41">
        <v>45701</v>
      </c>
      <c r="H688" s="42">
        <f>YEAR(Tabela3[[#This Row],[Data]])</f>
        <v>2025</v>
      </c>
      <c r="I688" s="42" t="str">
        <f>_xlfn.XLOOKUP(J688,'Centro de Custo'!J$2:J$13,'Centro de Custo'!K$2:K$13)</f>
        <v>Fevereiro</v>
      </c>
      <c r="J688" s="43">
        <f>MONTH(Tabela3[[#This Row],[Data]])</f>
        <v>2</v>
      </c>
      <c r="K688" s="39">
        <f>SUM(E$3:Tabela3[[#This Row],[Valor]])</f>
        <v>13122.560000000645</v>
      </c>
      <c r="L688" s="40">
        <f t="shared" si="10"/>
        <v>2.22375</v>
      </c>
      <c r="M688" s="40"/>
      <c r="N688" s="40"/>
      <c r="O688" s="40"/>
      <c r="P688" s="39"/>
      <c r="Q688" s="39"/>
      <c r="R688" s="39"/>
      <c r="S688" s="39"/>
      <c r="T688" s="39"/>
    </row>
    <row r="689" spans="1:20" x14ac:dyDescent="0.25">
      <c r="A689" t="s">
        <v>287</v>
      </c>
      <c r="B689" s="37">
        <v>41</v>
      </c>
      <c r="C689" t="str">
        <f>_xlfn.XLOOKUP(B689,'Centro de Custo'!A$2:A$45,'Centro de Custo'!B$2:B$45)</f>
        <v>Resgate Financeiro</v>
      </c>
      <c r="E689" s="39">
        <v>50000</v>
      </c>
      <c r="F689" s="40" t="s">
        <v>10</v>
      </c>
      <c r="G689" s="41">
        <v>45702</v>
      </c>
      <c r="H689" s="42">
        <f>YEAR(Tabela3[[#This Row],[Data]])</f>
        <v>2025</v>
      </c>
      <c r="I689" s="42" t="str">
        <f>_xlfn.XLOOKUP(J689,'Centro de Custo'!J$2:J$13,'Centro de Custo'!K$2:K$13)</f>
        <v>Fevereiro</v>
      </c>
      <c r="J689" s="43">
        <f>MONTH(Tabela3[[#This Row],[Data]])</f>
        <v>2</v>
      </c>
      <c r="K689" s="39">
        <f>SUM(E$3:Tabela3[[#This Row],[Valor]])</f>
        <v>63122.560000000645</v>
      </c>
      <c r="L689" s="40">
        <f t="shared" si="10"/>
        <v>2.22375</v>
      </c>
      <c r="M689" s="40"/>
      <c r="N689" s="40"/>
      <c r="O689" s="40"/>
      <c r="P689" s="39"/>
      <c r="Q689" s="39"/>
      <c r="R689" s="39"/>
      <c r="S689" s="39"/>
      <c r="T689" s="39"/>
    </row>
    <row r="690" spans="1:20" x14ac:dyDescent="0.25">
      <c r="A690" t="s">
        <v>382</v>
      </c>
      <c r="B690" s="37">
        <v>14</v>
      </c>
      <c r="C690" t="str">
        <f>_xlfn.XLOOKUP(B690,'Centro de Custo'!A$2:A$45,'Centro de Custo'!B$2:B$45)</f>
        <v>Outros</v>
      </c>
      <c r="E690" s="39">
        <v>-745</v>
      </c>
      <c r="F690" s="40" t="s">
        <v>10</v>
      </c>
      <c r="G690" s="41">
        <v>45702</v>
      </c>
      <c r="H690" s="42">
        <f>YEAR(Tabela3[[#This Row],[Data]])</f>
        <v>2025</v>
      </c>
      <c r="I690" s="42" t="str">
        <f>_xlfn.XLOOKUP(J690,'Centro de Custo'!J$2:J$13,'Centro de Custo'!K$2:K$13)</f>
        <v>Fevereiro</v>
      </c>
      <c r="J690" s="43">
        <f>MONTH(Tabela3[[#This Row],[Data]])</f>
        <v>2</v>
      </c>
      <c r="K690" s="39">
        <f>SUM(E$3:Tabela3[[#This Row],[Valor]])</f>
        <v>62377.560000000645</v>
      </c>
      <c r="L690" s="40">
        <f t="shared" si="10"/>
        <v>2.22375</v>
      </c>
      <c r="M690" s="40"/>
      <c r="N690" s="40"/>
      <c r="O690" s="40"/>
      <c r="P690" s="39"/>
      <c r="Q690" s="39"/>
      <c r="R690" s="39"/>
      <c r="S690" s="39"/>
      <c r="T690" s="39"/>
    </row>
    <row r="691" spans="1:20" x14ac:dyDescent="0.25">
      <c r="A691" t="s">
        <v>382</v>
      </c>
      <c r="B691" s="37">
        <v>14</v>
      </c>
      <c r="C691" t="str">
        <f>_xlfn.XLOOKUP(B691,'Centro de Custo'!A$2:A$45,'Centro de Custo'!B$2:B$45)</f>
        <v>Outros</v>
      </c>
      <c r="E691" s="39">
        <v>-745</v>
      </c>
      <c r="F691" s="40" t="s">
        <v>10</v>
      </c>
      <c r="G691" s="41">
        <v>45702</v>
      </c>
      <c r="H691" s="42">
        <f>YEAR(Tabela3[[#This Row],[Data]])</f>
        <v>2025</v>
      </c>
      <c r="I691" s="42" t="str">
        <f>_xlfn.XLOOKUP(J691,'Centro de Custo'!J$2:J$13,'Centro de Custo'!K$2:K$13)</f>
        <v>Fevereiro</v>
      </c>
      <c r="J691" s="43">
        <f>MONTH(Tabela3[[#This Row],[Data]])</f>
        <v>2</v>
      </c>
      <c r="K691" s="39">
        <f>SUM(E$3:Tabela3[[#This Row],[Valor]])</f>
        <v>61632.560000000645</v>
      </c>
      <c r="L691" s="40">
        <f t="shared" si="10"/>
        <v>2.22375</v>
      </c>
      <c r="M691" s="40"/>
      <c r="N691" s="40"/>
      <c r="O691" s="40"/>
      <c r="P691" s="39"/>
      <c r="Q691" s="39"/>
      <c r="R691" s="39"/>
      <c r="S691" s="39"/>
      <c r="T691" s="39"/>
    </row>
    <row r="692" spans="1:20" x14ac:dyDescent="0.25">
      <c r="A692" t="s">
        <v>382</v>
      </c>
      <c r="B692" s="37">
        <v>14</v>
      </c>
      <c r="C692" t="str">
        <f>_xlfn.XLOOKUP(B692,'Centro de Custo'!A$2:A$45,'Centro de Custo'!B$2:B$45)</f>
        <v>Outros</v>
      </c>
      <c r="E692" s="39">
        <v>-745</v>
      </c>
      <c r="F692" s="40" t="s">
        <v>10</v>
      </c>
      <c r="G692" s="41">
        <v>45702</v>
      </c>
      <c r="H692" s="42">
        <f>YEAR(Tabela3[[#This Row],[Data]])</f>
        <v>2025</v>
      </c>
      <c r="I692" s="42" t="str">
        <f>_xlfn.XLOOKUP(J692,'Centro de Custo'!J$2:J$13,'Centro de Custo'!K$2:K$13)</f>
        <v>Fevereiro</v>
      </c>
      <c r="J692" s="43">
        <f>MONTH(Tabela3[[#This Row],[Data]])</f>
        <v>2</v>
      </c>
      <c r="K692" s="39">
        <f>SUM(E$3:Tabela3[[#This Row],[Valor]])</f>
        <v>60887.560000000645</v>
      </c>
      <c r="L692" s="40">
        <f t="shared" si="10"/>
        <v>2.22375</v>
      </c>
      <c r="M692" s="40"/>
      <c r="N692" s="40"/>
      <c r="O692" s="40"/>
      <c r="P692" s="39"/>
      <c r="Q692" s="39"/>
      <c r="R692" s="39"/>
      <c r="S692" s="39"/>
      <c r="T692" s="39"/>
    </row>
    <row r="693" spans="1:20" x14ac:dyDescent="0.25">
      <c r="A693" t="s">
        <v>383</v>
      </c>
      <c r="B693" s="37">
        <v>12</v>
      </c>
      <c r="C693" t="str">
        <f>_xlfn.XLOOKUP(B693,'Centro de Custo'!A$2:A$45,'Centro de Custo'!B$2:B$45)</f>
        <v>Direitos Autorais Terceiros</v>
      </c>
      <c r="E693" s="39">
        <v>-10000</v>
      </c>
      <c r="F693" s="40" t="s">
        <v>10</v>
      </c>
      <c r="G693" s="41">
        <v>45702</v>
      </c>
      <c r="H693" s="42">
        <f>YEAR(Tabela3[[#This Row],[Data]])</f>
        <v>2025</v>
      </c>
      <c r="I693" s="42" t="str">
        <f>_xlfn.XLOOKUP(J693,'Centro de Custo'!J$2:J$13,'Centro de Custo'!K$2:K$13)</f>
        <v>Fevereiro</v>
      </c>
      <c r="J693" s="43">
        <f>MONTH(Tabela3[[#This Row],[Data]])</f>
        <v>2</v>
      </c>
      <c r="K693" s="39">
        <f>SUM(E$3:Tabela3[[#This Row],[Valor]])</f>
        <v>50887.560000000645</v>
      </c>
      <c r="L693" s="40">
        <f t="shared" si="10"/>
        <v>2.22375</v>
      </c>
      <c r="M693" s="40"/>
      <c r="N693" s="40"/>
      <c r="O693" s="40"/>
      <c r="P693" s="39"/>
      <c r="Q693" s="39"/>
      <c r="R693" s="39"/>
      <c r="S693" s="39"/>
      <c r="T693" s="39"/>
    </row>
    <row r="694" spans="1:20" x14ac:dyDescent="0.25">
      <c r="A694" t="s">
        <v>384</v>
      </c>
      <c r="B694" s="37">
        <v>4</v>
      </c>
      <c r="C694" t="str">
        <f>_xlfn.XLOOKUP(B694,'Centro de Custo'!A$2:A$45,'Centro de Custo'!B$2:B$45)</f>
        <v>Reforma</v>
      </c>
      <c r="E694" s="39">
        <v>-13307</v>
      </c>
      <c r="F694" s="40" t="s">
        <v>10</v>
      </c>
      <c r="G694" s="41">
        <v>45702</v>
      </c>
      <c r="H694" s="42">
        <f>YEAR(Tabela3[[#This Row],[Data]])</f>
        <v>2025</v>
      </c>
      <c r="I694" s="42" t="str">
        <f>_xlfn.XLOOKUP(J694,'Centro de Custo'!J$2:J$13,'Centro de Custo'!K$2:K$13)</f>
        <v>Fevereiro</v>
      </c>
      <c r="J694" s="43">
        <f>MONTH(Tabela3[[#This Row],[Data]])</f>
        <v>2</v>
      </c>
      <c r="K694" s="39">
        <f>SUM(E$3:Tabela3[[#This Row],[Valor]])</f>
        <v>37580.560000000645</v>
      </c>
      <c r="L694" s="40">
        <f t="shared" si="10"/>
        <v>2.22375</v>
      </c>
      <c r="M694" s="40"/>
      <c r="N694" s="40"/>
      <c r="O694" s="40"/>
      <c r="P694" s="39"/>
      <c r="Q694" s="39"/>
      <c r="R694" s="39"/>
      <c r="S694" s="39"/>
      <c r="T694" s="39"/>
    </row>
    <row r="695" spans="1:20" x14ac:dyDescent="0.25">
      <c r="A695" t="s">
        <v>385</v>
      </c>
      <c r="B695" s="37">
        <v>20</v>
      </c>
      <c r="C695" t="str">
        <f>_xlfn.XLOOKUP(B695,'Centro de Custo'!A$2:A$45,'Centro de Custo'!B$2:B$45)</f>
        <v>Desp. ADM</v>
      </c>
      <c r="E695" s="39">
        <v>-92.95</v>
      </c>
      <c r="F695" s="40" t="s">
        <v>10</v>
      </c>
      <c r="G695" s="41">
        <v>45705</v>
      </c>
      <c r="H695" s="42">
        <f>YEAR(Tabela3[[#This Row],[Data]])</f>
        <v>2025</v>
      </c>
      <c r="I695" s="42" t="str">
        <f>_xlfn.XLOOKUP(J695,'Centro de Custo'!J$2:J$13,'Centro de Custo'!K$2:K$13)</f>
        <v>Fevereiro</v>
      </c>
      <c r="J695" s="43">
        <f>MONTH(Tabela3[[#This Row],[Data]])</f>
        <v>2</v>
      </c>
      <c r="K695" s="39">
        <f>SUM(E$3:Tabela3[[#This Row],[Valor]])</f>
        <v>37487.61000000065</v>
      </c>
      <c r="L695" s="40">
        <f t="shared" si="10"/>
        <v>2.22375</v>
      </c>
      <c r="M695" s="40"/>
      <c r="N695" s="40"/>
      <c r="O695" s="40"/>
      <c r="P695" s="39"/>
      <c r="Q695" s="39"/>
      <c r="R695" s="39"/>
      <c r="S695" s="39"/>
      <c r="T695" s="39"/>
    </row>
    <row r="696" spans="1:20" x14ac:dyDescent="0.25">
      <c r="A696" t="s">
        <v>205</v>
      </c>
      <c r="B696" s="37">
        <v>20</v>
      </c>
      <c r="C696" t="str">
        <f>_xlfn.XLOOKUP(B696,'Centro de Custo'!A$2:A$45,'Centro de Custo'!B$2:B$45)</f>
        <v>Desp. ADM</v>
      </c>
      <c r="E696" s="39">
        <v>-637.64</v>
      </c>
      <c r="F696" s="40" t="s">
        <v>10</v>
      </c>
      <c r="G696" s="41">
        <v>45705</v>
      </c>
      <c r="H696" s="42">
        <f>YEAR(Tabela3[[#This Row],[Data]])</f>
        <v>2025</v>
      </c>
      <c r="I696" s="42" t="str">
        <f>_xlfn.XLOOKUP(J696,'Centro de Custo'!J$2:J$13,'Centro de Custo'!K$2:K$13)</f>
        <v>Fevereiro</v>
      </c>
      <c r="J696" s="43">
        <f>MONTH(Tabela3[[#This Row],[Data]])</f>
        <v>2</v>
      </c>
      <c r="K696" s="39">
        <f>SUM(E$3:Tabela3[[#This Row],[Valor]])</f>
        <v>36849.97000000065</v>
      </c>
      <c r="L696" s="40">
        <f t="shared" si="10"/>
        <v>2.22375</v>
      </c>
      <c r="M696" s="40"/>
      <c r="N696" s="40"/>
      <c r="O696" s="40"/>
      <c r="P696" s="39"/>
      <c r="Q696" s="39"/>
      <c r="R696" s="39"/>
      <c r="S696" s="39"/>
      <c r="T696" s="39"/>
    </row>
    <row r="697" spans="1:20" x14ac:dyDescent="0.25">
      <c r="A697" t="s">
        <v>386</v>
      </c>
      <c r="B697" s="37">
        <v>22</v>
      </c>
      <c r="C697" t="str">
        <f>_xlfn.XLOOKUP(B697,'Centro de Custo'!A$2:A$45,'Centro de Custo'!B$2:B$45)</f>
        <v>Doação</v>
      </c>
      <c r="E697" s="39">
        <v>-2000</v>
      </c>
      <c r="F697" s="40" t="s">
        <v>10</v>
      </c>
      <c r="G697" s="41">
        <v>45705</v>
      </c>
      <c r="H697" s="42">
        <f>YEAR(Tabela3[[#This Row],[Data]])</f>
        <v>2025</v>
      </c>
      <c r="I697" s="42" t="str">
        <f>_xlfn.XLOOKUP(J697,'Centro de Custo'!J$2:J$13,'Centro de Custo'!K$2:K$13)</f>
        <v>Fevereiro</v>
      </c>
      <c r="J697" s="43">
        <f>MONTH(Tabela3[[#This Row],[Data]])</f>
        <v>2</v>
      </c>
      <c r="K697" s="39">
        <f>SUM(E$3:Tabela3[[#This Row],[Valor]])</f>
        <v>34849.97000000065</v>
      </c>
      <c r="L697" s="40">
        <f t="shared" si="10"/>
        <v>2.22375</v>
      </c>
      <c r="M697" s="40"/>
      <c r="N697" s="40"/>
      <c r="O697" s="40"/>
      <c r="P697" s="39"/>
      <c r="Q697" s="39"/>
      <c r="R697" s="39"/>
      <c r="S697" s="39"/>
      <c r="T697" s="39"/>
    </row>
    <row r="698" spans="1:20" x14ac:dyDescent="0.25">
      <c r="A698" t="s">
        <v>387</v>
      </c>
      <c r="B698" s="37">
        <v>22</v>
      </c>
      <c r="C698" t="str">
        <f>_xlfn.XLOOKUP(B698,'Centro de Custo'!A$2:A$45,'Centro de Custo'!B$2:B$45)</f>
        <v>Doação</v>
      </c>
      <c r="E698" s="39">
        <v>-5000</v>
      </c>
      <c r="F698" s="40" t="s">
        <v>10</v>
      </c>
      <c r="G698" s="41">
        <v>45705</v>
      </c>
      <c r="H698" s="42">
        <f>YEAR(Tabela3[[#This Row],[Data]])</f>
        <v>2025</v>
      </c>
      <c r="I698" s="42" t="str">
        <f>_xlfn.XLOOKUP(J698,'Centro de Custo'!J$2:J$13,'Centro de Custo'!K$2:K$13)</f>
        <v>Fevereiro</v>
      </c>
      <c r="J698" s="43">
        <f>MONTH(Tabela3[[#This Row],[Data]])</f>
        <v>2</v>
      </c>
      <c r="K698" s="39">
        <f>SUM(E$3:Tabela3[[#This Row],[Valor]])</f>
        <v>29849.97000000065</v>
      </c>
      <c r="L698" s="40">
        <f t="shared" si="10"/>
        <v>2.22375</v>
      </c>
      <c r="M698" s="40"/>
      <c r="N698" s="40"/>
      <c r="O698" s="40"/>
      <c r="P698" s="39"/>
      <c r="Q698" s="39"/>
      <c r="R698" s="39"/>
      <c r="S698" s="39"/>
      <c r="T698" s="39"/>
    </row>
    <row r="699" spans="1:20" x14ac:dyDescent="0.25">
      <c r="A699" t="s">
        <v>388</v>
      </c>
      <c r="B699" s="37">
        <v>12</v>
      </c>
      <c r="C699" t="str">
        <f>_xlfn.XLOOKUP(B699,'Centro de Custo'!A$2:A$45,'Centro de Custo'!B$2:B$45)</f>
        <v>Direitos Autorais Terceiros</v>
      </c>
      <c r="E699" s="39">
        <v>-10000</v>
      </c>
      <c r="F699" s="40" t="s">
        <v>10</v>
      </c>
      <c r="G699" s="41">
        <v>45705</v>
      </c>
      <c r="H699" s="42">
        <f>YEAR(Tabela3[[#This Row],[Data]])</f>
        <v>2025</v>
      </c>
      <c r="I699" s="42" t="str">
        <f>_xlfn.XLOOKUP(J699,'Centro de Custo'!J$2:J$13,'Centro de Custo'!K$2:K$13)</f>
        <v>Fevereiro</v>
      </c>
      <c r="J699" s="43">
        <f>MONTH(Tabela3[[#This Row],[Data]])</f>
        <v>2</v>
      </c>
      <c r="K699" s="39">
        <f>SUM(E$3:Tabela3[[#This Row],[Valor]])</f>
        <v>19849.97000000065</v>
      </c>
      <c r="L699" s="40">
        <f t="shared" si="10"/>
        <v>2.22375</v>
      </c>
      <c r="M699" s="40"/>
      <c r="N699" s="40"/>
      <c r="O699" s="40"/>
      <c r="P699" s="39"/>
      <c r="Q699" s="39"/>
      <c r="R699" s="39"/>
      <c r="S699" s="39"/>
      <c r="T699" s="39"/>
    </row>
    <row r="700" spans="1:20" x14ac:dyDescent="0.25">
      <c r="A700" t="s">
        <v>379</v>
      </c>
      <c r="B700" s="37">
        <v>14</v>
      </c>
      <c r="C700" t="str">
        <f>_xlfn.XLOOKUP(B700,'Centro de Custo'!A$2:A$45,'Centro de Custo'!B$2:B$45)</f>
        <v>Outros</v>
      </c>
      <c r="E700" s="39">
        <v>-52.3</v>
      </c>
      <c r="F700" s="40" t="s">
        <v>10</v>
      </c>
      <c r="G700" s="41">
        <v>45706</v>
      </c>
      <c r="H700" s="42">
        <f>YEAR(Tabela3[[#This Row],[Data]])</f>
        <v>2025</v>
      </c>
      <c r="I700" s="42" t="str">
        <f>_xlfn.XLOOKUP(J700,'Centro de Custo'!J$2:J$13,'Centro de Custo'!K$2:K$13)</f>
        <v>Fevereiro</v>
      </c>
      <c r="J700" s="43">
        <f>MONTH(Tabela3[[#This Row],[Data]])</f>
        <v>2</v>
      </c>
      <c r="K700" s="39">
        <f>SUM(E$3:Tabela3[[#This Row],[Valor]])</f>
        <v>19797.67000000065</v>
      </c>
      <c r="L700" s="40">
        <f t="shared" si="10"/>
        <v>2.22375</v>
      </c>
      <c r="M700" s="40"/>
      <c r="N700" s="40"/>
      <c r="O700" s="40"/>
      <c r="P700" s="39"/>
      <c r="Q700" s="39"/>
      <c r="R700" s="39"/>
      <c r="S700" s="39"/>
      <c r="T700" s="39"/>
    </row>
    <row r="701" spans="1:20" x14ac:dyDescent="0.25">
      <c r="A701" t="s">
        <v>389</v>
      </c>
      <c r="B701" s="37">
        <v>30</v>
      </c>
      <c r="C701" t="str">
        <f>_xlfn.XLOOKUP(B701,'Centro de Custo'!A$2:A$45,'Centro de Custo'!B$2:B$45)</f>
        <v>Impostos</v>
      </c>
      <c r="E701" s="39">
        <v>-1434.99</v>
      </c>
      <c r="F701" s="40" t="s">
        <v>10</v>
      </c>
      <c r="G701" s="41">
        <v>45708</v>
      </c>
      <c r="H701" s="42">
        <f>YEAR(Tabela3[[#This Row],[Data]])</f>
        <v>2025</v>
      </c>
      <c r="I701" s="42" t="str">
        <f>_xlfn.XLOOKUP(J701,'Centro de Custo'!J$2:J$13,'Centro de Custo'!K$2:K$13)</f>
        <v>Fevereiro</v>
      </c>
      <c r="J701" s="43">
        <f>MONTH(Tabela3[[#This Row],[Data]])</f>
        <v>2</v>
      </c>
      <c r="K701" s="39">
        <f>SUM(E$3:Tabela3[[#This Row],[Valor]])</f>
        <v>18362.680000000648</v>
      </c>
      <c r="L701" s="40">
        <f t="shared" si="10"/>
        <v>2.22375</v>
      </c>
      <c r="M701" s="40"/>
      <c r="N701" s="40"/>
      <c r="O701" s="40"/>
      <c r="P701" s="39"/>
      <c r="Q701" s="39"/>
      <c r="R701" s="39"/>
      <c r="S701" s="39"/>
      <c r="T701" s="39"/>
    </row>
    <row r="702" spans="1:20" x14ac:dyDescent="0.25">
      <c r="A702" t="s">
        <v>45</v>
      </c>
      <c r="B702" s="37">
        <v>20</v>
      </c>
      <c r="C702" t="str">
        <f>_xlfn.XLOOKUP(B702,'Centro de Custo'!A$2:A$45,'Centro de Custo'!B$2:B$45)</f>
        <v>Desp. ADM</v>
      </c>
      <c r="E702" s="39">
        <v>-25.85</v>
      </c>
      <c r="F702" s="40" t="s">
        <v>10</v>
      </c>
      <c r="G702" s="41">
        <v>45713</v>
      </c>
      <c r="H702" s="42">
        <f>YEAR(Tabela3[[#This Row],[Data]])</f>
        <v>2025</v>
      </c>
      <c r="I702" s="42" t="str">
        <f>_xlfn.XLOOKUP(J702,'Centro de Custo'!J$2:J$13,'Centro de Custo'!K$2:K$13)</f>
        <v>Fevereiro</v>
      </c>
      <c r="J702" s="43">
        <f>MONTH(Tabela3[[#This Row],[Data]])</f>
        <v>2</v>
      </c>
      <c r="K702" s="39">
        <f>SUM(E$3:Tabela3[[#This Row],[Valor]])</f>
        <v>18336.83000000065</v>
      </c>
      <c r="L702" s="40">
        <f t="shared" si="10"/>
        <v>2.22375</v>
      </c>
      <c r="M702" s="40"/>
      <c r="N702" s="40"/>
      <c r="O702" s="40"/>
      <c r="P702" s="39"/>
      <c r="Q702" s="39"/>
      <c r="R702" s="39"/>
      <c r="S702" s="39"/>
      <c r="T702" s="39"/>
    </row>
    <row r="703" spans="1:20" x14ac:dyDescent="0.25">
      <c r="A703" s="48" t="s">
        <v>390</v>
      </c>
      <c r="B703" s="37">
        <v>4</v>
      </c>
      <c r="C703" t="str">
        <f>_xlfn.XLOOKUP(B703,'Centro de Custo'!A$2:A$45,'Centro de Custo'!B$2:B$45)</f>
        <v>Reforma</v>
      </c>
      <c r="E703" s="39">
        <v>-4130</v>
      </c>
      <c r="F703" s="40" t="s">
        <v>10</v>
      </c>
      <c r="G703" s="41">
        <v>45713</v>
      </c>
      <c r="H703" s="42">
        <f>YEAR(Tabela3[[#This Row],[Data]])</f>
        <v>2025</v>
      </c>
      <c r="I703" s="42" t="str">
        <f>_xlfn.XLOOKUP(J703,'Centro de Custo'!J$2:J$13,'Centro de Custo'!K$2:K$13)</f>
        <v>Fevereiro</v>
      </c>
      <c r="J703" s="43">
        <f>MONTH(Tabela3[[#This Row],[Data]])</f>
        <v>2</v>
      </c>
      <c r="K703" s="39">
        <f>SUM(E$3:Tabela3[[#This Row],[Valor]])</f>
        <v>14206.83000000065</v>
      </c>
      <c r="L703" s="40">
        <f t="shared" si="10"/>
        <v>2.22375</v>
      </c>
      <c r="M703" s="40"/>
      <c r="N703" s="40"/>
      <c r="O703" s="40"/>
      <c r="P703" s="39"/>
      <c r="Q703" s="39"/>
      <c r="R703" s="39"/>
      <c r="S703" s="39"/>
      <c r="T703" s="39"/>
    </row>
    <row r="704" spans="1:20" x14ac:dyDescent="0.25">
      <c r="A704" t="s">
        <v>287</v>
      </c>
      <c r="B704" s="37">
        <v>41</v>
      </c>
      <c r="C704" t="str">
        <f>_xlfn.XLOOKUP(B704,'Centro de Custo'!A$2:A$45,'Centro de Custo'!B$2:B$45)</f>
        <v>Resgate Financeiro</v>
      </c>
      <c r="E704" s="39">
        <v>200000</v>
      </c>
      <c r="F704" s="40" t="s">
        <v>10</v>
      </c>
      <c r="G704" s="41">
        <v>45715</v>
      </c>
      <c r="H704" s="42">
        <f>YEAR(Tabela3[[#This Row],[Data]])</f>
        <v>2025</v>
      </c>
      <c r="I704" s="42" t="str">
        <f>_xlfn.XLOOKUP(J704,'Centro de Custo'!J$2:J$13,'Centro de Custo'!K$2:K$13)</f>
        <v>Fevereiro</v>
      </c>
      <c r="J704" s="43">
        <f>MONTH(Tabela3[[#This Row],[Data]])</f>
        <v>2</v>
      </c>
      <c r="K704" s="39">
        <f>SUM(E$3:Tabela3[[#This Row],[Valor]])</f>
        <v>214206.83000000066</v>
      </c>
      <c r="L704" s="40">
        <f t="shared" si="10"/>
        <v>2.22375</v>
      </c>
      <c r="M704" s="40"/>
      <c r="N704" s="40"/>
      <c r="O704" s="40"/>
      <c r="P704" s="39"/>
      <c r="Q704" s="39"/>
      <c r="R704" s="39"/>
      <c r="S704" s="39"/>
      <c r="T704" s="39"/>
    </row>
    <row r="705" spans="1:20" x14ac:dyDescent="0.25">
      <c r="A705" t="s">
        <v>165</v>
      </c>
      <c r="B705" s="37">
        <v>20</v>
      </c>
      <c r="C705" t="str">
        <f>_xlfn.XLOOKUP(B705,'Centro de Custo'!A$2:A$45,'Centro de Custo'!B$2:B$45)</f>
        <v>Desp. ADM</v>
      </c>
      <c r="E705" s="39">
        <v>-335.72</v>
      </c>
      <c r="F705" s="40" t="s">
        <v>10</v>
      </c>
      <c r="G705" s="41">
        <v>45715</v>
      </c>
      <c r="H705" s="42">
        <f>YEAR(Tabela3[[#This Row],[Data]])</f>
        <v>2025</v>
      </c>
      <c r="I705" s="42" t="str">
        <f>_xlfn.XLOOKUP(J705,'Centro de Custo'!J$2:J$13,'Centro de Custo'!K$2:K$13)</f>
        <v>Fevereiro</v>
      </c>
      <c r="J705" s="43">
        <f>MONTH(Tabela3[[#This Row],[Data]])</f>
        <v>2</v>
      </c>
      <c r="K705" s="39">
        <f>SUM(E$3:Tabela3[[#This Row],[Valor]])</f>
        <v>213871.11000000066</v>
      </c>
      <c r="L705" s="40">
        <f t="shared" si="10"/>
        <v>2.22375</v>
      </c>
      <c r="M705" s="40"/>
      <c r="N705" s="40"/>
      <c r="O705" s="40"/>
      <c r="P705" s="39"/>
      <c r="Q705" s="39"/>
      <c r="R705" s="39"/>
      <c r="S705" s="39"/>
      <c r="T705" s="39"/>
    </row>
    <row r="706" spans="1:20" x14ac:dyDescent="0.25">
      <c r="A706" t="s">
        <v>391</v>
      </c>
      <c r="B706" s="37">
        <v>4</v>
      </c>
      <c r="C706" t="str">
        <f>_xlfn.XLOOKUP(B706,'Centro de Custo'!A$2:A$45,'Centro de Custo'!B$2:B$45)</f>
        <v>Reforma</v>
      </c>
      <c r="E706" s="39">
        <v>-792.49</v>
      </c>
      <c r="F706" s="40" t="s">
        <v>10</v>
      </c>
      <c r="G706" s="41">
        <v>45715</v>
      </c>
      <c r="H706" s="42">
        <f>YEAR(Tabela3[[#This Row],[Data]])</f>
        <v>2025</v>
      </c>
      <c r="I706" s="42" t="str">
        <f>_xlfn.XLOOKUP(J706,'Centro de Custo'!J$2:J$13,'Centro de Custo'!K$2:K$13)</f>
        <v>Fevereiro</v>
      </c>
      <c r="J706" s="43">
        <f>MONTH(Tabela3[[#This Row],[Data]])</f>
        <v>2</v>
      </c>
      <c r="K706" s="39">
        <f>SUM(E$3:Tabela3[[#This Row],[Valor]])</f>
        <v>213078.62000000066</v>
      </c>
      <c r="L706" s="40">
        <f t="shared" si="10"/>
        <v>2.22375</v>
      </c>
      <c r="M706" s="40"/>
      <c r="N706" s="40"/>
      <c r="O706" s="40"/>
      <c r="P706" s="39"/>
      <c r="Q706" s="39"/>
      <c r="R706" s="39"/>
      <c r="S706" s="39"/>
      <c r="T706" s="39"/>
    </row>
    <row r="707" spans="1:20" x14ac:dyDescent="0.25">
      <c r="A707" t="s">
        <v>392</v>
      </c>
      <c r="B707" s="37">
        <v>30</v>
      </c>
      <c r="C707" t="str">
        <f>_xlfn.XLOOKUP(B707,'Centro de Custo'!A$2:A$45,'Centro de Custo'!B$2:B$45)</f>
        <v>Impostos</v>
      </c>
      <c r="E707" s="39">
        <v>-14389.79</v>
      </c>
      <c r="F707" s="40" t="s">
        <v>10</v>
      </c>
      <c r="G707" s="41">
        <v>45715</v>
      </c>
      <c r="H707" s="42">
        <f>YEAR(Tabela3[[#This Row],[Data]])</f>
        <v>2025</v>
      </c>
      <c r="I707" s="42" t="str">
        <f>_xlfn.XLOOKUP(J707,'Centro de Custo'!J$2:J$13,'Centro de Custo'!K$2:K$13)</f>
        <v>Fevereiro</v>
      </c>
      <c r="J707" s="43">
        <f>MONTH(Tabela3[[#This Row],[Data]])</f>
        <v>2</v>
      </c>
      <c r="K707" s="39">
        <f>SUM(E$3:Tabela3[[#This Row],[Valor]])</f>
        <v>198688.83000000066</v>
      </c>
      <c r="L707" s="40">
        <f t="shared" ref="L707:L770" si="11">17.79/8</f>
        <v>2.22375</v>
      </c>
      <c r="M707" s="40"/>
      <c r="N707" s="40"/>
      <c r="O707" s="40"/>
      <c r="P707" s="39"/>
      <c r="Q707" s="39"/>
      <c r="R707" s="39"/>
      <c r="S707" s="39"/>
      <c r="T707" s="39"/>
    </row>
    <row r="708" spans="1:20" x14ac:dyDescent="0.25">
      <c r="A708" s="46" t="s">
        <v>393</v>
      </c>
      <c r="B708" s="37">
        <v>30</v>
      </c>
      <c r="C708" t="str">
        <f>_xlfn.XLOOKUP(B708,'Centro de Custo'!A$2:A$45,'Centro de Custo'!B$2:B$45)</f>
        <v>Impostos</v>
      </c>
      <c r="E708" s="39">
        <v>-14389.79</v>
      </c>
      <c r="F708" s="40" t="s">
        <v>10</v>
      </c>
      <c r="G708" s="41">
        <v>45715</v>
      </c>
      <c r="H708" s="42">
        <f>YEAR(Tabela3[[#This Row],[Data]])</f>
        <v>2025</v>
      </c>
      <c r="I708" s="42" t="str">
        <f>_xlfn.XLOOKUP(J708,'Centro de Custo'!J$2:J$13,'Centro de Custo'!K$2:K$13)</f>
        <v>Fevereiro</v>
      </c>
      <c r="J708" s="43">
        <f>MONTH(Tabela3[[#This Row],[Data]])</f>
        <v>2</v>
      </c>
      <c r="K708" s="39">
        <f>SUM(E$3:Tabela3[[#This Row],[Valor]])</f>
        <v>184299.04000000065</v>
      </c>
      <c r="L708" s="40">
        <f t="shared" si="11"/>
        <v>2.22375</v>
      </c>
      <c r="M708" s="40"/>
      <c r="N708" s="40"/>
      <c r="O708" s="40"/>
      <c r="P708" s="39"/>
      <c r="Q708" s="39"/>
      <c r="R708" s="39"/>
      <c r="S708" s="39"/>
      <c r="T708" s="39"/>
    </row>
    <row r="709" spans="1:20" x14ac:dyDescent="0.25">
      <c r="A709" s="48" t="s">
        <v>394</v>
      </c>
      <c r="B709" s="37">
        <v>11</v>
      </c>
      <c r="C709" t="str">
        <f>_xlfn.XLOOKUP(B709,'Centro de Custo'!A$2:A$45,'Centro de Custo'!B$2:B$45)</f>
        <v>Distribuição de Lucro</v>
      </c>
      <c r="E709" s="39">
        <v>-80000</v>
      </c>
      <c r="F709" s="40" t="s">
        <v>10</v>
      </c>
      <c r="G709" s="41">
        <v>45715</v>
      </c>
      <c r="H709" s="42">
        <f>YEAR(Tabela3[[#This Row],[Data]])</f>
        <v>2025</v>
      </c>
      <c r="I709" s="42" t="str">
        <f>_xlfn.XLOOKUP(J709,'Centro de Custo'!J$2:J$13,'Centro de Custo'!K$2:K$13)</f>
        <v>Fevereiro</v>
      </c>
      <c r="J709" s="43">
        <f>MONTH(Tabela3[[#This Row],[Data]])</f>
        <v>2</v>
      </c>
      <c r="K709" s="39">
        <f>SUM(E$3:Tabela3[[#This Row],[Valor]])</f>
        <v>104299.04000000065</v>
      </c>
      <c r="L709" s="40">
        <f t="shared" si="11"/>
        <v>2.22375</v>
      </c>
      <c r="M709" s="40"/>
      <c r="N709" s="40"/>
      <c r="O709" s="40"/>
      <c r="P709" s="39"/>
      <c r="Q709" s="39"/>
      <c r="R709" s="39"/>
      <c r="S709" s="39"/>
      <c r="T709" s="39"/>
    </row>
    <row r="710" spans="1:20" x14ac:dyDescent="0.25">
      <c r="A710" t="s">
        <v>178</v>
      </c>
      <c r="B710" s="37">
        <v>20</v>
      </c>
      <c r="C710" t="str">
        <f>_xlfn.XLOOKUP(B710,'Centro de Custo'!A$2:A$45,'Centro de Custo'!B$2:B$45)</f>
        <v>Desp. ADM</v>
      </c>
      <c r="E710" s="39">
        <v>-169.9</v>
      </c>
      <c r="F710" s="40" t="s">
        <v>10</v>
      </c>
      <c r="G710" s="41">
        <v>45716</v>
      </c>
      <c r="H710" s="42">
        <f>YEAR(Tabela3[[#This Row],[Data]])</f>
        <v>2025</v>
      </c>
      <c r="I710" s="42" t="str">
        <f>_xlfn.XLOOKUP(J710,'Centro de Custo'!J$2:J$13,'Centro de Custo'!K$2:K$13)</f>
        <v>Fevereiro</v>
      </c>
      <c r="J710" s="43">
        <f>MONTH(Tabela3[[#This Row],[Data]])</f>
        <v>2</v>
      </c>
      <c r="K710" s="39">
        <f>SUM(E$3:Tabela3[[#This Row],[Valor]])</f>
        <v>104129.14000000065</v>
      </c>
      <c r="L710" s="40">
        <f t="shared" si="11"/>
        <v>2.22375</v>
      </c>
      <c r="M710" s="40"/>
      <c r="N710" s="40"/>
      <c r="O710" s="40"/>
      <c r="P710" s="39"/>
      <c r="Q710" s="39"/>
      <c r="R710" s="39"/>
      <c r="S710" s="39"/>
      <c r="T710" s="39"/>
    </row>
    <row r="711" spans="1:20" x14ac:dyDescent="0.25">
      <c r="A711" t="s">
        <v>395</v>
      </c>
      <c r="B711" s="37">
        <v>14</v>
      </c>
      <c r="C711" t="str">
        <f>_xlfn.XLOOKUP(B711,'Centro de Custo'!A$2:A$45,'Centro de Custo'!B$2:B$45)</f>
        <v>Outros</v>
      </c>
      <c r="E711" s="39">
        <v>-235.35</v>
      </c>
      <c r="F711" s="40" t="s">
        <v>10</v>
      </c>
      <c r="G711" s="41">
        <v>45716</v>
      </c>
      <c r="H711" s="42">
        <f>YEAR(Tabela3[[#This Row],[Data]])</f>
        <v>2025</v>
      </c>
      <c r="I711" s="42" t="str">
        <f>_xlfn.XLOOKUP(J711,'Centro de Custo'!J$2:J$13,'Centro de Custo'!K$2:K$13)</f>
        <v>Fevereiro</v>
      </c>
      <c r="J711" s="43">
        <f>MONTH(Tabela3[[#This Row],[Data]])</f>
        <v>2</v>
      </c>
      <c r="K711" s="39">
        <f>SUM(E$3:Tabela3[[#This Row],[Valor]])</f>
        <v>103893.79000000065</v>
      </c>
      <c r="L711" s="40">
        <f t="shared" si="11"/>
        <v>2.22375</v>
      </c>
      <c r="M711" s="40"/>
      <c r="N711" s="40"/>
      <c r="O711" s="40"/>
      <c r="P711" s="39"/>
      <c r="Q711" s="39"/>
      <c r="R711" s="39"/>
      <c r="S711" s="39"/>
      <c r="T711" s="39"/>
    </row>
    <row r="712" spans="1:20" x14ac:dyDescent="0.25">
      <c r="A712" t="s">
        <v>396</v>
      </c>
      <c r="B712" s="37">
        <v>15</v>
      </c>
      <c r="C712" t="str">
        <f>_xlfn.XLOOKUP(B712,'Centro de Custo'!A$2:A$45,'Centro de Custo'!B$2:B$45)</f>
        <v>Viagens</v>
      </c>
      <c r="E712" s="39">
        <v>-2030</v>
      </c>
      <c r="F712" s="40" t="s">
        <v>10</v>
      </c>
      <c r="G712" s="41">
        <v>45716</v>
      </c>
      <c r="H712" s="42">
        <f>YEAR(Tabela3[[#This Row],[Data]])</f>
        <v>2025</v>
      </c>
      <c r="I712" s="42" t="str">
        <f>_xlfn.XLOOKUP(J712,'Centro de Custo'!J$2:J$13,'Centro de Custo'!K$2:K$13)</f>
        <v>Fevereiro</v>
      </c>
      <c r="J712" s="43">
        <f>MONTH(Tabela3[[#This Row],[Data]])</f>
        <v>2</v>
      </c>
      <c r="K712" s="39">
        <f>SUM(E$3:Tabela3[[#This Row],[Valor]])</f>
        <v>101863.79000000065</v>
      </c>
      <c r="L712" s="40">
        <f t="shared" si="11"/>
        <v>2.22375</v>
      </c>
      <c r="M712" s="40"/>
      <c r="N712" s="40"/>
      <c r="O712" s="40"/>
      <c r="P712" s="39"/>
      <c r="Q712" s="39"/>
      <c r="R712" s="39"/>
      <c r="S712" s="39"/>
      <c r="T712" s="39"/>
    </row>
    <row r="713" spans="1:20" x14ac:dyDescent="0.25">
      <c r="A713" t="s">
        <v>318</v>
      </c>
      <c r="B713" s="37">
        <v>4</v>
      </c>
      <c r="C713" t="str">
        <f>_xlfn.XLOOKUP(B713,'Centro de Custo'!A$2:A$45,'Centro de Custo'!B$2:B$45)</f>
        <v>Reforma</v>
      </c>
      <c r="D713" s="47" t="s">
        <v>76</v>
      </c>
      <c r="E713" s="39">
        <v>-12393.05</v>
      </c>
      <c r="F713" s="40" t="s">
        <v>10</v>
      </c>
      <c r="G713" s="41">
        <v>45716</v>
      </c>
      <c r="H713" s="42">
        <f>YEAR(Tabela3[[#This Row],[Data]])</f>
        <v>2025</v>
      </c>
      <c r="I713" s="42" t="str">
        <f>_xlfn.XLOOKUP(J713,'Centro de Custo'!J$2:J$13,'Centro de Custo'!K$2:K$13)</f>
        <v>Fevereiro</v>
      </c>
      <c r="J713" s="43">
        <f>MONTH(Tabela3[[#This Row],[Data]])</f>
        <v>2</v>
      </c>
      <c r="K713" s="39">
        <f>SUM(E$3:Tabela3[[#This Row],[Valor]])</f>
        <v>89470.74000000065</v>
      </c>
      <c r="L713" s="40">
        <f t="shared" si="11"/>
        <v>2.22375</v>
      </c>
      <c r="M713" s="40"/>
      <c r="N713" s="40"/>
      <c r="O713" s="40"/>
      <c r="P713" s="39"/>
      <c r="Q713" s="39"/>
      <c r="R713" s="39"/>
      <c r="S713" s="39"/>
      <c r="T713" s="39"/>
    </row>
    <row r="714" spans="1:20" x14ac:dyDescent="0.25">
      <c r="A714" t="s">
        <v>167</v>
      </c>
      <c r="B714" s="37">
        <v>20</v>
      </c>
      <c r="C714" t="str">
        <f>_xlfn.XLOOKUP(B714,'Centro de Custo'!A$2:A$45,'Centro de Custo'!B$2:B$45)</f>
        <v>Desp. ADM</v>
      </c>
      <c r="E714" s="39">
        <v>-483.68</v>
      </c>
      <c r="F714" s="40" t="s">
        <v>10</v>
      </c>
      <c r="G714" s="41">
        <v>45721</v>
      </c>
      <c r="H714" s="42">
        <f>YEAR(Tabela3[[#This Row],[Data]])</f>
        <v>2025</v>
      </c>
      <c r="I714" s="42" t="str">
        <f>_xlfn.XLOOKUP(J714,'Centro de Custo'!J$2:J$13,'Centro de Custo'!K$2:K$13)</f>
        <v>Março</v>
      </c>
      <c r="J714" s="43">
        <f>MONTH(Tabela3[[#This Row],[Data]])</f>
        <v>3</v>
      </c>
      <c r="K714" s="39">
        <f>SUM(E$3:Tabela3[[#This Row],[Valor]])</f>
        <v>88987.06000000065</v>
      </c>
      <c r="L714" s="40">
        <f t="shared" si="11"/>
        <v>2.22375</v>
      </c>
      <c r="M714" s="40"/>
      <c r="N714" s="40"/>
      <c r="O714" s="40"/>
      <c r="P714" s="39"/>
      <c r="Q714" s="39"/>
      <c r="R714" s="39"/>
      <c r="S714" s="39"/>
      <c r="T714" s="39"/>
    </row>
    <row r="715" spans="1:20" x14ac:dyDescent="0.25">
      <c r="A715" t="s">
        <v>349</v>
      </c>
      <c r="B715" s="37">
        <v>5</v>
      </c>
      <c r="C715" t="str">
        <f>_xlfn.XLOOKUP(B715,'Centro de Custo'!A$2:A$45,'Centro de Custo'!B$2:B$45)</f>
        <v>Consultoria</v>
      </c>
      <c r="E715" s="39">
        <v>-700</v>
      </c>
      <c r="F715" s="40" t="s">
        <v>10</v>
      </c>
      <c r="G715" s="41">
        <v>45721</v>
      </c>
      <c r="H715" s="42">
        <f>YEAR(Tabela3[[#This Row],[Data]])</f>
        <v>2025</v>
      </c>
      <c r="I715" s="42" t="str">
        <f>_xlfn.XLOOKUP(J715,'Centro de Custo'!J$2:J$13,'Centro de Custo'!K$2:K$13)</f>
        <v>Março</v>
      </c>
      <c r="J715" s="43">
        <f>MONTH(Tabela3[[#This Row],[Data]])</f>
        <v>3</v>
      </c>
      <c r="K715" s="39">
        <f>SUM(E$3:Tabela3[[#This Row],[Valor]])</f>
        <v>88287.06000000065</v>
      </c>
      <c r="L715" s="40">
        <f t="shared" si="11"/>
        <v>2.22375</v>
      </c>
      <c r="M715" s="40"/>
      <c r="N715" s="40"/>
      <c r="O715" s="40"/>
      <c r="P715" s="39"/>
      <c r="Q715" s="39"/>
      <c r="R715" s="39"/>
      <c r="S715" s="39"/>
      <c r="T715" s="39"/>
    </row>
    <row r="716" spans="1:20" x14ac:dyDescent="0.25">
      <c r="A716" t="s">
        <v>397</v>
      </c>
      <c r="B716" s="37">
        <v>10</v>
      </c>
      <c r="C716" t="str">
        <f>_xlfn.XLOOKUP(B716,'Centro de Custo'!A$2:A$45,'Centro de Custo'!B$2:B$45)</f>
        <v>Retirada Mensal</v>
      </c>
      <c r="E716" s="39">
        <v>-1504.23</v>
      </c>
      <c r="F716" s="40" t="s">
        <v>10</v>
      </c>
      <c r="G716" s="41">
        <v>45721</v>
      </c>
      <c r="H716" s="42">
        <f>YEAR(Tabela3[[#This Row],[Data]])</f>
        <v>2025</v>
      </c>
      <c r="I716" s="42" t="str">
        <f>_xlfn.XLOOKUP(J716,'Centro de Custo'!J$2:J$13,'Centro de Custo'!K$2:K$13)</f>
        <v>Março</v>
      </c>
      <c r="J716" s="43">
        <f>MONTH(Tabela3[[#This Row],[Data]])</f>
        <v>3</v>
      </c>
      <c r="K716" s="39">
        <f>SUM(E$3:Tabela3[[#This Row],[Valor]])</f>
        <v>86782.83000000066</v>
      </c>
      <c r="L716" s="40">
        <f t="shared" si="11"/>
        <v>2.22375</v>
      </c>
      <c r="M716" s="40"/>
      <c r="N716" s="40"/>
      <c r="O716" s="40"/>
      <c r="P716" s="39"/>
      <c r="Q716" s="39"/>
      <c r="R716" s="39"/>
      <c r="S716" s="39"/>
      <c r="T716" s="39"/>
    </row>
    <row r="717" spans="1:20" x14ac:dyDescent="0.25">
      <c r="A717" t="s">
        <v>398</v>
      </c>
      <c r="B717" s="37">
        <v>14</v>
      </c>
      <c r="C717" t="str">
        <f>_xlfn.XLOOKUP(B717,'Centro de Custo'!A$2:A$45,'Centro de Custo'!B$2:B$45)</f>
        <v>Outros</v>
      </c>
      <c r="E717" s="39">
        <v>-2300</v>
      </c>
      <c r="F717" s="40" t="s">
        <v>10</v>
      </c>
      <c r="G717" s="41">
        <v>45721</v>
      </c>
      <c r="H717" s="42">
        <f>YEAR(Tabela3[[#This Row],[Data]])</f>
        <v>2025</v>
      </c>
      <c r="I717" s="42" t="str">
        <f>_xlfn.XLOOKUP(J717,'Centro de Custo'!J$2:J$13,'Centro de Custo'!K$2:K$13)</f>
        <v>Março</v>
      </c>
      <c r="J717" s="43">
        <f>MONTH(Tabela3[[#This Row],[Data]])</f>
        <v>3</v>
      </c>
      <c r="K717" s="39">
        <f>SUM(E$3:Tabela3[[#This Row],[Valor]])</f>
        <v>84482.83000000066</v>
      </c>
      <c r="L717" s="40">
        <f t="shared" si="11"/>
        <v>2.22375</v>
      </c>
      <c r="M717" s="40"/>
      <c r="N717" s="40"/>
      <c r="O717" s="40"/>
      <c r="P717" s="39"/>
      <c r="Q717" s="39"/>
      <c r="R717" s="39"/>
      <c r="S717" s="39"/>
      <c r="T717" s="39"/>
    </row>
    <row r="718" spans="1:20" x14ac:dyDescent="0.25">
      <c r="A718" t="s">
        <v>56</v>
      </c>
      <c r="B718" s="37">
        <v>17</v>
      </c>
      <c r="C718" t="str">
        <f>_xlfn.XLOOKUP(B718,'Centro de Custo'!A$2:A$45,'Centro de Custo'!B$2:B$45)</f>
        <v>Outros (Socios)</v>
      </c>
      <c r="E718" s="39">
        <v>-2500</v>
      </c>
      <c r="F718" s="40" t="s">
        <v>10</v>
      </c>
      <c r="G718" s="41">
        <v>45721</v>
      </c>
      <c r="H718" s="42">
        <f>YEAR(Tabela3[[#This Row],[Data]])</f>
        <v>2025</v>
      </c>
      <c r="I718" s="42" t="str">
        <f>_xlfn.XLOOKUP(J718,'Centro de Custo'!J$2:J$13,'Centro de Custo'!K$2:K$13)</f>
        <v>Março</v>
      </c>
      <c r="J718" s="43">
        <f>MONTH(Tabela3[[#This Row],[Data]])</f>
        <v>3</v>
      </c>
      <c r="K718" s="39">
        <f>SUM(E$3:Tabela3[[#This Row],[Valor]])</f>
        <v>81982.83000000066</v>
      </c>
      <c r="L718" s="40">
        <f t="shared" si="11"/>
        <v>2.22375</v>
      </c>
      <c r="M718" s="40"/>
      <c r="N718" s="40"/>
      <c r="O718" s="40"/>
      <c r="P718" s="39"/>
      <c r="Q718" s="39"/>
      <c r="R718" s="39"/>
      <c r="S718" s="39"/>
      <c r="T718" s="39"/>
    </row>
    <row r="719" spans="1:20" x14ac:dyDescent="0.25">
      <c r="A719" t="s">
        <v>55</v>
      </c>
      <c r="B719" s="37">
        <v>14</v>
      </c>
      <c r="C719" t="str">
        <f>_xlfn.XLOOKUP(B719,'Centro de Custo'!A$2:A$45,'Centro de Custo'!B$2:B$45)</f>
        <v>Outros</v>
      </c>
      <c r="E719" s="39">
        <v>-2500</v>
      </c>
      <c r="F719" s="40" t="s">
        <v>10</v>
      </c>
      <c r="G719" s="41">
        <v>45721</v>
      </c>
      <c r="H719" s="42">
        <f>YEAR(Tabela3[[#This Row],[Data]])</f>
        <v>2025</v>
      </c>
      <c r="I719" s="42" t="str">
        <f>_xlfn.XLOOKUP(J719,'Centro de Custo'!J$2:J$13,'Centro de Custo'!K$2:K$13)</f>
        <v>Março</v>
      </c>
      <c r="J719" s="43">
        <f>MONTH(Tabela3[[#This Row],[Data]])</f>
        <v>3</v>
      </c>
      <c r="K719" s="39">
        <f>SUM(E$3:Tabela3[[#This Row],[Valor]])</f>
        <v>79482.83000000066</v>
      </c>
      <c r="L719" s="40">
        <f t="shared" si="11"/>
        <v>2.22375</v>
      </c>
      <c r="M719" s="40"/>
      <c r="N719" s="40"/>
      <c r="O719" s="40"/>
      <c r="P719" s="39"/>
      <c r="Q719" s="39"/>
      <c r="R719" s="39"/>
      <c r="S719" s="39"/>
      <c r="T719" s="39"/>
    </row>
    <row r="720" spans="1:20" x14ac:dyDescent="0.25">
      <c r="A720" t="s">
        <v>326</v>
      </c>
      <c r="B720" s="37">
        <v>14</v>
      </c>
      <c r="C720" t="str">
        <f>_xlfn.XLOOKUP(B720,'Centro de Custo'!A$2:A$45,'Centro de Custo'!B$2:B$45)</f>
        <v>Outros</v>
      </c>
      <c r="E720" s="39">
        <v>-2500</v>
      </c>
      <c r="F720" s="40" t="s">
        <v>10</v>
      </c>
      <c r="G720" s="41">
        <v>45721</v>
      </c>
      <c r="H720" s="42">
        <f>YEAR(Tabela3[[#This Row],[Data]])</f>
        <v>2025</v>
      </c>
      <c r="I720" s="42" t="str">
        <f>_xlfn.XLOOKUP(J720,'Centro de Custo'!J$2:J$13,'Centro de Custo'!K$2:K$13)</f>
        <v>Março</v>
      </c>
      <c r="J720" s="43">
        <f>MONTH(Tabela3[[#This Row],[Data]])</f>
        <v>3</v>
      </c>
      <c r="K720" s="39">
        <f>SUM(E$3:Tabela3[[#This Row],[Valor]])</f>
        <v>76982.83000000066</v>
      </c>
      <c r="L720" s="40">
        <f t="shared" si="11"/>
        <v>2.22375</v>
      </c>
      <c r="M720" s="40"/>
      <c r="N720" s="40"/>
      <c r="O720" s="40"/>
      <c r="P720" s="39"/>
      <c r="Q720" s="39"/>
      <c r="R720" s="39"/>
      <c r="S720" s="39"/>
      <c r="T720" s="39"/>
    </row>
    <row r="721" spans="1:20" x14ac:dyDescent="0.25">
      <c r="A721" s="48" t="s">
        <v>366</v>
      </c>
      <c r="B721" s="37">
        <v>14</v>
      </c>
      <c r="C721" t="str">
        <f>_xlfn.XLOOKUP(B721,'Centro de Custo'!A$2:A$45,'Centro de Custo'!B$2:B$45)</f>
        <v>Outros</v>
      </c>
      <c r="E721" s="39">
        <v>-2500</v>
      </c>
      <c r="F721" s="40" t="s">
        <v>10</v>
      </c>
      <c r="G721" s="41">
        <v>45721</v>
      </c>
      <c r="H721" s="42">
        <f>YEAR(Tabela3[[#This Row],[Data]])</f>
        <v>2025</v>
      </c>
      <c r="I721" s="42" t="str">
        <f>_xlfn.XLOOKUP(J721,'Centro de Custo'!J$2:J$13,'Centro de Custo'!K$2:K$13)</f>
        <v>Março</v>
      </c>
      <c r="J721" s="43">
        <f>MONTH(Tabela3[[#This Row],[Data]])</f>
        <v>3</v>
      </c>
      <c r="K721" s="39">
        <f>SUM(E$3:Tabela3[[#This Row],[Valor]])</f>
        <v>74482.83000000066</v>
      </c>
      <c r="L721" s="40">
        <f t="shared" si="11"/>
        <v>2.22375</v>
      </c>
      <c r="M721" s="40"/>
      <c r="N721" s="40"/>
      <c r="O721" s="40"/>
      <c r="P721" s="39"/>
      <c r="Q721" s="39"/>
      <c r="R721" s="39"/>
      <c r="S721" s="39"/>
      <c r="T721" s="39"/>
    </row>
    <row r="722" spans="1:20" x14ac:dyDescent="0.25">
      <c r="A722" t="s">
        <v>399</v>
      </c>
      <c r="B722" s="37">
        <v>10</v>
      </c>
      <c r="C722" t="str">
        <f>_xlfn.XLOOKUP(B722,'Centro de Custo'!A$2:A$45,'Centro de Custo'!B$2:B$45)</f>
        <v>Retirada Mensal</v>
      </c>
      <c r="E722" s="39">
        <v>-7000</v>
      </c>
      <c r="F722" s="40" t="s">
        <v>10</v>
      </c>
      <c r="G722" s="41">
        <v>45721</v>
      </c>
      <c r="H722" s="42">
        <f>YEAR(Tabela3[[#This Row],[Data]])</f>
        <v>2025</v>
      </c>
      <c r="I722" s="42" t="str">
        <f>_xlfn.XLOOKUP(J722,'Centro de Custo'!J$2:J$13,'Centro de Custo'!K$2:K$13)</f>
        <v>Março</v>
      </c>
      <c r="J722" s="43">
        <f>MONTH(Tabela3[[#This Row],[Data]])</f>
        <v>3</v>
      </c>
      <c r="K722" s="39">
        <f>SUM(E$3:Tabela3[[#This Row],[Valor]])</f>
        <v>67482.83000000066</v>
      </c>
      <c r="L722" s="40">
        <f t="shared" si="11"/>
        <v>2.22375</v>
      </c>
      <c r="M722" s="40"/>
      <c r="N722" s="40"/>
      <c r="O722" s="40"/>
      <c r="P722" s="39"/>
      <c r="Q722" s="39"/>
      <c r="R722" s="39"/>
      <c r="S722" s="39"/>
      <c r="T722" s="39"/>
    </row>
    <row r="723" spans="1:20" x14ac:dyDescent="0.25">
      <c r="A723" t="s">
        <v>400</v>
      </c>
      <c r="B723" s="37">
        <v>20</v>
      </c>
      <c r="C723" t="str">
        <f>_xlfn.XLOOKUP(B723,'Centro de Custo'!A$2:A$45,'Centro de Custo'!B$2:B$45)</f>
        <v>Desp. ADM</v>
      </c>
      <c r="E723" s="39">
        <v>-8174.7</v>
      </c>
      <c r="F723" s="40" t="s">
        <v>10</v>
      </c>
      <c r="G723" s="41">
        <v>45721</v>
      </c>
      <c r="H723" s="42">
        <f>YEAR(Tabela3[[#This Row],[Data]])</f>
        <v>2025</v>
      </c>
      <c r="I723" s="42" t="str">
        <f>_xlfn.XLOOKUP(J723,'Centro de Custo'!J$2:J$13,'Centro de Custo'!K$2:K$13)</f>
        <v>Março</v>
      </c>
      <c r="J723" s="43">
        <f>MONTH(Tabela3[[#This Row],[Data]])</f>
        <v>3</v>
      </c>
      <c r="K723" s="39">
        <f>SUM(E$3:Tabela3[[#This Row],[Valor]])</f>
        <v>59308.13000000066</v>
      </c>
      <c r="L723" s="40">
        <f t="shared" si="11"/>
        <v>2.22375</v>
      </c>
      <c r="M723" s="40"/>
      <c r="N723" s="40"/>
      <c r="O723" s="40"/>
      <c r="P723" s="39"/>
      <c r="Q723" s="39"/>
      <c r="R723" s="39"/>
      <c r="S723" s="39"/>
      <c r="T723" s="39"/>
    </row>
    <row r="724" spans="1:20" x14ac:dyDescent="0.25">
      <c r="A724" t="s">
        <v>56</v>
      </c>
      <c r="B724" s="37">
        <v>10</v>
      </c>
      <c r="C724" t="str">
        <f>_xlfn.XLOOKUP(B724,'Centro de Custo'!A$2:A$45,'Centro de Custo'!B$2:B$45)</f>
        <v>Retirada Mensal</v>
      </c>
      <c r="E724" s="39">
        <v>-10000</v>
      </c>
      <c r="F724" s="40" t="s">
        <v>10</v>
      </c>
      <c r="G724" s="41">
        <v>45721</v>
      </c>
      <c r="H724" s="42">
        <f>YEAR(Tabela3[[#This Row],[Data]])</f>
        <v>2025</v>
      </c>
      <c r="I724" s="42" t="str">
        <f>_xlfn.XLOOKUP(J724,'Centro de Custo'!J$2:J$13,'Centro de Custo'!K$2:K$13)</f>
        <v>Março</v>
      </c>
      <c r="J724" s="43">
        <f>MONTH(Tabela3[[#This Row],[Data]])</f>
        <v>3</v>
      </c>
      <c r="K724" s="39">
        <f>SUM(E$3:Tabela3[[#This Row],[Valor]])</f>
        <v>49308.13000000066</v>
      </c>
      <c r="L724" s="40">
        <f t="shared" si="11"/>
        <v>2.22375</v>
      </c>
      <c r="M724" s="40"/>
      <c r="N724" s="40"/>
      <c r="O724" s="40"/>
      <c r="P724" s="39"/>
      <c r="Q724" s="39"/>
      <c r="R724" s="39"/>
      <c r="S724" s="39"/>
      <c r="T724" s="39"/>
    </row>
    <row r="725" spans="1:20" x14ac:dyDescent="0.25">
      <c r="A725" t="s">
        <v>55</v>
      </c>
      <c r="B725" s="37">
        <v>10</v>
      </c>
      <c r="C725" t="str">
        <f>_xlfn.XLOOKUP(B725,'Centro de Custo'!A$2:A$45,'Centro de Custo'!B$2:B$45)</f>
        <v>Retirada Mensal</v>
      </c>
      <c r="E725" s="39">
        <v>-10000</v>
      </c>
      <c r="F725" s="40" t="s">
        <v>10</v>
      </c>
      <c r="G725" s="41">
        <v>45721</v>
      </c>
      <c r="H725" s="42">
        <f>YEAR(Tabela3[[#This Row],[Data]])</f>
        <v>2025</v>
      </c>
      <c r="I725" s="42" t="str">
        <f>_xlfn.XLOOKUP(J725,'Centro de Custo'!J$2:J$13,'Centro de Custo'!K$2:K$13)</f>
        <v>Março</v>
      </c>
      <c r="J725" s="43">
        <f>MONTH(Tabela3[[#This Row],[Data]])</f>
        <v>3</v>
      </c>
      <c r="K725" s="39">
        <f>SUM(E$3:Tabela3[[#This Row],[Valor]])</f>
        <v>39308.13000000066</v>
      </c>
      <c r="L725" s="40">
        <f t="shared" si="11"/>
        <v>2.22375</v>
      </c>
      <c r="M725" s="40"/>
      <c r="N725" s="40"/>
      <c r="O725" s="40"/>
      <c r="P725" s="39"/>
      <c r="Q725" s="39"/>
      <c r="R725" s="39"/>
      <c r="S725" s="39"/>
      <c r="T725" s="39"/>
    </row>
    <row r="726" spans="1:20" x14ac:dyDescent="0.25">
      <c r="A726" t="s">
        <v>92</v>
      </c>
      <c r="B726" s="37">
        <v>10</v>
      </c>
      <c r="C726" t="str">
        <f>_xlfn.XLOOKUP(B726,'Centro de Custo'!A$2:A$45,'Centro de Custo'!B$2:B$45)</f>
        <v>Retirada Mensal</v>
      </c>
      <c r="E726" s="39">
        <v>-10000</v>
      </c>
      <c r="F726" s="40" t="s">
        <v>10</v>
      </c>
      <c r="G726" s="41">
        <v>45721</v>
      </c>
      <c r="H726" s="42">
        <f>YEAR(Tabela3[[#This Row],[Data]])</f>
        <v>2025</v>
      </c>
      <c r="I726" s="42" t="str">
        <f>_xlfn.XLOOKUP(J726,'Centro de Custo'!J$2:J$13,'Centro de Custo'!K$2:K$13)</f>
        <v>Março</v>
      </c>
      <c r="J726" s="43">
        <f>MONTH(Tabela3[[#This Row],[Data]])</f>
        <v>3</v>
      </c>
      <c r="K726" s="39">
        <f>SUM(E$3:Tabela3[[#This Row],[Valor]])</f>
        <v>29308.13000000066</v>
      </c>
      <c r="L726" s="40">
        <f t="shared" si="11"/>
        <v>2.22375</v>
      </c>
      <c r="M726" s="40"/>
      <c r="N726" s="40"/>
      <c r="O726" s="40"/>
      <c r="P726" s="39"/>
      <c r="Q726" s="39"/>
      <c r="R726" s="39"/>
      <c r="S726" s="39"/>
      <c r="T726" s="39"/>
    </row>
    <row r="727" spans="1:20" x14ac:dyDescent="0.25">
      <c r="A727" s="48" t="s">
        <v>58</v>
      </c>
      <c r="B727" s="37">
        <v>10</v>
      </c>
      <c r="C727" t="str">
        <f>_xlfn.XLOOKUP(B727,'Centro de Custo'!A$2:A$45,'Centro de Custo'!B$2:B$45)</f>
        <v>Retirada Mensal</v>
      </c>
      <c r="E727" s="39">
        <v>-10000</v>
      </c>
      <c r="F727" s="40" t="s">
        <v>10</v>
      </c>
      <c r="G727" s="41">
        <v>45721</v>
      </c>
      <c r="H727" s="42">
        <f>YEAR(Tabela3[[#This Row],[Data]])</f>
        <v>2025</v>
      </c>
      <c r="I727" s="42" t="str">
        <f>_xlfn.XLOOKUP(J727,'Centro de Custo'!J$2:J$13,'Centro de Custo'!K$2:K$13)</f>
        <v>Março</v>
      </c>
      <c r="J727" s="43">
        <f>MONTH(Tabela3[[#This Row],[Data]])</f>
        <v>3</v>
      </c>
      <c r="K727" s="39">
        <f>SUM(E$3:Tabela3[[#This Row],[Valor]])</f>
        <v>19308.13000000066</v>
      </c>
      <c r="L727" s="40">
        <f t="shared" si="11"/>
        <v>2.22375</v>
      </c>
      <c r="M727" s="40"/>
      <c r="N727" s="40"/>
      <c r="O727" s="40"/>
      <c r="P727" s="39"/>
      <c r="Q727" s="39"/>
      <c r="R727" s="39"/>
      <c r="S727" s="39"/>
      <c r="T727" s="39"/>
    </row>
    <row r="728" spans="1:20" x14ac:dyDescent="0.25">
      <c r="A728" t="s">
        <v>401</v>
      </c>
      <c r="B728" s="37">
        <v>10</v>
      </c>
      <c r="C728" t="str">
        <f>_xlfn.XLOOKUP(B728,'Centro de Custo'!A$2:A$45,'Centro de Custo'!B$2:B$45)</f>
        <v>Retirada Mensal</v>
      </c>
      <c r="E728" s="39">
        <v>-10000</v>
      </c>
      <c r="F728" s="40" t="s">
        <v>10</v>
      </c>
      <c r="G728" s="41">
        <v>45721</v>
      </c>
      <c r="H728" s="42">
        <f>YEAR(Tabela3[[#This Row],[Data]])</f>
        <v>2025</v>
      </c>
      <c r="I728" s="42" t="str">
        <f>_xlfn.XLOOKUP(J728,'Centro de Custo'!J$2:J$13,'Centro de Custo'!K$2:K$13)</f>
        <v>Março</v>
      </c>
      <c r="J728" s="43">
        <f>MONTH(Tabela3[[#This Row],[Data]])</f>
        <v>3</v>
      </c>
      <c r="K728" s="39">
        <f>SUM(E$3:Tabela3[[#This Row],[Valor]])</f>
        <v>9308.13000000066</v>
      </c>
      <c r="L728" s="40">
        <f t="shared" si="11"/>
        <v>2.22375</v>
      </c>
      <c r="M728" s="40"/>
      <c r="N728" s="40"/>
      <c r="O728" s="40"/>
      <c r="P728" s="39"/>
      <c r="Q728" s="39"/>
      <c r="R728" s="39"/>
      <c r="S728" s="39"/>
      <c r="T728" s="39"/>
    </row>
    <row r="729" spans="1:20" x14ac:dyDescent="0.25">
      <c r="A729" t="s">
        <v>287</v>
      </c>
      <c r="B729" s="37">
        <v>41</v>
      </c>
      <c r="C729" t="str">
        <f>_xlfn.XLOOKUP(B729,'Centro de Custo'!A$2:A$45,'Centro de Custo'!B$2:B$45)</f>
        <v>Resgate Financeiro</v>
      </c>
      <c r="E729" s="39">
        <v>80000</v>
      </c>
      <c r="F729" s="40" t="s">
        <v>10</v>
      </c>
      <c r="G729" s="41">
        <v>45726</v>
      </c>
      <c r="H729" s="42">
        <f>YEAR(Tabela3[[#This Row],[Data]])</f>
        <v>2025</v>
      </c>
      <c r="I729" s="42" t="str">
        <f>_xlfn.XLOOKUP(J729,'Centro de Custo'!J$2:J$13,'Centro de Custo'!K$2:K$13)</f>
        <v>Março</v>
      </c>
      <c r="J729" s="43">
        <f>MONTH(Tabela3[[#This Row],[Data]])</f>
        <v>3</v>
      </c>
      <c r="K729" s="39">
        <f>SUM(E$3:Tabela3[[#This Row],[Valor]])</f>
        <v>89308.13000000066</v>
      </c>
      <c r="L729" s="40">
        <f t="shared" si="11"/>
        <v>2.22375</v>
      </c>
      <c r="M729" s="40"/>
      <c r="N729" s="40"/>
      <c r="O729" s="40"/>
      <c r="P729" s="39"/>
      <c r="Q729" s="39"/>
      <c r="R729" s="39"/>
      <c r="S729" s="39"/>
      <c r="T729" s="39"/>
    </row>
    <row r="730" spans="1:20" x14ac:dyDescent="0.25">
      <c r="A730" t="s">
        <v>244</v>
      </c>
      <c r="B730" s="37">
        <v>13</v>
      </c>
      <c r="C730" t="str">
        <f>_xlfn.XLOOKUP(B730,'Centro de Custo'!A$2:A$45,'Centro de Custo'!B$2:B$45)</f>
        <v>Terceirizados</v>
      </c>
      <c r="E730" s="39">
        <v>-503.73</v>
      </c>
      <c r="F730" s="40" t="s">
        <v>10</v>
      </c>
      <c r="G730" s="41">
        <v>45726</v>
      </c>
      <c r="H730" s="42">
        <f>YEAR(Tabela3[[#This Row],[Data]])</f>
        <v>2025</v>
      </c>
      <c r="I730" s="42" t="str">
        <f>_xlfn.XLOOKUP(J730,'Centro de Custo'!J$2:J$13,'Centro de Custo'!K$2:K$13)</f>
        <v>Março</v>
      </c>
      <c r="J730" s="43">
        <f>MONTH(Tabela3[[#This Row],[Data]])</f>
        <v>3</v>
      </c>
      <c r="K730" s="39">
        <f>SUM(E$3:Tabela3[[#This Row],[Valor]])</f>
        <v>88804.40000000066</v>
      </c>
      <c r="L730" s="40">
        <f t="shared" si="11"/>
        <v>2.22375</v>
      </c>
      <c r="M730" s="40"/>
      <c r="N730" s="40"/>
      <c r="O730" s="40"/>
      <c r="P730" s="39"/>
      <c r="Q730" s="39"/>
      <c r="R730" s="39"/>
      <c r="S730" s="39"/>
      <c r="T730" s="39"/>
    </row>
    <row r="731" spans="1:20" x14ac:dyDescent="0.25">
      <c r="A731" t="s">
        <v>402</v>
      </c>
      <c r="B731" s="37">
        <v>22</v>
      </c>
      <c r="C731" t="str">
        <f>_xlfn.XLOOKUP(B731,'Centro de Custo'!A$2:A$45,'Centro de Custo'!B$2:B$45)</f>
        <v>Doação</v>
      </c>
      <c r="E731" s="39">
        <v>-858</v>
      </c>
      <c r="F731" s="40" t="s">
        <v>10</v>
      </c>
      <c r="G731" s="41">
        <v>45726</v>
      </c>
      <c r="H731" s="42">
        <f>YEAR(Tabela3[[#This Row],[Data]])</f>
        <v>2025</v>
      </c>
      <c r="I731" s="42" t="str">
        <f>_xlfn.XLOOKUP(J731,'Centro de Custo'!J$2:J$13,'Centro de Custo'!K$2:K$13)</f>
        <v>Março</v>
      </c>
      <c r="J731" s="43">
        <f>MONTH(Tabela3[[#This Row],[Data]])</f>
        <v>3</v>
      </c>
      <c r="K731" s="39">
        <f>SUM(E$3:Tabela3[[#This Row],[Valor]])</f>
        <v>87946.40000000066</v>
      </c>
      <c r="L731" s="40">
        <f t="shared" si="11"/>
        <v>2.22375</v>
      </c>
      <c r="M731" s="40"/>
      <c r="N731" s="40"/>
      <c r="O731" s="40"/>
      <c r="P731" s="39"/>
      <c r="Q731" s="39"/>
      <c r="R731" s="39"/>
      <c r="S731" s="39"/>
      <c r="T731" s="39"/>
    </row>
    <row r="732" spans="1:20" x14ac:dyDescent="0.25">
      <c r="A732" s="48" t="s">
        <v>403</v>
      </c>
      <c r="B732" s="37">
        <v>14</v>
      </c>
      <c r="C732" t="str">
        <f>_xlfn.XLOOKUP(B732,'Centro de Custo'!A$2:A$45,'Centro de Custo'!B$2:B$45)</f>
        <v>Outros</v>
      </c>
      <c r="E732" s="39">
        <v>-6000</v>
      </c>
      <c r="F732" s="40" t="s">
        <v>10</v>
      </c>
      <c r="G732" s="41">
        <v>45726</v>
      </c>
      <c r="H732" s="42">
        <f>YEAR(Tabela3[[#This Row],[Data]])</f>
        <v>2025</v>
      </c>
      <c r="I732" s="42" t="str">
        <f>_xlfn.XLOOKUP(J732,'Centro de Custo'!J$2:J$13,'Centro de Custo'!K$2:K$13)</f>
        <v>Março</v>
      </c>
      <c r="J732" s="43">
        <f>MONTH(Tabela3[[#This Row],[Data]])</f>
        <v>3</v>
      </c>
      <c r="K732" s="39">
        <f>SUM(E$3:Tabela3[[#This Row],[Valor]])</f>
        <v>81946.40000000066</v>
      </c>
      <c r="L732" s="40">
        <f t="shared" si="11"/>
        <v>2.22375</v>
      </c>
      <c r="M732" s="40"/>
      <c r="N732" s="40"/>
      <c r="O732" s="40"/>
      <c r="P732" s="39"/>
      <c r="Q732" s="39"/>
      <c r="R732" s="39"/>
      <c r="S732" s="39"/>
      <c r="T732" s="39"/>
    </row>
    <row r="733" spans="1:20" x14ac:dyDescent="0.25">
      <c r="A733" t="s">
        <v>404</v>
      </c>
      <c r="B733" s="37">
        <v>14</v>
      </c>
      <c r="C733" t="str">
        <f>_xlfn.XLOOKUP(B733,'Centro de Custo'!A$2:A$45,'Centro de Custo'!B$2:B$45)</f>
        <v>Outros</v>
      </c>
      <c r="E733" s="39">
        <v>-6955</v>
      </c>
      <c r="F733" s="40" t="s">
        <v>10</v>
      </c>
      <c r="G733" s="41">
        <v>45726</v>
      </c>
      <c r="H733" s="42">
        <f>YEAR(Tabela3[[#This Row],[Data]])</f>
        <v>2025</v>
      </c>
      <c r="I733" s="42" t="str">
        <f>_xlfn.XLOOKUP(J733,'Centro de Custo'!J$2:J$13,'Centro de Custo'!K$2:K$13)</f>
        <v>Março</v>
      </c>
      <c r="J733" s="43">
        <f>MONTH(Tabela3[[#This Row],[Data]])</f>
        <v>3</v>
      </c>
      <c r="K733" s="39">
        <f>SUM(E$3:Tabela3[[#This Row],[Valor]])</f>
        <v>74991.40000000066</v>
      </c>
      <c r="L733" s="40">
        <f t="shared" si="11"/>
        <v>2.22375</v>
      </c>
      <c r="M733" s="40"/>
      <c r="N733" s="40"/>
      <c r="O733" s="40"/>
      <c r="P733" s="39"/>
      <c r="Q733" s="39"/>
      <c r="R733" s="39"/>
      <c r="S733" s="39"/>
      <c r="T733" s="39"/>
    </row>
    <row r="734" spans="1:20" x14ac:dyDescent="0.25">
      <c r="A734" t="s">
        <v>405</v>
      </c>
      <c r="B734" s="37">
        <v>14</v>
      </c>
      <c r="C734" t="str">
        <f>_xlfn.XLOOKUP(B734,'Centro de Custo'!A$2:A$45,'Centro de Custo'!B$2:B$45)</f>
        <v>Outros</v>
      </c>
      <c r="E734" s="39">
        <v>-9187</v>
      </c>
      <c r="F734" s="40" t="s">
        <v>10</v>
      </c>
      <c r="G734" s="41">
        <v>45726</v>
      </c>
      <c r="H734" s="42">
        <f>YEAR(Tabela3[[#This Row],[Data]])</f>
        <v>2025</v>
      </c>
      <c r="I734" s="42" t="str">
        <f>_xlfn.XLOOKUP(J734,'Centro de Custo'!J$2:J$13,'Centro de Custo'!K$2:K$13)</f>
        <v>Março</v>
      </c>
      <c r="J734" s="43">
        <f>MONTH(Tabela3[[#This Row],[Data]])</f>
        <v>3</v>
      </c>
      <c r="K734" s="39">
        <f>SUM(E$3:Tabela3[[#This Row],[Valor]])</f>
        <v>65804.40000000066</v>
      </c>
      <c r="L734" s="40">
        <f t="shared" si="11"/>
        <v>2.22375</v>
      </c>
      <c r="M734" s="40"/>
      <c r="N734" s="40"/>
      <c r="O734" s="40"/>
      <c r="P734" s="39"/>
      <c r="Q734" s="39"/>
      <c r="R734" s="39"/>
      <c r="S734" s="39"/>
      <c r="T734" s="39"/>
    </row>
    <row r="735" spans="1:20" x14ac:dyDescent="0.25">
      <c r="A735" t="s">
        <v>406</v>
      </c>
      <c r="B735" s="37">
        <v>10</v>
      </c>
      <c r="C735" t="str">
        <f>_xlfn.XLOOKUP(B735,'Centro de Custo'!A$2:A$45,'Centro de Custo'!B$2:B$45)</f>
        <v>Retirada Mensal</v>
      </c>
      <c r="E735" s="39">
        <v>-17000</v>
      </c>
      <c r="F735" s="40" t="s">
        <v>10</v>
      </c>
      <c r="G735" s="41">
        <v>45726</v>
      </c>
      <c r="H735" s="42">
        <f>YEAR(Tabela3[[#This Row],[Data]])</f>
        <v>2025</v>
      </c>
      <c r="I735" s="42" t="str">
        <f>_xlfn.XLOOKUP(J735,'Centro de Custo'!J$2:J$13,'Centro de Custo'!K$2:K$13)</f>
        <v>Março</v>
      </c>
      <c r="J735" s="43">
        <f>MONTH(Tabela3[[#This Row],[Data]])</f>
        <v>3</v>
      </c>
      <c r="K735" s="39">
        <f>SUM(E$3:Tabela3[[#This Row],[Valor]])</f>
        <v>48804.40000000066</v>
      </c>
      <c r="L735" s="40">
        <f t="shared" si="11"/>
        <v>2.22375</v>
      </c>
      <c r="M735" s="40"/>
      <c r="N735" s="40"/>
      <c r="O735" s="40"/>
      <c r="P735" s="39"/>
      <c r="Q735" s="39"/>
      <c r="R735" s="39"/>
      <c r="S735" s="39"/>
      <c r="T735" s="39"/>
    </row>
    <row r="736" spans="1:20" x14ac:dyDescent="0.25">
      <c r="A736" t="s">
        <v>190</v>
      </c>
      <c r="B736" s="37">
        <v>13</v>
      </c>
      <c r="C736" t="str">
        <f>_xlfn.XLOOKUP(B736,'Centro de Custo'!A$2:A$45,'Centro de Custo'!B$2:B$45)</f>
        <v>Terceirizados</v>
      </c>
      <c r="E736" s="39">
        <v>-4886.44</v>
      </c>
      <c r="F736" s="40" t="s">
        <v>10</v>
      </c>
      <c r="G736" s="41">
        <v>45728</v>
      </c>
      <c r="H736" s="42">
        <f>YEAR(Tabela3[[#This Row],[Data]])</f>
        <v>2025</v>
      </c>
      <c r="I736" s="42" t="str">
        <f>_xlfn.XLOOKUP(J736,'Centro de Custo'!J$2:J$13,'Centro de Custo'!K$2:K$13)</f>
        <v>Março</v>
      </c>
      <c r="J736" s="43">
        <f>MONTH(Tabela3[[#This Row],[Data]])</f>
        <v>3</v>
      </c>
      <c r="K736" s="39">
        <f>SUM(E$3:Tabela3[[#This Row],[Valor]])</f>
        <v>43917.96000000066</v>
      </c>
      <c r="L736" s="40">
        <f t="shared" si="11"/>
        <v>2.22375</v>
      </c>
      <c r="M736" s="40"/>
      <c r="N736" s="40"/>
      <c r="O736" s="40"/>
      <c r="P736" s="39"/>
      <c r="Q736" s="39"/>
      <c r="R736" s="39"/>
      <c r="S736" s="39"/>
      <c r="T736" s="39"/>
    </row>
    <row r="737" spans="1:20" x14ac:dyDescent="0.25">
      <c r="A737" s="48" t="s">
        <v>383</v>
      </c>
      <c r="B737" s="37">
        <v>12</v>
      </c>
      <c r="C737" t="str">
        <f>_xlfn.XLOOKUP(B737,'Centro de Custo'!A$2:A$45,'Centro de Custo'!B$2:B$45)</f>
        <v>Direitos Autorais Terceiros</v>
      </c>
      <c r="E737" s="39">
        <v>-5000</v>
      </c>
      <c r="F737" s="40" t="s">
        <v>10</v>
      </c>
      <c r="G737" s="41">
        <v>45729</v>
      </c>
      <c r="H737" s="42">
        <f>YEAR(Tabela3[[#This Row],[Data]])</f>
        <v>2025</v>
      </c>
      <c r="I737" s="42" t="str">
        <f>_xlfn.XLOOKUP(J737,'Centro de Custo'!J$2:J$13,'Centro de Custo'!K$2:K$13)</f>
        <v>Março</v>
      </c>
      <c r="J737" s="43">
        <f>MONTH(Tabela3[[#This Row],[Data]])</f>
        <v>3</v>
      </c>
      <c r="K737" s="39">
        <f>SUM(E$3:Tabela3[[#This Row],[Valor]])</f>
        <v>38917.96000000066</v>
      </c>
      <c r="L737" s="40">
        <f t="shared" si="11"/>
        <v>2.22375</v>
      </c>
      <c r="M737" s="40"/>
      <c r="N737" s="40"/>
      <c r="O737" s="40"/>
      <c r="P737" s="39"/>
      <c r="Q737" s="39"/>
      <c r="R737" s="39"/>
      <c r="S737" s="39"/>
      <c r="T737" s="39"/>
    </row>
    <row r="738" spans="1:20" x14ac:dyDescent="0.25">
      <c r="A738" t="s">
        <v>407</v>
      </c>
      <c r="B738" s="37">
        <v>20</v>
      </c>
      <c r="C738" t="str">
        <f>_xlfn.XLOOKUP(B738,'Centro de Custo'!A$2:A$45,'Centro de Custo'!B$2:B$45)</f>
        <v>Desp. ADM</v>
      </c>
      <c r="E738" s="39">
        <v>-3754</v>
      </c>
      <c r="F738" s="40" t="s">
        <v>10</v>
      </c>
      <c r="G738" s="41">
        <v>45730</v>
      </c>
      <c r="H738" s="42">
        <f>YEAR(Tabela3[[#This Row],[Data]])</f>
        <v>2025</v>
      </c>
      <c r="I738" s="42" t="str">
        <f>_xlfn.XLOOKUP(J738,'Centro de Custo'!J$2:J$13,'Centro de Custo'!K$2:K$13)</f>
        <v>Março</v>
      </c>
      <c r="J738" s="43">
        <f>MONTH(Tabela3[[#This Row],[Data]])</f>
        <v>3</v>
      </c>
      <c r="K738" s="39">
        <f>SUM(E$3:Tabela3[[#This Row],[Valor]])</f>
        <v>35163.96000000066</v>
      </c>
      <c r="L738" s="40">
        <f t="shared" si="11"/>
        <v>2.22375</v>
      </c>
      <c r="M738" s="40"/>
      <c r="N738" s="40"/>
      <c r="O738" s="40"/>
      <c r="P738" s="39"/>
      <c r="Q738" s="39"/>
      <c r="R738" s="39"/>
      <c r="S738" s="39"/>
      <c r="T738" s="39"/>
    </row>
    <row r="739" spans="1:20" x14ac:dyDescent="0.25">
      <c r="A739" s="48" t="s">
        <v>408</v>
      </c>
      <c r="B739" s="37">
        <v>4</v>
      </c>
      <c r="C739" t="str">
        <f>_xlfn.XLOOKUP(B739,'Centro de Custo'!A$2:A$45,'Centro de Custo'!B$2:B$45)</f>
        <v>Reforma</v>
      </c>
      <c r="E739" s="39">
        <v>-29.99</v>
      </c>
      <c r="F739" s="40" t="s">
        <v>10</v>
      </c>
      <c r="G739" s="41">
        <v>45733</v>
      </c>
      <c r="H739" s="42">
        <f>YEAR(Tabela3[[#This Row],[Data]])</f>
        <v>2025</v>
      </c>
      <c r="I739" s="42" t="str">
        <f>_xlfn.XLOOKUP(J739,'Centro de Custo'!J$2:J$13,'Centro de Custo'!K$2:K$13)</f>
        <v>Março</v>
      </c>
      <c r="J739" s="43">
        <f>MONTH(Tabela3[[#This Row],[Data]])</f>
        <v>3</v>
      </c>
      <c r="K739" s="39">
        <f>SUM(E$3:Tabela3[[#This Row],[Valor]])</f>
        <v>35133.97000000066</v>
      </c>
      <c r="L739" s="40">
        <f t="shared" si="11"/>
        <v>2.22375</v>
      </c>
      <c r="M739" s="40"/>
      <c r="N739" s="40"/>
      <c r="O739" s="40"/>
      <c r="P739" s="39"/>
      <c r="Q739" s="39"/>
      <c r="R739" s="39"/>
      <c r="S739" s="39"/>
      <c r="T739" s="39"/>
    </row>
    <row r="740" spans="1:20" x14ac:dyDescent="0.25">
      <c r="A740" t="s">
        <v>409</v>
      </c>
      <c r="B740" s="37">
        <v>4</v>
      </c>
      <c r="C740" t="str">
        <f>_xlfn.XLOOKUP(B740,'Centro de Custo'!A$2:A$45,'Centro de Custo'!B$2:B$45)</f>
        <v>Reforma</v>
      </c>
      <c r="E740" s="39">
        <v>-372</v>
      </c>
      <c r="F740" s="40" t="s">
        <v>10</v>
      </c>
      <c r="G740" s="41">
        <v>45733</v>
      </c>
      <c r="H740" s="42">
        <f>YEAR(Tabela3[[#This Row],[Data]])</f>
        <v>2025</v>
      </c>
      <c r="I740" s="42" t="str">
        <f>_xlfn.XLOOKUP(J740,'Centro de Custo'!J$2:J$13,'Centro de Custo'!K$2:K$13)</f>
        <v>Março</v>
      </c>
      <c r="J740" s="43">
        <f>MONTH(Tabela3[[#This Row],[Data]])</f>
        <v>3</v>
      </c>
      <c r="K740" s="39">
        <f>SUM(E$3:Tabela3[[#This Row],[Valor]])</f>
        <v>34761.97000000066</v>
      </c>
      <c r="L740" s="40">
        <f t="shared" si="11"/>
        <v>2.22375</v>
      </c>
      <c r="M740" s="40"/>
      <c r="N740" s="40"/>
      <c r="O740" s="40"/>
      <c r="P740" s="39"/>
      <c r="Q740" s="39"/>
      <c r="R740" s="39"/>
      <c r="S740" s="39"/>
      <c r="T740" s="39"/>
    </row>
    <row r="741" spans="1:20" x14ac:dyDescent="0.25">
      <c r="A741" t="s">
        <v>408</v>
      </c>
      <c r="B741" s="37">
        <v>4</v>
      </c>
      <c r="C741" t="str">
        <f>_xlfn.XLOOKUP(B741,'Centro de Custo'!A$2:A$45,'Centro de Custo'!B$2:B$45)</f>
        <v>Reforma</v>
      </c>
      <c r="E741" s="39">
        <v>-479.84</v>
      </c>
      <c r="F741" s="40" t="s">
        <v>10</v>
      </c>
      <c r="G741" s="41">
        <v>45733</v>
      </c>
      <c r="H741" s="42">
        <f>YEAR(Tabela3[[#This Row],[Data]])</f>
        <v>2025</v>
      </c>
      <c r="I741" s="42" t="str">
        <f>_xlfn.XLOOKUP(J741,'Centro de Custo'!J$2:J$13,'Centro de Custo'!K$2:K$13)</f>
        <v>Março</v>
      </c>
      <c r="J741" s="43">
        <f>MONTH(Tabela3[[#This Row],[Data]])</f>
        <v>3</v>
      </c>
      <c r="K741" s="39">
        <f>SUM(E$3:Tabela3[[#This Row],[Valor]])</f>
        <v>34282.13000000067</v>
      </c>
      <c r="L741" s="40">
        <f t="shared" si="11"/>
        <v>2.22375</v>
      </c>
      <c r="M741" s="40"/>
      <c r="N741" s="40"/>
      <c r="O741" s="40"/>
      <c r="P741" s="39"/>
      <c r="Q741" s="39"/>
      <c r="R741" s="39"/>
      <c r="S741" s="39"/>
      <c r="T741" s="39"/>
    </row>
    <row r="742" spans="1:20" x14ac:dyDescent="0.25">
      <c r="A742" t="s">
        <v>410</v>
      </c>
      <c r="B742" s="37">
        <v>4</v>
      </c>
      <c r="C742" t="str">
        <f>_xlfn.XLOOKUP(B742,'Centro de Custo'!A$2:A$45,'Centro de Custo'!B$2:B$45)</f>
        <v>Reforma</v>
      </c>
      <c r="E742" s="39">
        <v>-883.12</v>
      </c>
      <c r="F742" s="40" t="s">
        <v>10</v>
      </c>
      <c r="G742" s="41">
        <v>45733</v>
      </c>
      <c r="H742" s="42">
        <f>YEAR(Tabela3[[#This Row],[Data]])</f>
        <v>2025</v>
      </c>
      <c r="I742" s="42" t="str">
        <f>_xlfn.XLOOKUP(J742,'Centro de Custo'!J$2:J$13,'Centro de Custo'!K$2:K$13)</f>
        <v>Março</v>
      </c>
      <c r="J742" s="43">
        <f>MONTH(Tabela3[[#This Row],[Data]])</f>
        <v>3</v>
      </c>
      <c r="K742" s="39">
        <f>SUM(E$3:Tabela3[[#This Row],[Valor]])</f>
        <v>33399.010000000664</v>
      </c>
      <c r="L742" s="40">
        <f t="shared" si="11"/>
        <v>2.22375</v>
      </c>
      <c r="M742" s="40"/>
      <c r="N742" s="40"/>
      <c r="O742" s="40"/>
      <c r="P742" s="39"/>
      <c r="Q742" s="39"/>
      <c r="R742" s="39"/>
      <c r="S742" s="39"/>
      <c r="T742" s="39"/>
    </row>
    <row r="743" spans="1:20" x14ac:dyDescent="0.25">
      <c r="A743" t="s">
        <v>411</v>
      </c>
      <c r="B743" s="37">
        <v>4</v>
      </c>
      <c r="C743" t="str">
        <f>_xlfn.XLOOKUP(B743,'Centro de Custo'!A$2:A$45,'Centro de Custo'!B$2:B$45)</f>
        <v>Reforma</v>
      </c>
      <c r="E743" s="39">
        <v>-3084.46</v>
      </c>
      <c r="F743" s="40" t="s">
        <v>10</v>
      </c>
      <c r="G743" s="41">
        <v>45733</v>
      </c>
      <c r="H743" s="42">
        <f>YEAR(Tabela3[[#This Row],[Data]])</f>
        <v>2025</v>
      </c>
      <c r="I743" s="42" t="str">
        <f>_xlfn.XLOOKUP(J743,'Centro de Custo'!J$2:J$13,'Centro de Custo'!K$2:K$13)</f>
        <v>Março</v>
      </c>
      <c r="J743" s="43">
        <f>MONTH(Tabela3[[#This Row],[Data]])</f>
        <v>3</v>
      </c>
      <c r="K743" s="39">
        <f>SUM(E$3:Tabela3[[#This Row],[Valor]])</f>
        <v>30314.550000000665</v>
      </c>
      <c r="L743" s="40">
        <f t="shared" si="11"/>
        <v>2.22375</v>
      </c>
      <c r="M743" s="40"/>
      <c r="N743" s="40"/>
      <c r="O743" s="40"/>
      <c r="P743" s="39"/>
      <c r="Q743" s="39"/>
      <c r="R743" s="39"/>
      <c r="S743" s="39"/>
      <c r="T743" s="39"/>
    </row>
    <row r="744" spans="1:20" x14ac:dyDescent="0.25">
      <c r="A744" t="s">
        <v>412</v>
      </c>
      <c r="B744" s="37">
        <v>14</v>
      </c>
      <c r="C744" t="str">
        <f>_xlfn.XLOOKUP(B744,'Centro de Custo'!A$2:A$45,'Centro de Custo'!B$2:B$45)</f>
        <v>Outros</v>
      </c>
      <c r="E744" s="39">
        <v>-10000</v>
      </c>
      <c r="F744" s="40" t="s">
        <v>10</v>
      </c>
      <c r="G744" s="41">
        <v>45733</v>
      </c>
      <c r="H744" s="42">
        <f>YEAR(Tabela3[[#This Row],[Data]])</f>
        <v>2025</v>
      </c>
      <c r="I744" s="42" t="str">
        <f>_xlfn.XLOOKUP(J744,'Centro de Custo'!J$2:J$13,'Centro de Custo'!K$2:K$13)</f>
        <v>Março</v>
      </c>
      <c r="J744" s="43">
        <f>MONTH(Tabela3[[#This Row],[Data]])</f>
        <v>3</v>
      </c>
      <c r="K744" s="39">
        <f>SUM(E$3:Tabela3[[#This Row],[Valor]])</f>
        <v>20314.550000000665</v>
      </c>
      <c r="L744" s="40">
        <f t="shared" si="11"/>
        <v>2.22375</v>
      </c>
      <c r="M744" s="40"/>
      <c r="N744" s="40"/>
      <c r="O744" s="40"/>
      <c r="P744" s="39"/>
      <c r="Q744" s="39"/>
      <c r="R744" s="39"/>
      <c r="S744" s="39"/>
      <c r="T744" s="39"/>
    </row>
    <row r="745" spans="1:20" x14ac:dyDescent="0.25">
      <c r="A745" t="s">
        <v>167</v>
      </c>
      <c r="B745" s="37">
        <v>20</v>
      </c>
      <c r="C745" t="str">
        <f>_xlfn.XLOOKUP(B745,'Centro de Custo'!A$2:A$45,'Centro de Custo'!B$2:B$45)</f>
        <v>Desp. ADM</v>
      </c>
      <c r="E745" s="39">
        <v>-606.82</v>
      </c>
      <c r="F745" s="40" t="s">
        <v>10</v>
      </c>
      <c r="G745" s="41">
        <v>45734</v>
      </c>
      <c r="H745" s="42">
        <f>YEAR(Tabela3[[#This Row],[Data]])</f>
        <v>2025</v>
      </c>
      <c r="I745" s="42" t="str">
        <f>_xlfn.XLOOKUP(J745,'Centro de Custo'!J$2:J$13,'Centro de Custo'!K$2:K$13)</f>
        <v>Março</v>
      </c>
      <c r="J745" s="43">
        <f>MONTH(Tabela3[[#This Row],[Data]])</f>
        <v>3</v>
      </c>
      <c r="K745" s="39">
        <f>SUM(E$3:Tabela3[[#This Row],[Valor]])</f>
        <v>19707.730000000665</v>
      </c>
      <c r="L745" s="40">
        <f t="shared" si="11"/>
        <v>2.22375</v>
      </c>
      <c r="M745" s="40"/>
      <c r="N745" s="40"/>
      <c r="O745" s="40"/>
      <c r="P745" s="39"/>
      <c r="Q745" s="39"/>
      <c r="R745" s="39"/>
      <c r="S745" s="39"/>
      <c r="T745" s="39"/>
    </row>
    <row r="746" spans="1:20" x14ac:dyDescent="0.25">
      <c r="A746" t="s">
        <v>169</v>
      </c>
      <c r="B746" s="37">
        <v>20</v>
      </c>
      <c r="C746" t="str">
        <f>_xlfn.XLOOKUP(B746,'Centro de Custo'!A$2:A$45,'Centro de Custo'!B$2:B$45)</f>
        <v>Desp. ADM</v>
      </c>
      <c r="E746" s="39">
        <v>-606.82</v>
      </c>
      <c r="F746" s="40" t="s">
        <v>10</v>
      </c>
      <c r="G746" s="41">
        <v>45734</v>
      </c>
      <c r="H746" s="42">
        <f>YEAR(Tabela3[[#This Row],[Data]])</f>
        <v>2025</v>
      </c>
      <c r="I746" s="42" t="str">
        <f>_xlfn.XLOOKUP(J746,'Centro de Custo'!J$2:J$13,'Centro de Custo'!K$2:K$13)</f>
        <v>Março</v>
      </c>
      <c r="J746" s="43">
        <f>MONTH(Tabela3[[#This Row],[Data]])</f>
        <v>3</v>
      </c>
      <c r="K746" s="39">
        <f>SUM(E$3:Tabela3[[#This Row],[Valor]])</f>
        <v>19100.910000000666</v>
      </c>
      <c r="L746" s="40">
        <f t="shared" si="11"/>
        <v>2.22375</v>
      </c>
      <c r="M746" s="40"/>
      <c r="N746" s="40"/>
      <c r="O746" s="40"/>
      <c r="P746" s="39"/>
      <c r="Q746" s="39"/>
      <c r="R746" s="39"/>
      <c r="S746" s="39"/>
      <c r="T746" s="39"/>
    </row>
    <row r="747" spans="1:20" x14ac:dyDescent="0.25">
      <c r="A747" t="s">
        <v>204</v>
      </c>
      <c r="B747" s="37">
        <v>20</v>
      </c>
      <c r="C747" t="str">
        <f>_xlfn.XLOOKUP(B747,'Centro de Custo'!A$2:A$45,'Centro de Custo'!B$2:B$45)</f>
        <v>Desp. ADM</v>
      </c>
      <c r="E747" s="39">
        <v>-101.25</v>
      </c>
      <c r="F747" s="40" t="s">
        <v>10</v>
      </c>
      <c r="G747" s="41">
        <v>45735</v>
      </c>
      <c r="H747" s="42">
        <f>YEAR(Tabela3[[#This Row],[Data]])</f>
        <v>2025</v>
      </c>
      <c r="I747" s="42" t="str">
        <f>_xlfn.XLOOKUP(J747,'Centro de Custo'!J$2:J$13,'Centro de Custo'!K$2:K$13)</f>
        <v>Março</v>
      </c>
      <c r="J747" s="43">
        <f>MONTH(Tabela3[[#This Row],[Data]])</f>
        <v>3</v>
      </c>
      <c r="K747" s="39">
        <f>SUM(E$3:Tabela3[[#This Row],[Valor]])</f>
        <v>18999.660000000666</v>
      </c>
      <c r="L747" s="40">
        <f t="shared" si="11"/>
        <v>2.22375</v>
      </c>
      <c r="M747" s="40"/>
      <c r="N747" s="40"/>
      <c r="O747" s="40"/>
      <c r="P747" s="39"/>
      <c r="Q747" s="39"/>
      <c r="R747" s="39"/>
      <c r="S747" s="39"/>
      <c r="T747" s="39"/>
    </row>
    <row r="748" spans="1:20" x14ac:dyDescent="0.25">
      <c r="A748" t="s">
        <v>205</v>
      </c>
      <c r="B748" s="37">
        <v>20</v>
      </c>
      <c r="C748" t="str">
        <f>_xlfn.XLOOKUP(B748,'Centro de Custo'!A$2:A$45,'Centro de Custo'!B$2:B$45)</f>
        <v>Desp. ADM</v>
      </c>
      <c r="E748" s="39">
        <v>-711.66</v>
      </c>
      <c r="F748" s="40" t="s">
        <v>10</v>
      </c>
      <c r="G748" s="41">
        <v>45735</v>
      </c>
      <c r="H748" s="42">
        <f>YEAR(Tabela3[[#This Row],[Data]])</f>
        <v>2025</v>
      </c>
      <c r="I748" s="42" t="str">
        <f>_xlfn.XLOOKUP(J748,'Centro de Custo'!J$2:J$13,'Centro de Custo'!K$2:K$13)</f>
        <v>Março</v>
      </c>
      <c r="J748" s="43">
        <f>MONTH(Tabela3[[#This Row],[Data]])</f>
        <v>3</v>
      </c>
      <c r="K748" s="39">
        <f>SUM(E$3:Tabela3[[#This Row],[Valor]])</f>
        <v>18288.000000000666</v>
      </c>
      <c r="L748" s="40">
        <f t="shared" si="11"/>
        <v>2.22375</v>
      </c>
      <c r="M748" s="40"/>
      <c r="N748" s="40"/>
      <c r="O748" s="40"/>
      <c r="P748" s="39"/>
      <c r="Q748" s="39"/>
      <c r="R748" s="39"/>
      <c r="S748" s="39"/>
      <c r="T748" s="39"/>
    </row>
    <row r="749" spans="1:20" x14ac:dyDescent="0.25">
      <c r="A749" t="s">
        <v>413</v>
      </c>
      <c r="B749" s="37">
        <v>4</v>
      </c>
      <c r="C749" t="str">
        <f>_xlfn.XLOOKUP(B749,'Centro de Custo'!A$2:A$45,'Centro de Custo'!B$2:B$45)</f>
        <v>Reforma</v>
      </c>
      <c r="E749" s="39">
        <v>-860.4</v>
      </c>
      <c r="F749" s="40" t="s">
        <v>10</v>
      </c>
      <c r="G749" s="41">
        <v>45735</v>
      </c>
      <c r="H749" s="42">
        <f>YEAR(Tabela3[[#This Row],[Data]])</f>
        <v>2025</v>
      </c>
      <c r="I749" s="42" t="str">
        <f>_xlfn.XLOOKUP(J749,'Centro de Custo'!J$2:J$13,'Centro de Custo'!K$2:K$13)</f>
        <v>Março</v>
      </c>
      <c r="J749" s="43">
        <f>MONTH(Tabela3[[#This Row],[Data]])</f>
        <v>3</v>
      </c>
      <c r="K749" s="39">
        <f>SUM(E$3:Tabela3[[#This Row],[Valor]])</f>
        <v>17427.600000000664</v>
      </c>
      <c r="L749" s="40">
        <f t="shared" si="11"/>
        <v>2.22375</v>
      </c>
      <c r="M749" s="40"/>
      <c r="N749" s="40"/>
      <c r="O749" s="40"/>
      <c r="P749" s="39"/>
      <c r="Q749" s="39"/>
      <c r="R749" s="39"/>
      <c r="S749" s="39"/>
      <c r="T749" s="39"/>
    </row>
    <row r="750" spans="1:20" x14ac:dyDescent="0.25">
      <c r="A750" t="s">
        <v>389</v>
      </c>
      <c r="B750" s="37">
        <v>30</v>
      </c>
      <c r="C750" t="str">
        <f>_xlfn.XLOOKUP(B750,'Centro de Custo'!A$2:A$45,'Centro de Custo'!B$2:B$45)</f>
        <v>Impostos</v>
      </c>
      <c r="E750" s="39">
        <v>-1434.88</v>
      </c>
      <c r="F750" s="40" t="s">
        <v>10</v>
      </c>
      <c r="G750" s="41">
        <v>45735</v>
      </c>
      <c r="H750" s="42">
        <f>YEAR(Tabela3[[#This Row],[Data]])</f>
        <v>2025</v>
      </c>
      <c r="I750" s="42" t="str">
        <f>_xlfn.XLOOKUP(J750,'Centro de Custo'!J$2:J$13,'Centro de Custo'!K$2:K$13)</f>
        <v>Março</v>
      </c>
      <c r="J750" s="43">
        <f>MONTH(Tabela3[[#This Row],[Data]])</f>
        <v>3</v>
      </c>
      <c r="K750" s="39">
        <f>SUM(E$3:Tabela3[[#This Row],[Valor]])</f>
        <v>15992.720000000663</v>
      </c>
      <c r="L750" s="40">
        <f t="shared" si="11"/>
        <v>2.22375</v>
      </c>
      <c r="M750" s="40"/>
      <c r="N750" s="40"/>
      <c r="O750" s="40"/>
      <c r="P750" s="39"/>
      <c r="Q750" s="39"/>
      <c r="R750" s="39"/>
      <c r="S750" s="39"/>
      <c r="T750" s="39"/>
    </row>
    <row r="751" spans="1:20" x14ac:dyDescent="0.25">
      <c r="A751" t="s">
        <v>414</v>
      </c>
      <c r="B751" s="37">
        <v>4</v>
      </c>
      <c r="C751" t="str">
        <f>_xlfn.XLOOKUP(B751,'Centro de Custo'!A$2:A$45,'Centro de Custo'!B$2:B$45)</f>
        <v>Reforma</v>
      </c>
      <c r="E751" s="39">
        <v>-1434.99</v>
      </c>
      <c r="F751" s="40" t="s">
        <v>10</v>
      </c>
      <c r="G751" s="41">
        <v>45735</v>
      </c>
      <c r="H751" s="42">
        <f>YEAR(Tabela3[[#This Row],[Data]])</f>
        <v>2025</v>
      </c>
      <c r="I751" s="42" t="str">
        <f>_xlfn.XLOOKUP(J751,'Centro de Custo'!J$2:J$13,'Centro de Custo'!K$2:K$13)</f>
        <v>Março</v>
      </c>
      <c r="J751" s="43">
        <f>MONTH(Tabela3[[#This Row],[Data]])</f>
        <v>3</v>
      </c>
      <c r="K751" s="39">
        <f>SUM(E$3:Tabela3[[#This Row],[Valor]])</f>
        <v>14557.730000000663</v>
      </c>
      <c r="L751" s="40">
        <f t="shared" si="11"/>
        <v>2.22375</v>
      </c>
      <c r="M751" s="40"/>
      <c r="N751" s="40"/>
      <c r="O751" s="40"/>
      <c r="P751" s="39"/>
      <c r="Q751" s="39"/>
      <c r="R751" s="39"/>
      <c r="S751" s="39"/>
      <c r="T751" s="39"/>
    </row>
    <row r="752" spans="1:20" x14ac:dyDescent="0.25">
      <c r="A752" t="s">
        <v>415</v>
      </c>
      <c r="B752" s="37">
        <v>4</v>
      </c>
      <c r="C752" t="str">
        <f>_xlfn.XLOOKUP(B752,'Centro de Custo'!A$2:A$45,'Centro de Custo'!B$2:B$45)</f>
        <v>Reforma</v>
      </c>
      <c r="E752" s="39">
        <v>-2200</v>
      </c>
      <c r="F752" s="40" t="s">
        <v>10</v>
      </c>
      <c r="G752" s="41">
        <v>45735</v>
      </c>
      <c r="H752" s="42">
        <f>YEAR(Tabela3[[#This Row],[Data]])</f>
        <v>2025</v>
      </c>
      <c r="I752" s="42" t="str">
        <f>_xlfn.XLOOKUP(J752,'Centro de Custo'!J$2:J$13,'Centro de Custo'!K$2:K$13)</f>
        <v>Março</v>
      </c>
      <c r="J752" s="43">
        <f>MONTH(Tabela3[[#This Row],[Data]])</f>
        <v>3</v>
      </c>
      <c r="K752" s="39">
        <f>SUM(E$3:Tabela3[[#This Row],[Valor]])</f>
        <v>12357.730000000663</v>
      </c>
      <c r="L752" s="40">
        <f t="shared" si="11"/>
        <v>2.22375</v>
      </c>
      <c r="M752" s="40"/>
      <c r="N752" s="40"/>
      <c r="O752" s="40"/>
      <c r="P752" s="39"/>
      <c r="Q752" s="39"/>
      <c r="R752" s="39"/>
      <c r="S752" s="39"/>
      <c r="T752" s="39"/>
    </row>
    <row r="753" spans="1:20" x14ac:dyDescent="0.25">
      <c r="A753" t="s">
        <v>416</v>
      </c>
      <c r="B753" s="37">
        <v>4</v>
      </c>
      <c r="C753" t="str">
        <f>_xlfn.XLOOKUP(B753,'Centro de Custo'!A$2:A$45,'Centro de Custo'!B$2:B$45)</f>
        <v>Reforma</v>
      </c>
      <c r="E753" s="39">
        <v>-4500</v>
      </c>
      <c r="F753" s="40" t="s">
        <v>10</v>
      </c>
      <c r="G753" s="41">
        <v>45735</v>
      </c>
      <c r="H753" s="42">
        <f>YEAR(Tabela3[[#This Row],[Data]])</f>
        <v>2025</v>
      </c>
      <c r="I753" s="42" t="str">
        <f>_xlfn.XLOOKUP(J753,'Centro de Custo'!J$2:J$13,'Centro de Custo'!K$2:K$13)</f>
        <v>Março</v>
      </c>
      <c r="J753" s="43">
        <f>MONTH(Tabela3[[#This Row],[Data]])</f>
        <v>3</v>
      </c>
      <c r="K753" s="39">
        <f>SUM(E$3:Tabela3[[#This Row],[Valor]])</f>
        <v>7857.7300000006635</v>
      </c>
      <c r="L753" s="40">
        <f t="shared" si="11"/>
        <v>2.22375</v>
      </c>
      <c r="M753" s="40"/>
      <c r="N753" s="40"/>
      <c r="O753" s="40"/>
      <c r="P753" s="39"/>
      <c r="Q753" s="39"/>
      <c r="R753" s="39"/>
      <c r="S753" s="39"/>
      <c r="T753" s="39"/>
    </row>
    <row r="754" spans="1:20" x14ac:dyDescent="0.25">
      <c r="A754" t="s">
        <v>287</v>
      </c>
      <c r="B754" s="37">
        <v>41</v>
      </c>
      <c r="C754" t="str">
        <f>_xlfn.XLOOKUP(B754,'Centro de Custo'!A$2:A$45,'Centro de Custo'!B$2:B$45)</f>
        <v>Resgate Financeiro</v>
      </c>
      <c r="E754" s="39">
        <v>50015.07</v>
      </c>
      <c r="F754" s="40" t="s">
        <v>10</v>
      </c>
      <c r="G754" s="41">
        <v>45736</v>
      </c>
      <c r="H754" s="42">
        <f>YEAR(Tabela3[[#This Row],[Data]])</f>
        <v>2025</v>
      </c>
      <c r="I754" s="42" t="str">
        <f>_xlfn.XLOOKUP(J754,'Centro de Custo'!J$2:J$13,'Centro de Custo'!K$2:K$13)</f>
        <v>Março</v>
      </c>
      <c r="J754" s="43">
        <f>MONTH(Tabela3[[#This Row],[Data]])</f>
        <v>3</v>
      </c>
      <c r="K754" s="39">
        <f>SUM(E$3:Tabela3[[#This Row],[Valor]])</f>
        <v>57872.800000000665</v>
      </c>
      <c r="L754" s="40">
        <f t="shared" si="11"/>
        <v>2.22375</v>
      </c>
      <c r="M754" s="49"/>
      <c r="N754" s="49"/>
      <c r="O754" s="49"/>
      <c r="P754" s="39"/>
      <c r="Q754" s="39"/>
      <c r="R754" s="39"/>
      <c r="S754" s="39"/>
      <c r="T754" s="39"/>
    </row>
    <row r="755" spans="1:20" x14ac:dyDescent="0.25">
      <c r="A755" t="s">
        <v>417</v>
      </c>
      <c r="B755" s="37">
        <v>22</v>
      </c>
      <c r="C755" t="str">
        <f>_xlfn.XLOOKUP(B755,'Centro de Custo'!A$2:A$45,'Centro de Custo'!B$2:B$45)</f>
        <v>Doação</v>
      </c>
      <c r="E755" s="39">
        <v>-3640</v>
      </c>
      <c r="F755" s="40" t="s">
        <v>10</v>
      </c>
      <c r="G755" s="41">
        <v>45736</v>
      </c>
      <c r="H755" s="42">
        <f>YEAR(Tabela3[[#This Row],[Data]])</f>
        <v>2025</v>
      </c>
      <c r="I755" s="42" t="str">
        <f>_xlfn.XLOOKUP(J755,'Centro de Custo'!J$2:J$13,'Centro de Custo'!K$2:K$13)</f>
        <v>Março</v>
      </c>
      <c r="J755" s="43">
        <f>MONTH(Tabela3[[#This Row],[Data]])</f>
        <v>3</v>
      </c>
      <c r="K755" s="39">
        <f>SUM(E$3:Tabela3[[#This Row],[Valor]])</f>
        <v>54232.800000000665</v>
      </c>
      <c r="L755" s="40">
        <f t="shared" si="11"/>
        <v>2.22375</v>
      </c>
      <c r="M755" s="40"/>
      <c r="N755" s="40"/>
      <c r="O755" s="40"/>
      <c r="P755" s="39"/>
      <c r="Q755" s="39"/>
      <c r="R755" s="39"/>
      <c r="S755" s="39"/>
      <c r="T755" s="39"/>
    </row>
    <row r="756" spans="1:20" x14ac:dyDescent="0.25">
      <c r="A756" t="s">
        <v>418</v>
      </c>
      <c r="B756" s="37">
        <v>14</v>
      </c>
      <c r="C756" t="str">
        <f>_xlfn.XLOOKUP(B756,'Centro de Custo'!A$2:A$45,'Centro de Custo'!B$2:B$45)</f>
        <v>Outros</v>
      </c>
      <c r="E756" s="39">
        <v>-4000</v>
      </c>
      <c r="F756" s="40" t="s">
        <v>10</v>
      </c>
      <c r="G756" s="41">
        <v>45736</v>
      </c>
      <c r="H756" s="42">
        <f>YEAR(Tabela3[[#This Row],[Data]])</f>
        <v>2025</v>
      </c>
      <c r="I756" s="42" t="str">
        <f>_xlfn.XLOOKUP(J756,'Centro de Custo'!J$2:J$13,'Centro de Custo'!K$2:K$13)</f>
        <v>Março</v>
      </c>
      <c r="J756" s="43">
        <f>MONTH(Tabela3[[#This Row],[Data]])</f>
        <v>3</v>
      </c>
      <c r="K756" s="39">
        <f>SUM(E$3:Tabela3[[#This Row],[Valor]])</f>
        <v>50232.800000000665</v>
      </c>
      <c r="L756" s="40">
        <f t="shared" si="11"/>
        <v>2.22375</v>
      </c>
      <c r="M756" s="40"/>
      <c r="N756" s="40"/>
      <c r="O756" s="40"/>
      <c r="P756" s="39"/>
      <c r="Q756" s="39"/>
      <c r="R756" s="39"/>
      <c r="S756" s="39"/>
      <c r="T756" s="39"/>
    </row>
    <row r="757" spans="1:20" x14ac:dyDescent="0.25">
      <c r="A757" t="s">
        <v>419</v>
      </c>
      <c r="B757" s="37">
        <v>14</v>
      </c>
      <c r="C757" t="str">
        <f>_xlfn.XLOOKUP(B757,'Centro de Custo'!A$2:A$45,'Centro de Custo'!B$2:B$45)</f>
        <v>Outros</v>
      </c>
      <c r="E757" s="39">
        <v>-5766</v>
      </c>
      <c r="F757" s="40" t="s">
        <v>10</v>
      </c>
      <c r="G757" s="41">
        <v>45736</v>
      </c>
      <c r="H757" s="42">
        <f>YEAR(Tabela3[[#This Row],[Data]])</f>
        <v>2025</v>
      </c>
      <c r="I757" s="42" t="str">
        <f>_xlfn.XLOOKUP(J757,'Centro de Custo'!J$2:J$13,'Centro de Custo'!K$2:K$13)</f>
        <v>Março</v>
      </c>
      <c r="J757" s="43">
        <f>MONTH(Tabela3[[#This Row],[Data]])</f>
        <v>3</v>
      </c>
      <c r="K757" s="39">
        <f>SUM(E$3:Tabela3[[#This Row],[Valor]])</f>
        <v>44466.800000000665</v>
      </c>
      <c r="L757" s="40">
        <f t="shared" si="11"/>
        <v>2.22375</v>
      </c>
      <c r="M757" s="40"/>
      <c r="N757" s="40"/>
      <c r="O757" s="40"/>
      <c r="P757" s="39"/>
      <c r="Q757" s="39"/>
      <c r="R757" s="39"/>
      <c r="S757" s="39"/>
      <c r="T757" s="39"/>
    </row>
    <row r="758" spans="1:20" x14ac:dyDescent="0.25">
      <c r="A758" t="s">
        <v>420</v>
      </c>
      <c r="B758" s="37">
        <v>4</v>
      </c>
      <c r="C758" t="str">
        <f>_xlfn.XLOOKUP(B758,'Centro de Custo'!A$2:A$45,'Centro de Custo'!B$2:B$45)</f>
        <v>Reforma</v>
      </c>
      <c r="E758" s="39">
        <v>-6100</v>
      </c>
      <c r="F758" s="40" t="s">
        <v>10</v>
      </c>
      <c r="G758" s="41">
        <v>45736</v>
      </c>
      <c r="H758" s="42">
        <f>YEAR(Tabela3[[#This Row],[Data]])</f>
        <v>2025</v>
      </c>
      <c r="I758" s="42" t="str">
        <f>_xlfn.XLOOKUP(J758,'Centro de Custo'!J$2:J$13,'Centro de Custo'!K$2:K$13)</f>
        <v>Março</v>
      </c>
      <c r="J758" s="43">
        <f>MONTH(Tabela3[[#This Row],[Data]])</f>
        <v>3</v>
      </c>
      <c r="K758" s="39">
        <f>SUM(E$3:Tabela3[[#This Row],[Valor]])</f>
        <v>38366.800000000665</v>
      </c>
      <c r="L758" s="40">
        <f t="shared" si="11"/>
        <v>2.22375</v>
      </c>
      <c r="M758" s="40"/>
      <c r="N758" s="40"/>
      <c r="O758" s="40"/>
      <c r="P758" s="39"/>
      <c r="Q758" s="39"/>
      <c r="R758" s="39"/>
      <c r="S758" s="39"/>
      <c r="T758" s="39"/>
    </row>
    <row r="759" spans="1:20" x14ac:dyDescent="0.25">
      <c r="A759" t="s">
        <v>421</v>
      </c>
      <c r="B759" s="37">
        <v>10</v>
      </c>
      <c r="C759" t="str">
        <f>_xlfn.XLOOKUP(B759,'Centro de Custo'!A$2:A$45,'Centro de Custo'!B$2:B$45)</f>
        <v>Retirada Mensal</v>
      </c>
      <c r="E759" s="39">
        <v>-15494</v>
      </c>
      <c r="F759" s="40" t="s">
        <v>10</v>
      </c>
      <c r="G759" s="41">
        <v>45736</v>
      </c>
      <c r="H759" s="42">
        <f>YEAR(Tabela3[[#This Row],[Data]])</f>
        <v>2025</v>
      </c>
      <c r="I759" s="42" t="str">
        <f>_xlfn.XLOOKUP(J759,'Centro de Custo'!J$2:J$13,'Centro de Custo'!K$2:K$13)</f>
        <v>Março</v>
      </c>
      <c r="J759" s="43">
        <f>MONTH(Tabela3[[#This Row],[Data]])</f>
        <v>3</v>
      </c>
      <c r="K759" s="39">
        <f>SUM(E$3:Tabela3[[#This Row],[Valor]])</f>
        <v>22872.800000000665</v>
      </c>
      <c r="L759" s="40">
        <f t="shared" si="11"/>
        <v>2.22375</v>
      </c>
      <c r="M759" s="40"/>
      <c r="N759" s="40"/>
      <c r="O759" s="40"/>
      <c r="P759" s="39"/>
      <c r="Q759" s="39"/>
      <c r="R759" s="39"/>
      <c r="S759" s="39"/>
      <c r="T759" s="39"/>
    </row>
    <row r="760" spans="1:20" x14ac:dyDescent="0.25">
      <c r="A760" t="s">
        <v>244</v>
      </c>
      <c r="B760" s="37">
        <v>13</v>
      </c>
      <c r="C760" t="str">
        <f>_xlfn.XLOOKUP(B760,'Centro de Custo'!A$2:A$45,'Centro de Custo'!B$2:B$45)</f>
        <v>Terceirizados</v>
      </c>
      <c r="E760" s="39">
        <v>-500</v>
      </c>
      <c r="F760" s="40" t="s">
        <v>10</v>
      </c>
      <c r="G760" s="41">
        <v>45739</v>
      </c>
      <c r="H760" s="42">
        <f>YEAR(Tabela3[[#This Row],[Data]])</f>
        <v>2025</v>
      </c>
      <c r="I760" s="42" t="str">
        <f>_xlfn.XLOOKUP(J760,'Centro de Custo'!J$2:J$13,'Centro de Custo'!K$2:K$13)</f>
        <v>Março</v>
      </c>
      <c r="J760" s="43">
        <f>MONTH(Tabela3[[#This Row],[Data]])</f>
        <v>3</v>
      </c>
      <c r="K760" s="39">
        <f>SUM(E$3:Tabela3[[#This Row],[Valor]])</f>
        <v>22372.800000000665</v>
      </c>
      <c r="L760" s="40">
        <f t="shared" si="11"/>
        <v>2.22375</v>
      </c>
      <c r="M760" s="40"/>
      <c r="N760" s="40"/>
      <c r="O760" s="40"/>
      <c r="P760" s="39"/>
      <c r="Q760" s="39"/>
      <c r="R760" s="39"/>
      <c r="S760" s="39"/>
      <c r="T760" s="39"/>
    </row>
    <row r="761" spans="1:20" x14ac:dyDescent="0.25">
      <c r="A761" t="s">
        <v>422</v>
      </c>
      <c r="B761" s="37">
        <v>15</v>
      </c>
      <c r="C761" t="str">
        <f>_xlfn.XLOOKUP(B761,'Centro de Custo'!A$2:A$45,'Centro de Custo'!B$2:B$45)</f>
        <v>Viagens</v>
      </c>
      <c r="E761" s="39">
        <v>-250</v>
      </c>
      <c r="F761" s="40" t="s">
        <v>10</v>
      </c>
      <c r="G761" s="41">
        <v>45740</v>
      </c>
      <c r="H761" s="42">
        <f>YEAR(Tabela3[[#This Row],[Data]])</f>
        <v>2025</v>
      </c>
      <c r="I761" s="42" t="str">
        <f>_xlfn.XLOOKUP(J761,'Centro de Custo'!J$2:J$13,'Centro de Custo'!K$2:K$13)</f>
        <v>Março</v>
      </c>
      <c r="J761" s="43">
        <f>MONTH(Tabela3[[#This Row],[Data]])</f>
        <v>3</v>
      </c>
      <c r="K761" s="39">
        <f>SUM(E$3:Tabela3[[#This Row],[Valor]])</f>
        <v>22122.800000000665</v>
      </c>
      <c r="L761" s="40">
        <f t="shared" si="11"/>
        <v>2.22375</v>
      </c>
      <c r="M761" s="40"/>
      <c r="N761" s="40"/>
      <c r="O761" s="40"/>
      <c r="P761" s="39"/>
      <c r="Q761" s="39"/>
      <c r="R761" s="39"/>
      <c r="S761" s="39"/>
      <c r="T761" s="39"/>
    </row>
    <row r="762" spans="1:20" x14ac:dyDescent="0.25">
      <c r="A762" t="s">
        <v>45</v>
      </c>
      <c r="B762" s="37">
        <v>20</v>
      </c>
      <c r="C762" t="str">
        <f>_xlfn.XLOOKUP(B762,'Centro de Custo'!A$2:A$45,'Centro de Custo'!B$2:B$45)</f>
        <v>Desp. ADM</v>
      </c>
      <c r="E762" s="39">
        <v>-25.85</v>
      </c>
      <c r="F762" s="40" t="s">
        <v>10</v>
      </c>
      <c r="G762" s="41">
        <v>45741</v>
      </c>
      <c r="H762" s="42">
        <f>YEAR(Tabela3[[#This Row],[Data]])</f>
        <v>2025</v>
      </c>
      <c r="I762" s="42" t="str">
        <f>_xlfn.XLOOKUP(J762,'Centro de Custo'!J$2:J$13,'Centro de Custo'!K$2:K$13)</f>
        <v>Março</v>
      </c>
      <c r="J762" s="43">
        <f>MONTH(Tabela3[[#This Row],[Data]])</f>
        <v>3</v>
      </c>
      <c r="K762" s="39">
        <f>SUM(E$3:Tabela3[[#This Row],[Valor]])</f>
        <v>22096.950000000666</v>
      </c>
      <c r="L762" s="40">
        <f t="shared" si="11"/>
        <v>2.22375</v>
      </c>
      <c r="M762" s="40"/>
      <c r="N762" s="40"/>
      <c r="O762" s="40"/>
      <c r="P762" s="39"/>
      <c r="Q762" s="39"/>
      <c r="R762" s="39"/>
      <c r="S762" s="39"/>
      <c r="T762" s="39"/>
    </row>
    <row r="763" spans="1:20" x14ac:dyDescent="0.25">
      <c r="A763" t="s">
        <v>423</v>
      </c>
      <c r="B763" s="37">
        <v>17</v>
      </c>
      <c r="C763" t="str">
        <f>_xlfn.XLOOKUP(B763,'Centro de Custo'!A$2:A$45,'Centro de Custo'!B$2:B$45)</f>
        <v>Outros (Socios)</v>
      </c>
      <c r="E763" s="39">
        <v>-328.8</v>
      </c>
      <c r="F763" s="40" t="s">
        <v>10</v>
      </c>
      <c r="G763" s="41">
        <v>45742</v>
      </c>
      <c r="H763" s="42">
        <f>YEAR(Tabela3[[#This Row],[Data]])</f>
        <v>2025</v>
      </c>
      <c r="I763" s="42" t="str">
        <f>_xlfn.XLOOKUP(J763,'Centro de Custo'!J$2:J$13,'Centro de Custo'!K$2:K$13)</f>
        <v>Março</v>
      </c>
      <c r="J763" s="43">
        <f>MONTH(Tabela3[[#This Row],[Data]])</f>
        <v>3</v>
      </c>
      <c r="K763" s="39">
        <f>SUM(E$3:Tabela3[[#This Row],[Valor]])</f>
        <v>21768.150000000667</v>
      </c>
      <c r="L763" s="40">
        <f t="shared" si="11"/>
        <v>2.22375</v>
      </c>
      <c r="M763" s="40"/>
      <c r="N763" s="40"/>
      <c r="O763" s="40"/>
      <c r="P763" s="39"/>
      <c r="Q763" s="39"/>
      <c r="R763" s="39"/>
      <c r="S763" s="39"/>
      <c r="T763" s="39"/>
    </row>
    <row r="764" spans="1:20" x14ac:dyDescent="0.25">
      <c r="A764" t="s">
        <v>424</v>
      </c>
      <c r="B764" s="37">
        <v>41</v>
      </c>
      <c r="C764" t="str">
        <f>_xlfn.XLOOKUP(B764,'Centro de Custo'!A$2:A$45,'Centro de Custo'!B$2:B$45)</f>
        <v>Resgate Financeiro</v>
      </c>
      <c r="E764" s="39">
        <v>100858.16</v>
      </c>
      <c r="F764" s="40" t="s">
        <v>10</v>
      </c>
      <c r="G764" s="41">
        <v>45744</v>
      </c>
      <c r="H764" s="42">
        <f>YEAR(Tabela3[[#This Row],[Data]])</f>
        <v>2025</v>
      </c>
      <c r="I764" s="42" t="str">
        <f>_xlfn.XLOOKUP(J764,'Centro de Custo'!J$2:J$13,'Centro de Custo'!K$2:K$13)</f>
        <v>Março</v>
      </c>
      <c r="J764" s="43">
        <f>MONTH(Tabela3[[#This Row],[Data]])</f>
        <v>3</v>
      </c>
      <c r="K764" s="39">
        <f>SUM(E$3:Tabela3[[#This Row],[Valor]])</f>
        <v>122626.31000000067</v>
      </c>
      <c r="L764" s="40">
        <f t="shared" si="11"/>
        <v>2.22375</v>
      </c>
      <c r="M764" s="40"/>
      <c r="N764" s="40"/>
      <c r="O764" s="40"/>
      <c r="P764" s="39"/>
      <c r="Q764" s="39"/>
      <c r="R764" s="39"/>
      <c r="S764" s="39"/>
      <c r="T764" s="39"/>
    </row>
    <row r="765" spans="1:20" x14ac:dyDescent="0.25">
      <c r="A765" t="s">
        <v>425</v>
      </c>
      <c r="B765" s="37">
        <v>10</v>
      </c>
      <c r="C765" t="str">
        <f>_xlfn.XLOOKUP(B765,'Centro de Custo'!A$2:A$45,'Centro de Custo'!B$2:B$45)</f>
        <v>Retirada Mensal</v>
      </c>
      <c r="E765" s="39">
        <v>-280</v>
      </c>
      <c r="F765" s="40" t="s">
        <v>10</v>
      </c>
      <c r="G765" s="41">
        <v>45744</v>
      </c>
      <c r="H765" s="42">
        <f>YEAR(Tabela3[[#This Row],[Data]])</f>
        <v>2025</v>
      </c>
      <c r="I765" s="42" t="str">
        <f>_xlfn.XLOOKUP(J765,'Centro de Custo'!J$2:J$13,'Centro de Custo'!K$2:K$13)</f>
        <v>Março</v>
      </c>
      <c r="J765" s="43">
        <f>MONTH(Tabela3[[#This Row],[Data]])</f>
        <v>3</v>
      </c>
      <c r="K765" s="39">
        <f>SUM(E$3:Tabela3[[#This Row],[Valor]])</f>
        <v>122346.31000000067</v>
      </c>
      <c r="L765" s="40">
        <f t="shared" si="11"/>
        <v>2.22375</v>
      </c>
      <c r="M765" s="40"/>
      <c r="N765" s="40"/>
      <c r="O765" s="40"/>
      <c r="P765" s="39"/>
      <c r="Q765" s="39"/>
      <c r="R765" s="39"/>
      <c r="S765" s="39"/>
      <c r="T765" s="39"/>
    </row>
    <row r="766" spans="1:20" x14ac:dyDescent="0.25">
      <c r="A766" t="s">
        <v>426</v>
      </c>
      <c r="B766" s="37">
        <v>5</v>
      </c>
      <c r="C766" t="str">
        <f>_xlfn.XLOOKUP(B766,'Centro de Custo'!A$2:A$45,'Centro de Custo'!B$2:B$45)</f>
        <v>Consultoria</v>
      </c>
      <c r="E766" s="39">
        <v>-850</v>
      </c>
      <c r="F766" s="40" t="s">
        <v>10</v>
      </c>
      <c r="G766" s="41">
        <v>45744</v>
      </c>
      <c r="H766" s="42">
        <f>YEAR(Tabela3[[#This Row],[Data]])</f>
        <v>2025</v>
      </c>
      <c r="I766" s="42" t="str">
        <f>_xlfn.XLOOKUP(J766,'Centro de Custo'!J$2:J$13,'Centro de Custo'!K$2:K$13)</f>
        <v>Março</v>
      </c>
      <c r="J766" s="43">
        <f>MONTH(Tabela3[[#This Row],[Data]])</f>
        <v>3</v>
      </c>
      <c r="K766" s="39">
        <f>SUM(E$3:Tabela3[[#This Row],[Valor]])</f>
        <v>121496.31000000067</v>
      </c>
      <c r="L766" s="40">
        <f t="shared" si="11"/>
        <v>2.22375</v>
      </c>
      <c r="M766" s="40"/>
      <c r="N766" s="40"/>
      <c r="O766" s="40"/>
      <c r="P766" s="39"/>
      <c r="Q766" s="39"/>
      <c r="R766" s="39"/>
      <c r="S766" s="39"/>
      <c r="T766" s="39"/>
    </row>
    <row r="767" spans="1:20" x14ac:dyDescent="0.25">
      <c r="A767" t="s">
        <v>326</v>
      </c>
      <c r="B767" s="37">
        <v>17</v>
      </c>
      <c r="C767" t="str">
        <f>_xlfn.XLOOKUP(B767,'Centro de Custo'!A$2:A$45,'Centro de Custo'!B$2:B$45)</f>
        <v>Outros (Socios)</v>
      </c>
      <c r="E767" s="39">
        <v>-1060</v>
      </c>
      <c r="F767" s="40" t="s">
        <v>10</v>
      </c>
      <c r="G767" s="41">
        <v>45744</v>
      </c>
      <c r="H767" s="42">
        <f>YEAR(Tabela3[[#This Row],[Data]])</f>
        <v>2025</v>
      </c>
      <c r="I767" s="42" t="str">
        <f>_xlfn.XLOOKUP(J767,'Centro de Custo'!J$2:J$13,'Centro de Custo'!K$2:K$13)</f>
        <v>Março</v>
      </c>
      <c r="J767" s="43">
        <f>MONTH(Tabela3[[#This Row],[Data]])</f>
        <v>3</v>
      </c>
      <c r="K767" s="39">
        <f>SUM(E$3:Tabela3[[#This Row],[Valor]])</f>
        <v>120436.31000000067</v>
      </c>
      <c r="L767" s="40">
        <f t="shared" si="11"/>
        <v>2.22375</v>
      </c>
      <c r="M767" s="40"/>
      <c r="N767" s="40"/>
      <c r="O767" s="40"/>
      <c r="P767" s="39"/>
      <c r="Q767" s="39"/>
      <c r="R767" s="39"/>
      <c r="S767" s="39"/>
      <c r="T767" s="39"/>
    </row>
    <row r="768" spans="1:20" x14ac:dyDescent="0.25">
      <c r="A768" t="s">
        <v>399</v>
      </c>
      <c r="B768" s="37">
        <v>10</v>
      </c>
      <c r="C768" t="str">
        <f>_xlfn.XLOOKUP(B768,'Centro de Custo'!A$2:A$45,'Centro de Custo'!B$2:B$45)</f>
        <v>Retirada Mensal</v>
      </c>
      <c r="E768" s="39">
        <v>-7000</v>
      </c>
      <c r="F768" s="40" t="s">
        <v>10</v>
      </c>
      <c r="G768" s="41">
        <v>45744</v>
      </c>
      <c r="H768" s="42">
        <f>YEAR(Tabela3[[#This Row],[Data]])</f>
        <v>2025</v>
      </c>
      <c r="I768" s="42" t="str">
        <f>_xlfn.XLOOKUP(J768,'Centro de Custo'!J$2:J$13,'Centro de Custo'!K$2:K$13)</f>
        <v>Março</v>
      </c>
      <c r="J768" s="43">
        <f>MONTH(Tabela3[[#This Row],[Data]])</f>
        <v>3</v>
      </c>
      <c r="K768" s="39">
        <f>SUM(E$3:Tabela3[[#This Row],[Valor]])</f>
        <v>113436.31000000067</v>
      </c>
      <c r="L768" s="40">
        <f t="shared" si="11"/>
        <v>2.22375</v>
      </c>
      <c r="M768" s="40"/>
      <c r="N768" s="40"/>
      <c r="O768" s="40"/>
      <c r="P768" s="39"/>
      <c r="Q768" s="39"/>
      <c r="R768" s="39"/>
      <c r="S768" s="39"/>
      <c r="T768" s="39"/>
    </row>
    <row r="769" spans="1:20" x14ac:dyDescent="0.25">
      <c r="A769" t="s">
        <v>92</v>
      </c>
      <c r="B769" s="37">
        <v>10</v>
      </c>
      <c r="C769" t="str">
        <f>_xlfn.XLOOKUP(B769,'Centro de Custo'!A$2:A$45,'Centro de Custo'!B$2:B$45)</f>
        <v>Retirada Mensal</v>
      </c>
      <c r="E769" s="39">
        <v>-10810</v>
      </c>
      <c r="F769" s="40" t="s">
        <v>10</v>
      </c>
      <c r="G769" s="41">
        <v>45744</v>
      </c>
      <c r="H769" s="42">
        <f>YEAR(Tabela3[[#This Row],[Data]])</f>
        <v>2025</v>
      </c>
      <c r="I769" s="42" t="str">
        <f>_xlfn.XLOOKUP(J769,'Centro de Custo'!J$2:J$13,'Centro de Custo'!K$2:K$13)</f>
        <v>Março</v>
      </c>
      <c r="J769" s="43">
        <f>MONTH(Tabela3[[#This Row],[Data]])</f>
        <v>3</v>
      </c>
      <c r="K769" s="39">
        <f>SUM(E$3:Tabela3[[#This Row],[Valor]])</f>
        <v>102626.31000000067</v>
      </c>
      <c r="L769" s="40">
        <f t="shared" si="11"/>
        <v>2.22375</v>
      </c>
      <c r="M769" s="40"/>
      <c r="N769" s="40"/>
      <c r="O769" s="40"/>
      <c r="P769" s="39"/>
      <c r="Q769" s="39"/>
      <c r="R769" s="39"/>
      <c r="S769" s="39"/>
      <c r="T769" s="39"/>
    </row>
    <row r="770" spans="1:20" x14ac:dyDescent="0.25">
      <c r="A770" t="s">
        <v>427</v>
      </c>
      <c r="B770" s="37">
        <v>11</v>
      </c>
      <c r="C770" t="str">
        <f>_xlfn.XLOOKUP(B770,'Centro de Custo'!A$2:A$45,'Centro de Custo'!B$2:B$45)</f>
        <v>Distribuição de Lucro</v>
      </c>
      <c r="E770" s="39">
        <v>-80000</v>
      </c>
      <c r="F770" s="40" t="s">
        <v>10</v>
      </c>
      <c r="G770" s="41">
        <v>45744</v>
      </c>
      <c r="H770" s="42">
        <f>YEAR(Tabela3[[#This Row],[Data]])</f>
        <v>2025</v>
      </c>
      <c r="I770" s="42" t="str">
        <f>_xlfn.XLOOKUP(J770,'Centro de Custo'!J$2:J$13,'Centro de Custo'!K$2:K$13)</f>
        <v>Março</v>
      </c>
      <c r="J770" s="43">
        <f>MONTH(Tabela3[[#This Row],[Data]])</f>
        <v>3</v>
      </c>
      <c r="K770" s="39">
        <f>SUM(E$3:Tabela3[[#This Row],[Valor]])</f>
        <v>22626.310000000667</v>
      </c>
      <c r="L770" s="40">
        <f t="shared" si="11"/>
        <v>2.22375</v>
      </c>
      <c r="M770" s="40"/>
      <c r="N770" s="40"/>
      <c r="O770" s="40"/>
      <c r="P770" s="39"/>
      <c r="Q770" s="39"/>
      <c r="R770" s="39"/>
      <c r="S770" s="39"/>
      <c r="T770" s="39"/>
    </row>
    <row r="771" spans="1:20" x14ac:dyDescent="0.25">
      <c r="A771" s="46" t="s">
        <v>428</v>
      </c>
      <c r="B771" s="37">
        <v>30</v>
      </c>
      <c r="C771" t="str">
        <f>_xlfn.XLOOKUP(B771,'Centro de Custo'!A$2:A$45,'Centro de Custo'!B$2:B$45)</f>
        <v>Impostos</v>
      </c>
      <c r="E771" s="39">
        <v>-17359.15</v>
      </c>
      <c r="F771" s="40" t="s">
        <v>10</v>
      </c>
      <c r="G771" s="41">
        <v>45747</v>
      </c>
      <c r="H771" s="42">
        <f>YEAR(Tabela3[[#This Row],[Data]])</f>
        <v>2025</v>
      </c>
      <c r="I771" s="42" t="str">
        <f>_xlfn.XLOOKUP(J771,'Centro de Custo'!J$2:J$13,'Centro de Custo'!K$2:K$13)</f>
        <v>Março</v>
      </c>
      <c r="J771" s="43">
        <f>MONTH(Tabela3[[#This Row],[Data]])</f>
        <v>3</v>
      </c>
      <c r="K771" s="39">
        <f>SUM(E$3:Tabela3[[#This Row],[Valor]])</f>
        <v>5267.160000000666</v>
      </c>
      <c r="L771" s="40">
        <f t="shared" ref="L771:L834" si="12">17.79/8</f>
        <v>2.22375</v>
      </c>
      <c r="M771" s="40"/>
      <c r="N771" s="40"/>
      <c r="O771" s="40"/>
      <c r="P771" s="39"/>
      <c r="Q771" s="39"/>
      <c r="R771" s="39"/>
      <c r="S771" s="39"/>
      <c r="T771" s="39"/>
    </row>
    <row r="772" spans="1:20" x14ac:dyDescent="0.25">
      <c r="A772" t="s">
        <v>429</v>
      </c>
      <c r="B772" s="37">
        <v>20</v>
      </c>
      <c r="C772" t="str">
        <f>_xlfn.XLOOKUP(B772,'Centro de Custo'!A$2:A$45,'Centro de Custo'!B$2:B$45)</f>
        <v>Desp. ADM</v>
      </c>
      <c r="E772" s="39">
        <v>-34.95</v>
      </c>
      <c r="F772" s="40" t="s">
        <v>10</v>
      </c>
      <c r="G772" s="41">
        <v>45748</v>
      </c>
      <c r="H772" s="42">
        <f>YEAR(Tabela3[[#This Row],[Data]])</f>
        <v>2025</v>
      </c>
      <c r="I772" s="42" t="str">
        <f>_xlfn.XLOOKUP(J772,'Centro de Custo'!J$2:J$13,'Centro de Custo'!K$2:K$13)</f>
        <v>Abril</v>
      </c>
      <c r="J772" s="43">
        <f>MONTH(Tabela3[[#This Row],[Data]])</f>
        <v>4</v>
      </c>
      <c r="K772" s="39">
        <f>SUM(E$3:Tabela3[[#This Row],[Valor]])</f>
        <v>5232.210000000666</v>
      </c>
      <c r="L772" s="40">
        <f t="shared" si="12"/>
        <v>2.22375</v>
      </c>
      <c r="M772" s="40"/>
      <c r="N772" s="40"/>
      <c r="O772" s="40"/>
      <c r="P772" s="39"/>
      <c r="Q772" s="39"/>
      <c r="R772" s="39"/>
      <c r="S772" s="39"/>
      <c r="T772" s="39"/>
    </row>
    <row r="773" spans="1:20" x14ac:dyDescent="0.25">
      <c r="A773" t="s">
        <v>430</v>
      </c>
      <c r="B773" s="37">
        <v>41</v>
      </c>
      <c r="C773" t="str">
        <f>_xlfn.XLOOKUP(B773,'Centro de Custo'!A$2:A$45,'Centro de Custo'!B$2:B$45)</f>
        <v>Resgate Financeiro</v>
      </c>
      <c r="E773" s="39">
        <v>100000</v>
      </c>
      <c r="F773" s="40" t="s">
        <v>10</v>
      </c>
      <c r="G773" s="41">
        <v>45751</v>
      </c>
      <c r="H773" s="42">
        <f>YEAR(Tabela3[[#This Row],[Data]])</f>
        <v>2025</v>
      </c>
      <c r="I773" s="42" t="str">
        <f>_xlfn.XLOOKUP(J773,'Centro de Custo'!J$2:J$13,'Centro de Custo'!K$2:K$13)</f>
        <v>Abril</v>
      </c>
      <c r="J773" s="43">
        <f>MONTH(Tabela3[[#This Row],[Data]])</f>
        <v>4</v>
      </c>
      <c r="K773" s="39">
        <f>SUM(E$3:Tabela3[[#This Row],[Valor]])</f>
        <v>105232.21000000066</v>
      </c>
      <c r="L773" s="40">
        <f t="shared" si="12"/>
        <v>2.22375</v>
      </c>
      <c r="M773" s="40"/>
      <c r="N773" s="40"/>
      <c r="O773" s="40"/>
      <c r="P773" s="39"/>
      <c r="Q773" s="39"/>
      <c r="R773" s="39"/>
      <c r="S773" s="39"/>
      <c r="T773" s="39"/>
    </row>
    <row r="774" spans="1:20" x14ac:dyDescent="0.25">
      <c r="A774" t="s">
        <v>431</v>
      </c>
      <c r="B774" s="37">
        <v>17</v>
      </c>
      <c r="C774" t="str">
        <f>_xlfn.XLOOKUP(B774,'Centro de Custo'!A$2:A$45,'Centro de Custo'!B$2:B$45)</f>
        <v>Outros (Socios)</v>
      </c>
      <c r="E774" s="39">
        <v>-150</v>
      </c>
      <c r="F774" s="40" t="s">
        <v>10</v>
      </c>
      <c r="G774" s="41">
        <v>45751</v>
      </c>
      <c r="H774" s="42">
        <f>YEAR(Tabela3[[#This Row],[Data]])</f>
        <v>2025</v>
      </c>
      <c r="I774" s="42" t="str">
        <f>_xlfn.XLOOKUP(J774,'Centro de Custo'!J$2:J$13,'Centro de Custo'!K$2:K$13)</f>
        <v>Abril</v>
      </c>
      <c r="J774" s="43">
        <f>MONTH(Tabela3[[#This Row],[Data]])</f>
        <v>4</v>
      </c>
      <c r="K774" s="39">
        <f>SUM(E$3:Tabela3[[#This Row],[Valor]])</f>
        <v>105082.21000000066</v>
      </c>
      <c r="L774" s="40">
        <f t="shared" si="12"/>
        <v>2.22375</v>
      </c>
      <c r="M774" s="40"/>
      <c r="N774" s="40"/>
      <c r="O774" s="40"/>
      <c r="P774" s="39"/>
      <c r="Q774" s="39"/>
      <c r="R774" s="39"/>
      <c r="S774" s="39"/>
      <c r="T774" s="39"/>
    </row>
    <row r="775" spans="1:20" x14ac:dyDescent="0.25">
      <c r="A775" t="s">
        <v>327</v>
      </c>
      <c r="B775" s="37">
        <v>17</v>
      </c>
      <c r="C775" t="str">
        <f>_xlfn.XLOOKUP(B775,'Centro de Custo'!A$2:A$45,'Centro de Custo'!B$2:B$45)</f>
        <v>Outros (Socios)</v>
      </c>
      <c r="E775" s="39">
        <v>-1060</v>
      </c>
      <c r="F775" s="40" t="s">
        <v>10</v>
      </c>
      <c r="G775" s="41">
        <v>45751</v>
      </c>
      <c r="H775" s="42">
        <f>YEAR(Tabela3[[#This Row],[Data]])</f>
        <v>2025</v>
      </c>
      <c r="I775" s="42" t="str">
        <f>_xlfn.XLOOKUP(J775,'Centro de Custo'!J$2:J$13,'Centro de Custo'!K$2:K$13)</f>
        <v>Abril</v>
      </c>
      <c r="J775" s="43">
        <f>MONTH(Tabela3[[#This Row],[Data]])</f>
        <v>4</v>
      </c>
      <c r="K775" s="39">
        <f>SUM(E$3:Tabela3[[#This Row],[Valor]])</f>
        <v>104022.21000000066</v>
      </c>
      <c r="L775" s="40">
        <f t="shared" si="12"/>
        <v>2.22375</v>
      </c>
      <c r="M775" s="40"/>
      <c r="N775" s="40"/>
      <c r="O775" s="40"/>
      <c r="P775" s="39"/>
      <c r="Q775" s="39"/>
      <c r="R775" s="39"/>
      <c r="S775" s="39"/>
      <c r="T775" s="39"/>
    </row>
    <row r="776" spans="1:20" x14ac:dyDescent="0.25">
      <c r="A776" t="s">
        <v>432</v>
      </c>
      <c r="B776" s="37">
        <v>15</v>
      </c>
      <c r="C776" t="str">
        <f>_xlfn.XLOOKUP(B776,'Centro de Custo'!A$2:A$45,'Centro de Custo'!B$2:B$45)</f>
        <v>Viagens</v>
      </c>
      <c r="E776" s="39">
        <v>-2170</v>
      </c>
      <c r="F776" s="40" t="s">
        <v>10</v>
      </c>
      <c r="G776" s="41">
        <v>45751</v>
      </c>
      <c r="H776" s="42">
        <f>YEAR(Tabela3[[#This Row],[Data]])</f>
        <v>2025</v>
      </c>
      <c r="I776" s="42" t="str">
        <f>_xlfn.XLOOKUP(J776,'Centro de Custo'!J$2:J$13,'Centro de Custo'!K$2:K$13)</f>
        <v>Abril</v>
      </c>
      <c r="J776" s="43">
        <f>MONTH(Tabela3[[#This Row],[Data]])</f>
        <v>4</v>
      </c>
      <c r="K776" s="39">
        <f>SUM(E$3:Tabela3[[#This Row],[Valor]])</f>
        <v>101852.21000000066</v>
      </c>
      <c r="L776" s="40">
        <f t="shared" si="12"/>
        <v>2.22375</v>
      </c>
      <c r="M776" s="40"/>
      <c r="N776" s="40"/>
      <c r="O776" s="40"/>
      <c r="P776" s="39"/>
      <c r="Q776" s="39"/>
      <c r="R776" s="39"/>
      <c r="S776" s="39"/>
      <c r="T776" s="39"/>
    </row>
    <row r="777" spans="1:20" x14ac:dyDescent="0.25">
      <c r="A777" t="s">
        <v>407</v>
      </c>
      <c r="B777" s="37">
        <v>20</v>
      </c>
      <c r="C777" t="str">
        <f>_xlfn.XLOOKUP(B777,'Centro de Custo'!A$2:A$45,'Centro de Custo'!B$2:B$45)</f>
        <v>Desp. ADM</v>
      </c>
      <c r="E777" s="39">
        <v>-3754</v>
      </c>
      <c r="F777" s="40" t="s">
        <v>10</v>
      </c>
      <c r="G777" s="41">
        <v>45751</v>
      </c>
      <c r="H777" s="42">
        <f>YEAR(Tabela3[[#This Row],[Data]])</f>
        <v>2025</v>
      </c>
      <c r="I777" s="42" t="str">
        <f>_xlfn.XLOOKUP(J777,'Centro de Custo'!J$2:J$13,'Centro de Custo'!K$2:K$13)</f>
        <v>Abril</v>
      </c>
      <c r="J777" s="43">
        <f>MONTH(Tabela3[[#This Row],[Data]])</f>
        <v>4</v>
      </c>
      <c r="K777" s="39">
        <f>SUM(E$3:Tabela3[[#This Row],[Valor]])</f>
        <v>98098.21000000066</v>
      </c>
      <c r="L777" s="40">
        <f t="shared" si="12"/>
        <v>2.22375</v>
      </c>
      <c r="M777" s="40"/>
      <c r="N777" s="40"/>
      <c r="O777" s="40"/>
      <c r="P777" s="39"/>
      <c r="Q777" s="39"/>
      <c r="R777" s="39"/>
      <c r="S777" s="39"/>
      <c r="T777" s="39"/>
    </row>
    <row r="778" spans="1:20" x14ac:dyDescent="0.25">
      <c r="A778" t="s">
        <v>433</v>
      </c>
      <c r="B778" s="37">
        <v>4</v>
      </c>
      <c r="C778" t="str">
        <f>_xlfn.XLOOKUP(B778,'Centro de Custo'!A$2:A$45,'Centro de Custo'!B$2:B$45)</f>
        <v>Reforma</v>
      </c>
      <c r="E778" s="39">
        <v>-5366</v>
      </c>
      <c r="F778" s="40" t="s">
        <v>10</v>
      </c>
      <c r="G778" s="41">
        <v>45751</v>
      </c>
      <c r="H778" s="42">
        <f>YEAR(Tabela3[[#This Row],[Data]])</f>
        <v>2025</v>
      </c>
      <c r="I778" s="42" t="str">
        <f>_xlfn.XLOOKUP(J778,'Centro de Custo'!J$2:J$13,'Centro de Custo'!K$2:K$13)</f>
        <v>Abril</v>
      </c>
      <c r="J778" s="43">
        <f>MONTH(Tabela3[[#This Row],[Data]])</f>
        <v>4</v>
      </c>
      <c r="K778" s="39">
        <f>SUM(E$3:Tabela3[[#This Row],[Valor]])</f>
        <v>92732.21000000066</v>
      </c>
      <c r="L778" s="40">
        <f t="shared" si="12"/>
        <v>2.22375</v>
      </c>
      <c r="M778" s="40"/>
      <c r="N778" s="40"/>
      <c r="O778" s="40"/>
      <c r="P778" s="39"/>
      <c r="Q778" s="39"/>
      <c r="R778" s="39"/>
      <c r="S778" s="39"/>
      <c r="T778" s="39"/>
    </row>
    <row r="779" spans="1:20" x14ac:dyDescent="0.25">
      <c r="A779" t="s">
        <v>55</v>
      </c>
      <c r="B779" s="37">
        <v>10</v>
      </c>
      <c r="C779" t="str">
        <f>_xlfn.XLOOKUP(B779,'Centro de Custo'!A$2:A$45,'Centro de Custo'!B$2:B$45)</f>
        <v>Retirada Mensal</v>
      </c>
      <c r="E779" s="39">
        <v>-11254</v>
      </c>
      <c r="F779" s="40" t="s">
        <v>10</v>
      </c>
      <c r="G779" s="41">
        <v>45751</v>
      </c>
      <c r="H779" s="42">
        <f>YEAR(Tabela3[[#This Row],[Data]])</f>
        <v>2025</v>
      </c>
      <c r="I779" s="42" t="str">
        <f>_xlfn.XLOOKUP(J779,'Centro de Custo'!J$2:J$13,'Centro de Custo'!K$2:K$13)</f>
        <v>Abril</v>
      </c>
      <c r="J779" s="43">
        <f>MONTH(Tabela3[[#This Row],[Data]])</f>
        <v>4</v>
      </c>
      <c r="K779" s="39">
        <f>SUM(E$3:Tabela3[[#This Row],[Valor]])</f>
        <v>81478.21000000066</v>
      </c>
      <c r="L779" s="40">
        <f t="shared" si="12"/>
        <v>2.22375</v>
      </c>
      <c r="M779" s="40"/>
      <c r="N779" s="40"/>
      <c r="O779" s="40"/>
      <c r="P779" s="39"/>
      <c r="Q779" s="39"/>
      <c r="R779" s="39"/>
      <c r="S779" s="39"/>
      <c r="T779" s="39"/>
    </row>
    <row r="780" spans="1:20" x14ac:dyDescent="0.25">
      <c r="A780" t="s">
        <v>364</v>
      </c>
      <c r="B780" s="37">
        <v>17</v>
      </c>
      <c r="C780" t="str">
        <f>_xlfn.XLOOKUP(B780,'Centro de Custo'!A$2:A$45,'Centro de Custo'!B$2:B$45)</f>
        <v>Outros (Socios)</v>
      </c>
      <c r="E780" s="39">
        <v>-30</v>
      </c>
      <c r="F780" s="40" t="s">
        <v>10</v>
      </c>
      <c r="G780" s="41">
        <v>45754</v>
      </c>
      <c r="H780" s="42">
        <f>YEAR(Tabela3[[#This Row],[Data]])</f>
        <v>2025</v>
      </c>
      <c r="I780" s="42" t="str">
        <f>_xlfn.XLOOKUP(J780,'Centro de Custo'!J$2:J$13,'Centro de Custo'!K$2:K$13)</f>
        <v>Abril</v>
      </c>
      <c r="J780" s="43">
        <f>MONTH(Tabela3[[#This Row],[Data]])</f>
        <v>4</v>
      </c>
      <c r="K780" s="39">
        <f>SUM(E$3:Tabela3[[#This Row],[Valor]])</f>
        <v>81448.21000000066</v>
      </c>
      <c r="L780" s="40">
        <f t="shared" si="12"/>
        <v>2.22375</v>
      </c>
      <c r="M780" s="40"/>
      <c r="N780" s="40"/>
      <c r="O780" s="40"/>
      <c r="P780" s="39"/>
      <c r="Q780" s="39"/>
      <c r="R780" s="39"/>
      <c r="S780" s="39"/>
      <c r="T780" s="39"/>
    </row>
    <row r="781" spans="1:20" x14ac:dyDescent="0.25">
      <c r="A781" t="s">
        <v>434</v>
      </c>
      <c r="B781" s="37">
        <v>17</v>
      </c>
      <c r="C781" t="str">
        <f>_xlfn.XLOOKUP(B781,'Centro de Custo'!A$2:A$45,'Centro de Custo'!B$2:B$45)</f>
        <v>Outros (Socios)</v>
      </c>
      <c r="E781" s="39">
        <v>-100</v>
      </c>
      <c r="F781" s="40" t="s">
        <v>10</v>
      </c>
      <c r="G781" s="41">
        <v>45754</v>
      </c>
      <c r="H781" s="42">
        <f>YEAR(Tabela3[[#This Row],[Data]])</f>
        <v>2025</v>
      </c>
      <c r="I781" s="42" t="str">
        <f>_xlfn.XLOOKUP(J781,'Centro de Custo'!J$2:J$13,'Centro de Custo'!K$2:K$13)</f>
        <v>Abril</v>
      </c>
      <c r="J781" s="43">
        <f>MONTH(Tabela3[[#This Row],[Data]])</f>
        <v>4</v>
      </c>
      <c r="K781" s="39">
        <f>SUM(E$3:Tabela3[[#This Row],[Valor]])</f>
        <v>81348.21000000066</v>
      </c>
      <c r="L781" s="40">
        <f t="shared" si="12"/>
        <v>2.22375</v>
      </c>
      <c r="M781" s="40"/>
      <c r="N781" s="40"/>
      <c r="O781" s="40"/>
      <c r="P781" s="39"/>
      <c r="Q781" s="39"/>
      <c r="R781" s="39"/>
      <c r="S781" s="39"/>
      <c r="T781" s="39"/>
    </row>
    <row r="782" spans="1:20" x14ac:dyDescent="0.25">
      <c r="A782" t="s">
        <v>178</v>
      </c>
      <c r="B782" s="37">
        <v>20</v>
      </c>
      <c r="C782" t="str">
        <f>_xlfn.XLOOKUP(B782,'Centro de Custo'!A$2:A$45,'Centro de Custo'!B$2:B$45)</f>
        <v>Desp. ADM</v>
      </c>
      <c r="E782" s="39">
        <v>-169.9</v>
      </c>
      <c r="F782" s="40" t="s">
        <v>10</v>
      </c>
      <c r="G782" s="41">
        <v>45754</v>
      </c>
      <c r="H782" s="42">
        <f>YEAR(Tabela3[[#This Row],[Data]])</f>
        <v>2025</v>
      </c>
      <c r="I782" s="42" t="str">
        <f>_xlfn.XLOOKUP(J782,'Centro de Custo'!J$2:J$13,'Centro de Custo'!K$2:K$13)</f>
        <v>Abril</v>
      </c>
      <c r="J782" s="43">
        <f>MONTH(Tabela3[[#This Row],[Data]])</f>
        <v>4</v>
      </c>
      <c r="K782" s="39">
        <f>SUM(E$3:Tabela3[[#This Row],[Valor]])</f>
        <v>81178.31000000067</v>
      </c>
      <c r="L782" s="40">
        <f t="shared" si="12"/>
        <v>2.22375</v>
      </c>
      <c r="M782" s="40"/>
      <c r="N782" s="40"/>
      <c r="O782" s="40"/>
      <c r="P782" s="39"/>
      <c r="Q782" s="39"/>
      <c r="R782" s="39"/>
      <c r="S782" s="39"/>
      <c r="T782" s="39"/>
    </row>
    <row r="783" spans="1:20" x14ac:dyDescent="0.25">
      <c r="A783" s="48" t="s">
        <v>435</v>
      </c>
      <c r="B783" s="37">
        <v>20</v>
      </c>
      <c r="C783" t="str">
        <f>_xlfn.XLOOKUP(B783,'Centro de Custo'!A$2:A$45,'Centro de Custo'!B$2:B$45)</f>
        <v>Desp. ADM</v>
      </c>
      <c r="E783" s="39">
        <v>-482.5</v>
      </c>
      <c r="F783" s="40" t="s">
        <v>10</v>
      </c>
      <c r="G783" s="41">
        <v>45754</v>
      </c>
      <c r="H783" s="42">
        <f>YEAR(Tabela3[[#This Row],[Data]])</f>
        <v>2025</v>
      </c>
      <c r="I783" s="42" t="str">
        <f>_xlfn.XLOOKUP(J783,'Centro de Custo'!J$2:J$13,'Centro de Custo'!K$2:K$13)</f>
        <v>Abril</v>
      </c>
      <c r="J783" s="43">
        <f>MONTH(Tabela3[[#This Row],[Data]])</f>
        <v>4</v>
      </c>
      <c r="K783" s="39">
        <f>SUM(E$3:Tabela3[[#This Row],[Valor]])</f>
        <v>80695.81000000067</v>
      </c>
      <c r="L783" s="40">
        <f t="shared" si="12"/>
        <v>2.22375</v>
      </c>
      <c r="M783" s="40"/>
      <c r="N783" s="40"/>
      <c r="O783" s="40"/>
      <c r="P783" s="39"/>
      <c r="Q783" s="39"/>
      <c r="R783" s="39"/>
      <c r="S783" s="39"/>
      <c r="T783" s="39"/>
    </row>
    <row r="784" spans="1:20" x14ac:dyDescent="0.25">
      <c r="A784" t="s">
        <v>169</v>
      </c>
      <c r="B784" s="37">
        <v>20</v>
      </c>
      <c r="C784" t="str">
        <f>_xlfn.XLOOKUP(B784,'Centro de Custo'!A$2:A$45,'Centro de Custo'!B$2:B$45)</f>
        <v>Desp. ADM</v>
      </c>
      <c r="E784" s="39">
        <v>-607.6</v>
      </c>
      <c r="F784" s="40" t="s">
        <v>10</v>
      </c>
      <c r="G784" s="41">
        <v>45754</v>
      </c>
      <c r="H784" s="42">
        <f>YEAR(Tabela3[[#This Row],[Data]])</f>
        <v>2025</v>
      </c>
      <c r="I784" s="42" t="str">
        <f>_xlfn.XLOOKUP(J784,'Centro de Custo'!J$2:J$13,'Centro de Custo'!K$2:K$13)</f>
        <v>Abril</v>
      </c>
      <c r="J784" s="43">
        <f>MONTH(Tabela3[[#This Row],[Data]])</f>
        <v>4</v>
      </c>
      <c r="K784" s="39">
        <f>SUM(E$3:Tabela3[[#This Row],[Valor]])</f>
        <v>80088.21000000066</v>
      </c>
      <c r="L784" s="40">
        <f t="shared" si="12"/>
        <v>2.22375</v>
      </c>
      <c r="M784" s="40"/>
      <c r="N784" s="40"/>
      <c r="O784" s="40"/>
      <c r="P784" s="39"/>
      <c r="Q784" s="39"/>
      <c r="R784" s="39"/>
      <c r="S784" s="39"/>
      <c r="T784" s="39"/>
    </row>
    <row r="785" spans="1:20" x14ac:dyDescent="0.25">
      <c r="A785" t="s">
        <v>167</v>
      </c>
      <c r="B785" s="37">
        <v>20</v>
      </c>
      <c r="C785" t="str">
        <f>_xlfn.XLOOKUP(B785,'Centro de Custo'!A$2:A$45,'Centro de Custo'!B$2:B$45)</f>
        <v>Desp. ADM</v>
      </c>
      <c r="E785" s="39">
        <v>-607.6</v>
      </c>
      <c r="F785" s="40" t="s">
        <v>10</v>
      </c>
      <c r="G785" s="41">
        <v>45754</v>
      </c>
      <c r="H785" s="42">
        <f>YEAR(Tabela3[[#This Row],[Data]])</f>
        <v>2025</v>
      </c>
      <c r="I785" s="42" t="str">
        <f>_xlfn.XLOOKUP(J785,'Centro de Custo'!J$2:J$13,'Centro de Custo'!K$2:K$13)</f>
        <v>Abril</v>
      </c>
      <c r="J785" s="43">
        <f>MONTH(Tabela3[[#This Row],[Data]])</f>
        <v>4</v>
      </c>
      <c r="K785" s="39">
        <f>SUM(E$3:Tabela3[[#This Row],[Valor]])</f>
        <v>79480.61000000066</v>
      </c>
      <c r="L785" s="40">
        <f t="shared" si="12"/>
        <v>2.22375</v>
      </c>
      <c r="M785" s="40"/>
      <c r="N785" s="40"/>
      <c r="O785" s="40"/>
      <c r="P785" s="39"/>
      <c r="Q785" s="39"/>
      <c r="R785" s="39"/>
      <c r="S785" s="39"/>
      <c r="T785" s="39"/>
    </row>
    <row r="786" spans="1:20" x14ac:dyDescent="0.25">
      <c r="A786" t="s">
        <v>366</v>
      </c>
      <c r="B786" s="37">
        <v>17</v>
      </c>
      <c r="C786" t="str">
        <f>_xlfn.XLOOKUP(B786,'Centro de Custo'!A$2:A$45,'Centro de Custo'!B$2:B$45)</f>
        <v>Outros (Socios)</v>
      </c>
      <c r="E786" s="39">
        <v>-1060</v>
      </c>
      <c r="F786" s="40" t="s">
        <v>10</v>
      </c>
      <c r="G786" s="41">
        <v>45754</v>
      </c>
      <c r="H786" s="42">
        <f>YEAR(Tabela3[[#This Row],[Data]])</f>
        <v>2025</v>
      </c>
      <c r="I786" s="42" t="str">
        <f>_xlfn.XLOOKUP(J786,'Centro de Custo'!J$2:J$13,'Centro de Custo'!K$2:K$13)</f>
        <v>Abril</v>
      </c>
      <c r="J786" s="43">
        <f>MONTH(Tabela3[[#This Row],[Data]])</f>
        <v>4</v>
      </c>
      <c r="K786" s="39">
        <f>SUM(E$3:Tabela3[[#This Row],[Valor]])</f>
        <v>78420.61000000066</v>
      </c>
      <c r="L786" s="40">
        <f t="shared" si="12"/>
        <v>2.22375</v>
      </c>
      <c r="M786" s="40"/>
      <c r="N786" s="40"/>
      <c r="O786" s="40"/>
      <c r="P786" s="39"/>
      <c r="Q786" s="39"/>
      <c r="R786" s="39"/>
      <c r="S786" s="39"/>
      <c r="T786" s="39"/>
    </row>
    <row r="787" spans="1:20" x14ac:dyDescent="0.25">
      <c r="A787" t="s">
        <v>328</v>
      </c>
      <c r="B787" s="37">
        <v>17</v>
      </c>
      <c r="C787" t="str">
        <f>_xlfn.XLOOKUP(B787,'Centro de Custo'!A$2:A$45,'Centro de Custo'!B$2:B$45)</f>
        <v>Outros (Socios)</v>
      </c>
      <c r="E787" s="39">
        <v>-1120</v>
      </c>
      <c r="F787" s="40" t="s">
        <v>10</v>
      </c>
      <c r="G787" s="41">
        <v>45754</v>
      </c>
      <c r="H787" s="42">
        <f>YEAR(Tabela3[[#This Row],[Data]])</f>
        <v>2025</v>
      </c>
      <c r="I787" s="42" t="str">
        <f>_xlfn.XLOOKUP(J787,'Centro de Custo'!J$2:J$13,'Centro de Custo'!K$2:K$13)</f>
        <v>Abril</v>
      </c>
      <c r="J787" s="43">
        <f>MONTH(Tabela3[[#This Row],[Data]])</f>
        <v>4</v>
      </c>
      <c r="K787" s="39">
        <f>SUM(E$3:Tabela3[[#This Row],[Valor]])</f>
        <v>77300.61000000066</v>
      </c>
      <c r="L787" s="40">
        <f t="shared" si="12"/>
        <v>2.22375</v>
      </c>
      <c r="M787" s="40"/>
      <c r="N787" s="40"/>
      <c r="O787" s="40"/>
      <c r="P787" s="39"/>
      <c r="Q787" s="39"/>
      <c r="R787" s="39"/>
      <c r="S787" s="39"/>
      <c r="T787" s="39"/>
    </row>
    <row r="788" spans="1:20" x14ac:dyDescent="0.25">
      <c r="A788" t="s">
        <v>365</v>
      </c>
      <c r="B788" s="37">
        <v>17</v>
      </c>
      <c r="C788" t="str">
        <f>_xlfn.XLOOKUP(B788,'Centro de Custo'!A$2:A$45,'Centro de Custo'!B$2:B$45)</f>
        <v>Outros (Socios)</v>
      </c>
      <c r="E788" s="39">
        <v>-1504.23</v>
      </c>
      <c r="F788" s="40" t="s">
        <v>10</v>
      </c>
      <c r="G788" s="41">
        <v>45754</v>
      </c>
      <c r="H788" s="42">
        <f>YEAR(Tabela3[[#This Row],[Data]])</f>
        <v>2025</v>
      </c>
      <c r="I788" s="42" t="str">
        <f>_xlfn.XLOOKUP(J788,'Centro de Custo'!J$2:J$13,'Centro de Custo'!K$2:K$13)</f>
        <v>Abril</v>
      </c>
      <c r="J788" s="43">
        <f>MONTH(Tabela3[[#This Row],[Data]])</f>
        <v>4</v>
      </c>
      <c r="K788" s="39">
        <f>SUM(E$3:Tabela3[[#This Row],[Valor]])</f>
        <v>75796.38000000066</v>
      </c>
      <c r="L788" s="40">
        <f t="shared" si="12"/>
        <v>2.22375</v>
      </c>
      <c r="M788" s="40"/>
      <c r="N788" s="40"/>
      <c r="O788" s="40"/>
      <c r="P788" s="39"/>
      <c r="Q788" s="39"/>
      <c r="R788" s="39"/>
      <c r="S788" s="39"/>
      <c r="T788" s="39"/>
    </row>
    <row r="789" spans="1:20" x14ac:dyDescent="0.25">
      <c r="A789" t="s">
        <v>436</v>
      </c>
      <c r="B789" s="37">
        <v>4</v>
      </c>
      <c r="C789" t="str">
        <f>_xlfn.XLOOKUP(B789,'Centro de Custo'!A$2:A$45,'Centro de Custo'!B$2:B$45)</f>
        <v>Reforma</v>
      </c>
      <c r="E789" s="39">
        <v>-4500</v>
      </c>
      <c r="F789" s="40" t="s">
        <v>10</v>
      </c>
      <c r="G789" s="41">
        <v>45754</v>
      </c>
      <c r="H789" s="42">
        <f>YEAR(Tabela3[[#This Row],[Data]])</f>
        <v>2025</v>
      </c>
      <c r="I789" s="42" t="str">
        <f>_xlfn.XLOOKUP(J789,'Centro de Custo'!J$2:J$13,'Centro de Custo'!K$2:K$13)</f>
        <v>Abril</v>
      </c>
      <c r="J789" s="43">
        <f>MONTH(Tabela3[[#This Row],[Data]])</f>
        <v>4</v>
      </c>
      <c r="K789" s="39">
        <f>SUM(E$3:Tabela3[[#This Row],[Valor]])</f>
        <v>71296.38000000066</v>
      </c>
      <c r="L789" s="40">
        <f t="shared" si="12"/>
        <v>2.22375</v>
      </c>
      <c r="M789" s="40"/>
      <c r="N789" s="40"/>
      <c r="O789" s="40"/>
      <c r="P789" s="39"/>
      <c r="Q789" s="39"/>
      <c r="R789" s="39"/>
      <c r="S789" s="39"/>
      <c r="T789" s="39"/>
    </row>
    <row r="790" spans="1:20" x14ac:dyDescent="0.25">
      <c r="A790" t="s">
        <v>190</v>
      </c>
      <c r="B790" s="37">
        <v>13</v>
      </c>
      <c r="C790" t="str">
        <f>_xlfn.XLOOKUP(B790,'Centro de Custo'!A$2:A$45,'Centro de Custo'!B$2:B$45)</f>
        <v>Terceirizados</v>
      </c>
      <c r="E790" s="39">
        <v>-4886.44</v>
      </c>
      <c r="F790" s="40" t="s">
        <v>10</v>
      </c>
      <c r="G790" s="41">
        <v>45754</v>
      </c>
      <c r="H790" s="42">
        <f>YEAR(Tabela3[[#This Row],[Data]])</f>
        <v>2025</v>
      </c>
      <c r="I790" s="42" t="str">
        <f>_xlfn.XLOOKUP(J790,'Centro de Custo'!J$2:J$13,'Centro de Custo'!K$2:K$13)</f>
        <v>Abril</v>
      </c>
      <c r="J790" s="43">
        <f>MONTH(Tabela3[[#This Row],[Data]])</f>
        <v>4</v>
      </c>
      <c r="K790" s="39">
        <f>SUM(E$3:Tabela3[[#This Row],[Valor]])</f>
        <v>66409.94000000066</v>
      </c>
      <c r="L790" s="40">
        <f t="shared" si="12"/>
        <v>2.22375</v>
      </c>
      <c r="M790" s="40"/>
      <c r="N790" s="40"/>
      <c r="O790" s="40"/>
      <c r="P790" s="39"/>
      <c r="Q790" s="39"/>
      <c r="R790" s="39"/>
      <c r="S790" s="39"/>
      <c r="T790" s="39"/>
    </row>
    <row r="791" spans="1:20" x14ac:dyDescent="0.25">
      <c r="A791" t="s">
        <v>383</v>
      </c>
      <c r="B791" s="37">
        <v>12</v>
      </c>
      <c r="C791" t="str">
        <f>_xlfn.XLOOKUP(B791,'Centro de Custo'!A$2:A$45,'Centro de Custo'!B$2:B$45)</f>
        <v>Direitos Autorais Terceiros</v>
      </c>
      <c r="E791" s="39">
        <v>-5000</v>
      </c>
      <c r="F791" s="40" t="s">
        <v>10</v>
      </c>
      <c r="G791" s="41">
        <v>45754</v>
      </c>
      <c r="H791" s="42">
        <f>YEAR(Tabela3[[#This Row],[Data]])</f>
        <v>2025</v>
      </c>
      <c r="I791" s="42" t="str">
        <f>_xlfn.XLOOKUP(J791,'Centro de Custo'!J$2:J$13,'Centro de Custo'!K$2:K$13)</f>
        <v>Abril</v>
      </c>
      <c r="J791" s="43">
        <f>MONTH(Tabela3[[#This Row],[Data]])</f>
        <v>4</v>
      </c>
      <c r="K791" s="39">
        <f>SUM(E$3:Tabela3[[#This Row],[Valor]])</f>
        <v>61409.94000000066</v>
      </c>
      <c r="L791" s="40">
        <f t="shared" si="12"/>
        <v>2.22375</v>
      </c>
      <c r="M791" s="40"/>
      <c r="N791" s="40"/>
      <c r="O791" s="40"/>
      <c r="P791" s="39"/>
      <c r="Q791" s="39"/>
      <c r="R791" s="39"/>
      <c r="S791" s="39"/>
      <c r="T791" s="39"/>
    </row>
    <row r="792" spans="1:20" x14ac:dyDescent="0.25">
      <c r="A792" t="s">
        <v>400</v>
      </c>
      <c r="B792" s="37">
        <v>20</v>
      </c>
      <c r="C792" t="str">
        <f>_xlfn.XLOOKUP(B792,'Centro de Custo'!A$2:A$45,'Centro de Custo'!B$2:B$45)</f>
        <v>Desp. ADM</v>
      </c>
      <c r="E792" s="39">
        <v>-7781.6</v>
      </c>
      <c r="F792" s="40" t="s">
        <v>10</v>
      </c>
      <c r="G792" s="41">
        <v>45754</v>
      </c>
      <c r="H792" s="42">
        <f>YEAR(Tabela3[[#This Row],[Data]])</f>
        <v>2025</v>
      </c>
      <c r="I792" s="42" t="str">
        <f>_xlfn.XLOOKUP(J792,'Centro de Custo'!J$2:J$13,'Centro de Custo'!K$2:K$13)</f>
        <v>Abril</v>
      </c>
      <c r="J792" s="43">
        <f>MONTH(Tabela3[[#This Row],[Data]])</f>
        <v>4</v>
      </c>
      <c r="K792" s="39">
        <f>SUM(E$3:Tabela3[[#This Row],[Valor]])</f>
        <v>53628.34000000066</v>
      </c>
      <c r="L792" s="40">
        <f t="shared" si="12"/>
        <v>2.22375</v>
      </c>
      <c r="M792" s="40"/>
      <c r="N792" s="40"/>
      <c r="O792" s="40"/>
      <c r="P792" s="39"/>
      <c r="Q792" s="39"/>
      <c r="R792" s="39"/>
      <c r="S792" s="39"/>
      <c r="T792" s="39"/>
    </row>
    <row r="793" spans="1:20" x14ac:dyDescent="0.25">
      <c r="A793" t="s">
        <v>56</v>
      </c>
      <c r="B793" s="37">
        <v>10</v>
      </c>
      <c r="C793" t="str">
        <f>_xlfn.XLOOKUP(B793,'Centro de Custo'!A$2:A$45,'Centro de Custo'!B$2:B$45)</f>
        <v>Retirada Mensal</v>
      </c>
      <c r="E793" s="39">
        <v>-9880</v>
      </c>
      <c r="F793" s="40" t="s">
        <v>10</v>
      </c>
      <c r="G793" s="41">
        <v>45754</v>
      </c>
      <c r="H793" s="42">
        <f>YEAR(Tabela3[[#This Row],[Data]])</f>
        <v>2025</v>
      </c>
      <c r="I793" s="42" t="str">
        <f>_xlfn.XLOOKUP(J793,'Centro de Custo'!J$2:J$13,'Centro de Custo'!K$2:K$13)</f>
        <v>Abril</v>
      </c>
      <c r="J793" s="43">
        <f>MONTH(Tabela3[[#This Row],[Data]])</f>
        <v>4</v>
      </c>
      <c r="K793" s="39">
        <f>SUM(E$3:Tabela3[[#This Row],[Valor]])</f>
        <v>43748.34000000066</v>
      </c>
      <c r="L793" s="40">
        <f t="shared" si="12"/>
        <v>2.22375</v>
      </c>
      <c r="M793" s="40"/>
      <c r="N793" s="40"/>
      <c r="O793" s="40"/>
      <c r="P793" s="39"/>
      <c r="Q793" s="39"/>
      <c r="R793" s="39"/>
      <c r="S793" s="39"/>
      <c r="T793" s="39"/>
    </row>
    <row r="794" spans="1:20" x14ac:dyDescent="0.25">
      <c r="A794" t="s">
        <v>401</v>
      </c>
      <c r="B794" s="37">
        <v>10</v>
      </c>
      <c r="C794" t="str">
        <f>_xlfn.XLOOKUP(B794,'Centro de Custo'!A$2:A$45,'Centro de Custo'!B$2:B$45)</f>
        <v>Retirada Mensal</v>
      </c>
      <c r="E794" s="39">
        <v>-10000</v>
      </c>
      <c r="F794" s="40" t="s">
        <v>10</v>
      </c>
      <c r="G794" s="41">
        <v>45754</v>
      </c>
      <c r="H794" s="42">
        <f>YEAR(Tabela3[[#This Row],[Data]])</f>
        <v>2025</v>
      </c>
      <c r="I794" s="42" t="str">
        <f>_xlfn.XLOOKUP(J794,'Centro de Custo'!J$2:J$13,'Centro de Custo'!K$2:K$13)</f>
        <v>Abril</v>
      </c>
      <c r="J794" s="43">
        <f>MONTH(Tabela3[[#This Row],[Data]])</f>
        <v>4</v>
      </c>
      <c r="K794" s="39">
        <f>SUM(E$3:Tabela3[[#This Row],[Valor]])</f>
        <v>33748.34000000066</v>
      </c>
      <c r="L794" s="40">
        <f t="shared" si="12"/>
        <v>2.22375</v>
      </c>
      <c r="M794" s="40"/>
      <c r="N794" s="40"/>
      <c r="O794" s="40"/>
      <c r="P794" s="39"/>
      <c r="Q794" s="39"/>
      <c r="R794" s="39"/>
      <c r="S794" s="39"/>
      <c r="T794" s="39"/>
    </row>
    <row r="795" spans="1:20" x14ac:dyDescent="0.25">
      <c r="A795" t="s">
        <v>58</v>
      </c>
      <c r="B795" s="37">
        <v>10</v>
      </c>
      <c r="C795" t="str">
        <f>_xlfn.XLOOKUP(B795,'Centro de Custo'!A$2:A$45,'Centro de Custo'!B$2:B$45)</f>
        <v>Retirada Mensal</v>
      </c>
      <c r="E795" s="39">
        <v>-10440</v>
      </c>
      <c r="F795" s="40" t="s">
        <v>10</v>
      </c>
      <c r="G795" s="41">
        <v>45754</v>
      </c>
      <c r="H795" s="42">
        <f>YEAR(Tabela3[[#This Row],[Data]])</f>
        <v>2025</v>
      </c>
      <c r="I795" s="42" t="str">
        <f>_xlfn.XLOOKUP(J795,'Centro de Custo'!J$2:J$13,'Centro de Custo'!K$2:K$13)</f>
        <v>Abril</v>
      </c>
      <c r="J795" s="43">
        <f>MONTH(Tabela3[[#This Row],[Data]])</f>
        <v>4</v>
      </c>
      <c r="K795" s="39">
        <f>SUM(E$3:Tabela3[[#This Row],[Valor]])</f>
        <v>23308.34000000066</v>
      </c>
      <c r="L795" s="40">
        <f t="shared" si="12"/>
        <v>2.22375</v>
      </c>
      <c r="M795" s="40"/>
      <c r="N795" s="40"/>
      <c r="O795" s="40"/>
      <c r="P795" s="39"/>
      <c r="Q795" s="39"/>
      <c r="R795" s="39"/>
      <c r="S795" s="39"/>
      <c r="T795" s="39"/>
    </row>
    <row r="796" spans="1:20" x14ac:dyDescent="0.25">
      <c r="A796" t="s">
        <v>437</v>
      </c>
      <c r="B796" s="37">
        <v>30</v>
      </c>
      <c r="C796" t="str">
        <f>_xlfn.XLOOKUP(B796,'Centro de Custo'!A$2:A$45,'Centro de Custo'!B$2:B$45)</f>
        <v>Impostos</v>
      </c>
      <c r="E796" s="39">
        <v>-211.69</v>
      </c>
      <c r="F796" s="40" t="s">
        <v>10</v>
      </c>
      <c r="G796" s="41">
        <v>45756</v>
      </c>
      <c r="H796" s="42">
        <f>YEAR(Tabela3[[#This Row],[Data]])</f>
        <v>2025</v>
      </c>
      <c r="I796" s="42" t="str">
        <f>_xlfn.XLOOKUP(J796,'Centro de Custo'!J$2:J$13,'Centro de Custo'!K$2:K$13)</f>
        <v>Abril</v>
      </c>
      <c r="J796" s="43">
        <f>MONTH(Tabela3[[#This Row],[Data]])</f>
        <v>4</v>
      </c>
      <c r="K796" s="39">
        <f>SUM(E$3:Tabela3[[#This Row],[Valor]])</f>
        <v>23096.65000000066</v>
      </c>
      <c r="L796" s="40">
        <f t="shared" si="12"/>
        <v>2.22375</v>
      </c>
      <c r="M796" s="40"/>
      <c r="N796" s="40"/>
      <c r="O796" s="40"/>
      <c r="P796" s="39"/>
      <c r="Q796" s="39"/>
      <c r="R796" s="39"/>
      <c r="S796" s="39"/>
      <c r="T796" s="39"/>
    </row>
    <row r="797" spans="1:20" x14ac:dyDescent="0.25">
      <c r="A797" t="s">
        <v>437</v>
      </c>
      <c r="B797" s="37">
        <v>30</v>
      </c>
      <c r="C797" t="str">
        <f>_xlfn.XLOOKUP(B797,'Centro de Custo'!A$2:A$45,'Centro de Custo'!B$2:B$45)</f>
        <v>Impostos</v>
      </c>
      <c r="E797" s="39">
        <v>-241.54</v>
      </c>
      <c r="F797" s="40" t="s">
        <v>10</v>
      </c>
      <c r="G797" s="41">
        <v>45756</v>
      </c>
      <c r="H797" s="42">
        <f>YEAR(Tabela3[[#This Row],[Data]])</f>
        <v>2025</v>
      </c>
      <c r="I797" s="42" t="str">
        <f>_xlfn.XLOOKUP(J797,'Centro de Custo'!J$2:J$13,'Centro de Custo'!K$2:K$13)</f>
        <v>Abril</v>
      </c>
      <c r="J797" s="43">
        <f>MONTH(Tabela3[[#This Row],[Data]])</f>
        <v>4</v>
      </c>
      <c r="K797" s="39">
        <f>SUM(E$3:Tabela3[[#This Row],[Valor]])</f>
        <v>22855.11000000066</v>
      </c>
      <c r="L797" s="40">
        <f t="shared" si="12"/>
        <v>2.22375</v>
      </c>
      <c r="M797" s="40"/>
      <c r="N797" s="40"/>
      <c r="O797" s="40"/>
      <c r="P797" s="39"/>
      <c r="Q797" s="39"/>
      <c r="R797" s="39"/>
      <c r="S797" s="39"/>
      <c r="T797" s="39"/>
    </row>
    <row r="798" spans="1:20" x14ac:dyDescent="0.25">
      <c r="A798" t="s">
        <v>437</v>
      </c>
      <c r="B798" s="37">
        <v>30</v>
      </c>
      <c r="C798" t="str">
        <f>_xlfn.XLOOKUP(B798,'Centro de Custo'!A$2:A$45,'Centro de Custo'!B$2:B$45)</f>
        <v>Impostos</v>
      </c>
      <c r="E798" s="39">
        <v>-248.37</v>
      </c>
      <c r="F798" s="40" t="s">
        <v>10</v>
      </c>
      <c r="G798" s="41">
        <v>45756</v>
      </c>
      <c r="H798" s="42">
        <f>YEAR(Tabela3[[#This Row],[Data]])</f>
        <v>2025</v>
      </c>
      <c r="I798" s="42" t="str">
        <f>_xlfn.XLOOKUP(J798,'Centro de Custo'!J$2:J$13,'Centro de Custo'!K$2:K$13)</f>
        <v>Abril</v>
      </c>
      <c r="J798" s="43">
        <f>MONTH(Tabela3[[#This Row],[Data]])</f>
        <v>4</v>
      </c>
      <c r="K798" s="39">
        <f>SUM(E$3:Tabela3[[#This Row],[Valor]])</f>
        <v>22606.74000000066</v>
      </c>
      <c r="L798" s="40">
        <f t="shared" si="12"/>
        <v>2.22375</v>
      </c>
      <c r="M798" s="40"/>
      <c r="N798" s="40"/>
      <c r="O798" s="40"/>
      <c r="P798" s="39"/>
      <c r="Q798" s="39"/>
      <c r="R798" s="39"/>
      <c r="S798" s="39"/>
      <c r="T798" s="39"/>
    </row>
    <row r="799" spans="1:20" x14ac:dyDescent="0.25">
      <c r="A799" t="s">
        <v>437</v>
      </c>
      <c r="B799" s="37">
        <v>30</v>
      </c>
      <c r="C799" t="str">
        <f>_xlfn.XLOOKUP(B799,'Centro de Custo'!A$2:A$45,'Centro de Custo'!B$2:B$45)</f>
        <v>Impostos</v>
      </c>
      <c r="E799" s="39">
        <v>-248.37</v>
      </c>
      <c r="F799" s="40" t="s">
        <v>10</v>
      </c>
      <c r="G799" s="41">
        <v>45756</v>
      </c>
      <c r="H799" s="42">
        <f>YEAR(Tabela3[[#This Row],[Data]])</f>
        <v>2025</v>
      </c>
      <c r="I799" s="42" t="str">
        <f>_xlfn.XLOOKUP(J799,'Centro de Custo'!J$2:J$13,'Centro de Custo'!K$2:K$13)</f>
        <v>Abril</v>
      </c>
      <c r="J799" s="43">
        <f>MONTH(Tabela3[[#This Row],[Data]])</f>
        <v>4</v>
      </c>
      <c r="K799" s="39">
        <f>SUM(E$3:Tabela3[[#This Row],[Valor]])</f>
        <v>22358.37000000066</v>
      </c>
      <c r="L799" s="40">
        <f t="shared" si="12"/>
        <v>2.22375</v>
      </c>
      <c r="M799" s="40"/>
      <c r="N799" s="40"/>
      <c r="O799" s="40"/>
      <c r="P799" s="39"/>
      <c r="Q799" s="39"/>
      <c r="R799" s="39"/>
      <c r="S799" s="39"/>
      <c r="T799" s="39"/>
    </row>
    <row r="800" spans="1:20" x14ac:dyDescent="0.25">
      <c r="A800" t="s">
        <v>438</v>
      </c>
      <c r="B800" s="37">
        <v>30</v>
      </c>
      <c r="C800" t="str">
        <f>_xlfn.XLOOKUP(B800,'Centro de Custo'!A$2:A$45,'Centro de Custo'!B$2:B$45)</f>
        <v>Impostos</v>
      </c>
      <c r="E800" s="39">
        <v>-301.92</v>
      </c>
      <c r="F800" s="40" t="s">
        <v>10</v>
      </c>
      <c r="G800" s="41">
        <v>45756</v>
      </c>
      <c r="H800" s="42">
        <f>YEAR(Tabela3[[#This Row],[Data]])</f>
        <v>2025</v>
      </c>
      <c r="I800" s="42" t="str">
        <f>_xlfn.XLOOKUP(J800,'Centro de Custo'!J$2:J$13,'Centro de Custo'!K$2:K$13)</f>
        <v>Abril</v>
      </c>
      <c r="J800" s="43">
        <f>MONTH(Tabela3[[#This Row],[Data]])</f>
        <v>4</v>
      </c>
      <c r="K800" s="39">
        <f>SUM(E$3:Tabela3[[#This Row],[Valor]])</f>
        <v>22056.450000000663</v>
      </c>
      <c r="L800" s="40">
        <f t="shared" si="12"/>
        <v>2.22375</v>
      </c>
      <c r="M800" s="40"/>
      <c r="N800" s="40"/>
      <c r="O800" s="40"/>
      <c r="P800" s="39"/>
      <c r="Q800" s="39"/>
      <c r="R800" s="39"/>
      <c r="S800" s="39"/>
      <c r="T800" s="39"/>
    </row>
    <row r="801" spans="1:20" x14ac:dyDescent="0.25">
      <c r="A801" t="s">
        <v>438</v>
      </c>
      <c r="B801" s="37">
        <v>30</v>
      </c>
      <c r="C801" t="str">
        <f>_xlfn.XLOOKUP(B801,'Centro de Custo'!A$2:A$45,'Centro de Custo'!B$2:B$45)</f>
        <v>Impostos</v>
      </c>
      <c r="E801" s="39">
        <v>-301.92</v>
      </c>
      <c r="F801" s="40" t="s">
        <v>10</v>
      </c>
      <c r="G801" s="41">
        <v>45756</v>
      </c>
      <c r="H801" s="42">
        <f>YEAR(Tabela3[[#This Row],[Data]])</f>
        <v>2025</v>
      </c>
      <c r="I801" s="42" t="str">
        <f>_xlfn.XLOOKUP(J801,'Centro de Custo'!J$2:J$13,'Centro de Custo'!K$2:K$13)</f>
        <v>Abril</v>
      </c>
      <c r="J801" s="43">
        <f>MONTH(Tabela3[[#This Row],[Data]])</f>
        <v>4</v>
      </c>
      <c r="K801" s="39">
        <f>SUM(E$3:Tabela3[[#This Row],[Valor]])</f>
        <v>21754.530000000665</v>
      </c>
      <c r="L801" s="40">
        <f t="shared" si="12"/>
        <v>2.22375</v>
      </c>
      <c r="M801" s="40"/>
      <c r="N801" s="40"/>
      <c r="O801" s="40"/>
      <c r="P801" s="39"/>
      <c r="Q801" s="39"/>
      <c r="R801" s="39"/>
      <c r="S801" s="39"/>
      <c r="T801" s="39"/>
    </row>
    <row r="802" spans="1:20" x14ac:dyDescent="0.25">
      <c r="A802" t="s">
        <v>439</v>
      </c>
      <c r="B802" s="37">
        <v>20</v>
      </c>
      <c r="C802" t="str">
        <f>_xlfn.XLOOKUP(B802,'Centro de Custo'!A$2:A$45,'Centro de Custo'!B$2:B$45)</f>
        <v>Desp. ADM</v>
      </c>
      <c r="E802" s="39">
        <v>-359.62</v>
      </c>
      <c r="F802" s="40" t="s">
        <v>10</v>
      </c>
      <c r="G802" s="41">
        <v>45757</v>
      </c>
      <c r="H802" s="42">
        <f>YEAR(Tabela3[[#This Row],[Data]])</f>
        <v>2025</v>
      </c>
      <c r="I802" s="42" t="str">
        <f>_xlfn.XLOOKUP(J802,'Centro de Custo'!J$2:J$13,'Centro de Custo'!K$2:K$13)</f>
        <v>Abril</v>
      </c>
      <c r="J802" s="43">
        <f>MONTH(Tabela3[[#This Row],[Data]])</f>
        <v>4</v>
      </c>
      <c r="K802" s="39">
        <f>SUM(E$3:Tabela3[[#This Row],[Valor]])</f>
        <v>21394.910000000666</v>
      </c>
      <c r="L802" s="40">
        <f t="shared" si="12"/>
        <v>2.22375</v>
      </c>
      <c r="M802" s="40"/>
      <c r="N802" s="40"/>
      <c r="O802" s="40"/>
      <c r="P802" s="39"/>
      <c r="Q802" s="39"/>
      <c r="R802" s="39"/>
      <c r="S802" s="39"/>
      <c r="T802" s="39"/>
    </row>
    <row r="803" spans="1:20" x14ac:dyDescent="0.25">
      <c r="A803" t="s">
        <v>244</v>
      </c>
      <c r="B803" s="37">
        <v>13</v>
      </c>
      <c r="C803" t="str">
        <f>_xlfn.XLOOKUP(B803,'Centro de Custo'!A$2:A$45,'Centro de Custo'!B$2:B$45)</f>
        <v>Terceirizados</v>
      </c>
      <c r="E803" s="39">
        <v>-500</v>
      </c>
      <c r="F803" s="40" t="s">
        <v>10</v>
      </c>
      <c r="G803" s="41">
        <v>45761</v>
      </c>
      <c r="H803" s="42">
        <f>YEAR(Tabela3[[#This Row],[Data]])</f>
        <v>2025</v>
      </c>
      <c r="I803" s="42" t="str">
        <f>_xlfn.XLOOKUP(J803,'Centro de Custo'!J$2:J$13,'Centro de Custo'!K$2:K$13)</f>
        <v>Abril</v>
      </c>
      <c r="J803" s="43">
        <f>MONTH(Tabela3[[#This Row],[Data]])</f>
        <v>4</v>
      </c>
      <c r="K803" s="39">
        <f>SUM(E$3:Tabela3[[#This Row],[Valor]])</f>
        <v>20894.910000000666</v>
      </c>
      <c r="L803" s="40">
        <f t="shared" si="12"/>
        <v>2.22375</v>
      </c>
      <c r="M803" s="40"/>
      <c r="N803" s="40"/>
      <c r="O803" s="40"/>
      <c r="P803" s="39"/>
      <c r="Q803" s="39"/>
      <c r="R803" s="39"/>
      <c r="S803" s="39"/>
      <c r="T803" s="39"/>
    </row>
    <row r="804" spans="1:20" x14ac:dyDescent="0.25">
      <c r="A804" t="s">
        <v>440</v>
      </c>
      <c r="B804" s="37">
        <v>50</v>
      </c>
      <c r="C804" t="str">
        <f>_xlfn.XLOOKUP(B804,'Centro de Custo'!A$2:A$45,'Centro de Custo'!B$2:B$45)</f>
        <v>Empréstimos</v>
      </c>
      <c r="E804" s="39">
        <v>-10000</v>
      </c>
      <c r="F804" s="40" t="s">
        <v>10</v>
      </c>
      <c r="G804" s="41">
        <v>45761</v>
      </c>
      <c r="H804" s="42">
        <f>YEAR(Tabela3[[#This Row],[Data]])</f>
        <v>2025</v>
      </c>
      <c r="I804" s="42" t="str">
        <f>_xlfn.XLOOKUP(J804,'Centro de Custo'!J$2:J$13,'Centro de Custo'!K$2:K$13)</f>
        <v>Abril</v>
      </c>
      <c r="J804" s="43">
        <f>MONTH(Tabela3[[#This Row],[Data]])</f>
        <v>4</v>
      </c>
      <c r="K804" s="39">
        <f>SUM(E$3:Tabela3[[#This Row],[Valor]])</f>
        <v>10894.910000000666</v>
      </c>
      <c r="L804" s="40">
        <f t="shared" si="12"/>
        <v>2.22375</v>
      </c>
      <c r="M804" s="40"/>
      <c r="N804" s="40"/>
      <c r="O804" s="40"/>
      <c r="P804" s="39"/>
      <c r="Q804" s="39"/>
      <c r="R804" s="39"/>
      <c r="S804" s="39"/>
      <c r="T804" s="39"/>
    </row>
    <row r="805" spans="1:20" x14ac:dyDescent="0.25">
      <c r="A805" t="s">
        <v>441</v>
      </c>
      <c r="B805" s="37">
        <v>50</v>
      </c>
      <c r="C805" t="str">
        <f>_xlfn.XLOOKUP(B805,'Centro de Custo'!A$2:A$45,'Centro de Custo'!B$2:B$45)</f>
        <v>Empréstimos</v>
      </c>
      <c r="E805" s="39">
        <v>-10000</v>
      </c>
      <c r="F805" s="40" t="s">
        <v>10</v>
      </c>
      <c r="G805" s="41">
        <v>45761</v>
      </c>
      <c r="H805" s="42">
        <f>YEAR(Tabela3[[#This Row],[Data]])</f>
        <v>2025</v>
      </c>
      <c r="I805" s="42" t="str">
        <f>_xlfn.XLOOKUP(J805,'Centro de Custo'!J$2:J$13,'Centro de Custo'!K$2:K$13)</f>
        <v>Abril</v>
      </c>
      <c r="J805" s="43">
        <f>MONTH(Tabela3[[#This Row],[Data]])</f>
        <v>4</v>
      </c>
      <c r="K805" s="39">
        <f>SUM(E$3:Tabela3[[#This Row],[Valor]])</f>
        <v>894.9100000006656</v>
      </c>
      <c r="L805" s="40">
        <f t="shared" si="12"/>
        <v>2.22375</v>
      </c>
      <c r="M805" s="40"/>
      <c r="N805" s="40"/>
      <c r="O805" s="40"/>
      <c r="P805" s="39"/>
      <c r="Q805" s="39"/>
      <c r="R805" s="39"/>
      <c r="S805" s="39"/>
      <c r="T805" s="39"/>
    </row>
    <row r="806" spans="1:20" x14ac:dyDescent="0.25">
      <c r="A806" t="s">
        <v>430</v>
      </c>
      <c r="B806" s="37">
        <v>41</v>
      </c>
      <c r="C806" t="str">
        <f>_xlfn.XLOOKUP(B806,'Centro de Custo'!A$2:A$45,'Centro de Custo'!B$2:B$45)</f>
        <v>Resgate Financeiro</v>
      </c>
      <c r="E806" s="39">
        <v>150114.42</v>
      </c>
      <c r="F806" s="40" t="s">
        <v>10</v>
      </c>
      <c r="G806" s="41">
        <v>45763</v>
      </c>
      <c r="H806" s="42">
        <f>YEAR(Tabela3[[#This Row],[Data]])</f>
        <v>2025</v>
      </c>
      <c r="I806" s="42" t="str">
        <f>_xlfn.XLOOKUP(J806,'Centro de Custo'!J$2:J$13,'Centro de Custo'!K$2:K$13)</f>
        <v>Abril</v>
      </c>
      <c r="J806" s="43">
        <f>MONTH(Tabela3[[#This Row],[Data]])</f>
        <v>4</v>
      </c>
      <c r="K806" s="39">
        <f>SUM(E$3:Tabela3[[#This Row],[Valor]])</f>
        <v>151009.3300000007</v>
      </c>
      <c r="L806" s="40">
        <f t="shared" si="12"/>
        <v>2.22375</v>
      </c>
      <c r="M806" s="40"/>
      <c r="N806" s="40"/>
      <c r="O806" s="40"/>
      <c r="P806" s="39"/>
      <c r="Q806" s="39"/>
      <c r="R806" s="39"/>
      <c r="S806" s="39"/>
      <c r="T806" s="39"/>
    </row>
    <row r="807" spans="1:20" x14ac:dyDescent="0.25">
      <c r="A807" t="s">
        <v>204</v>
      </c>
      <c r="B807" s="37">
        <v>20</v>
      </c>
      <c r="C807" t="str">
        <f>_xlfn.XLOOKUP(B807,'Centro de Custo'!A$2:A$45,'Centro de Custo'!B$2:B$45)</f>
        <v>Desp. ADM</v>
      </c>
      <c r="E807" s="39">
        <v>-257.54</v>
      </c>
      <c r="F807" s="40" t="s">
        <v>10</v>
      </c>
      <c r="G807" s="41">
        <v>45763</v>
      </c>
      <c r="H807" s="42">
        <f>YEAR(Tabela3[[#This Row],[Data]])</f>
        <v>2025</v>
      </c>
      <c r="I807" s="42" t="str">
        <f>_xlfn.XLOOKUP(J807,'Centro de Custo'!J$2:J$13,'Centro de Custo'!K$2:K$13)</f>
        <v>Abril</v>
      </c>
      <c r="J807" s="43">
        <f>MONTH(Tabela3[[#This Row],[Data]])</f>
        <v>4</v>
      </c>
      <c r="K807" s="39">
        <f>SUM(E$3:Tabela3[[#This Row],[Valor]])</f>
        <v>150751.79000000068</v>
      </c>
      <c r="L807" s="40">
        <f t="shared" si="12"/>
        <v>2.22375</v>
      </c>
      <c r="M807" s="40"/>
      <c r="N807" s="40"/>
      <c r="O807" s="40"/>
      <c r="P807" s="39"/>
      <c r="Q807" s="39"/>
      <c r="R807" s="39"/>
      <c r="S807" s="39"/>
      <c r="T807" s="39"/>
    </row>
    <row r="808" spans="1:20" x14ac:dyDescent="0.25">
      <c r="A808" t="s">
        <v>205</v>
      </c>
      <c r="B808" s="37">
        <v>20</v>
      </c>
      <c r="C808" t="str">
        <f>_xlfn.XLOOKUP(B808,'Centro de Custo'!A$2:A$45,'Centro de Custo'!B$2:B$45)</f>
        <v>Desp. ADM</v>
      </c>
      <c r="E808" s="39">
        <v>-1031.57</v>
      </c>
      <c r="F808" s="40" t="s">
        <v>10</v>
      </c>
      <c r="G808" s="41">
        <v>45763</v>
      </c>
      <c r="H808" s="42">
        <f>YEAR(Tabela3[[#This Row],[Data]])</f>
        <v>2025</v>
      </c>
      <c r="I808" s="42" t="str">
        <f>_xlfn.XLOOKUP(J808,'Centro de Custo'!J$2:J$13,'Centro de Custo'!K$2:K$13)</f>
        <v>Abril</v>
      </c>
      <c r="J808" s="43">
        <f>MONTH(Tabela3[[#This Row],[Data]])</f>
        <v>4</v>
      </c>
      <c r="K808" s="39">
        <f>SUM(E$3:Tabela3[[#This Row],[Valor]])</f>
        <v>149720.22000000067</v>
      </c>
      <c r="L808" s="40">
        <f t="shared" si="12"/>
        <v>2.22375</v>
      </c>
      <c r="M808" s="40"/>
      <c r="N808" s="40"/>
      <c r="O808" s="40"/>
      <c r="P808" s="39"/>
      <c r="Q808" s="39"/>
      <c r="R808" s="39"/>
      <c r="S808" s="39"/>
      <c r="T808" s="39"/>
    </row>
    <row r="809" spans="1:20" x14ac:dyDescent="0.25">
      <c r="A809" t="s">
        <v>389</v>
      </c>
      <c r="B809" s="37">
        <v>30</v>
      </c>
      <c r="C809" t="str">
        <f>_xlfn.XLOOKUP(B809,'Centro de Custo'!A$2:A$45,'Centro de Custo'!B$2:B$45)</f>
        <v>Impostos</v>
      </c>
      <c r="E809" s="39">
        <v>-1411.74</v>
      </c>
      <c r="F809" s="40" t="s">
        <v>10</v>
      </c>
      <c r="G809" s="41">
        <v>45763</v>
      </c>
      <c r="H809" s="42">
        <f>YEAR(Tabela3[[#This Row],[Data]])</f>
        <v>2025</v>
      </c>
      <c r="I809" s="42" t="str">
        <f>_xlfn.XLOOKUP(J809,'Centro de Custo'!J$2:J$13,'Centro de Custo'!K$2:K$13)</f>
        <v>Abril</v>
      </c>
      <c r="J809" s="43">
        <f>MONTH(Tabela3[[#This Row],[Data]])</f>
        <v>4</v>
      </c>
      <c r="K809" s="39">
        <f>SUM(E$3:Tabela3[[#This Row],[Valor]])</f>
        <v>148308.48000000068</v>
      </c>
      <c r="L809" s="40">
        <f t="shared" si="12"/>
        <v>2.22375</v>
      </c>
      <c r="M809" s="40"/>
      <c r="N809" s="40"/>
      <c r="O809" s="40"/>
      <c r="P809" s="39"/>
      <c r="Q809" s="39"/>
      <c r="R809" s="39"/>
      <c r="S809" s="39"/>
      <c r="T809" s="39"/>
    </row>
    <row r="810" spans="1:20" x14ac:dyDescent="0.25">
      <c r="A810" t="s">
        <v>442</v>
      </c>
      <c r="B810" s="37">
        <v>50</v>
      </c>
      <c r="C810" t="str">
        <f>_xlfn.XLOOKUP(B810,'Centro de Custo'!A$2:A$45,'Centro de Custo'!B$2:B$45)</f>
        <v>Empréstimos</v>
      </c>
      <c r="E810" s="39">
        <v>-21500</v>
      </c>
      <c r="F810" s="40" t="s">
        <v>10</v>
      </c>
      <c r="G810" s="41">
        <v>45763</v>
      </c>
      <c r="H810" s="42">
        <f>YEAR(Tabela3[[#This Row],[Data]])</f>
        <v>2025</v>
      </c>
      <c r="I810" s="42" t="str">
        <f>_xlfn.XLOOKUP(J810,'Centro de Custo'!J$2:J$13,'Centro de Custo'!K$2:K$13)</f>
        <v>Abril</v>
      </c>
      <c r="J810" s="43">
        <f>MONTH(Tabela3[[#This Row],[Data]])</f>
        <v>4</v>
      </c>
      <c r="K810" s="39">
        <f>SUM(E$3:Tabela3[[#This Row],[Valor]])</f>
        <v>126808.48000000068</v>
      </c>
      <c r="L810" s="40">
        <f t="shared" si="12"/>
        <v>2.22375</v>
      </c>
      <c r="M810" s="40"/>
      <c r="N810" s="40"/>
      <c r="O810" s="40"/>
      <c r="P810" s="39"/>
      <c r="Q810" s="39"/>
      <c r="R810" s="39"/>
      <c r="S810" s="39"/>
      <c r="T810" s="39"/>
    </row>
    <row r="811" spans="1:20" x14ac:dyDescent="0.25">
      <c r="A811" t="s">
        <v>100</v>
      </c>
      <c r="B811" s="37">
        <v>50</v>
      </c>
      <c r="C811" t="str">
        <f>_xlfn.XLOOKUP(B811,'Centro de Custo'!A$2:A$45,'Centro de Custo'!B$2:B$45)</f>
        <v>Empréstimos</v>
      </c>
      <c r="E811" s="39">
        <v>-5000</v>
      </c>
      <c r="F811" s="40" t="s">
        <v>10</v>
      </c>
      <c r="G811" s="41">
        <v>45764</v>
      </c>
      <c r="H811" s="42">
        <f>YEAR(Tabela3[[#This Row],[Data]])</f>
        <v>2025</v>
      </c>
      <c r="I811" s="42" t="str">
        <f>_xlfn.XLOOKUP(J811,'Centro de Custo'!J$2:J$13,'Centro de Custo'!K$2:K$13)</f>
        <v>Abril</v>
      </c>
      <c r="J811" s="43">
        <f>MONTH(Tabela3[[#This Row],[Data]])</f>
        <v>4</v>
      </c>
      <c r="K811" s="39">
        <f>SUM(E$3:Tabela3[[#This Row],[Valor]])</f>
        <v>121808.48000000068</v>
      </c>
      <c r="L811" s="40">
        <f t="shared" si="12"/>
        <v>2.22375</v>
      </c>
      <c r="M811" s="40"/>
      <c r="N811" s="40"/>
      <c r="O811" s="40"/>
      <c r="P811" s="39"/>
      <c r="Q811" s="39"/>
      <c r="R811" s="39"/>
      <c r="S811" s="39"/>
      <c r="T811" s="39"/>
    </row>
    <row r="812" spans="1:20" x14ac:dyDescent="0.25">
      <c r="A812" t="s">
        <v>443</v>
      </c>
      <c r="B812" s="37">
        <v>15</v>
      </c>
      <c r="C812" t="str">
        <f>_xlfn.XLOOKUP(B812,'Centro de Custo'!A$2:A$45,'Centro de Custo'!B$2:B$45)</f>
        <v>Viagens</v>
      </c>
      <c r="E812" s="39">
        <v>-5314</v>
      </c>
      <c r="F812" s="40" t="s">
        <v>10</v>
      </c>
      <c r="G812" s="41">
        <v>45769</v>
      </c>
      <c r="H812" s="42">
        <f>YEAR(Tabela3[[#This Row],[Data]])</f>
        <v>2025</v>
      </c>
      <c r="I812" s="42" t="str">
        <f>_xlfn.XLOOKUP(J812,'Centro de Custo'!J$2:J$13,'Centro de Custo'!K$2:K$13)</f>
        <v>Abril</v>
      </c>
      <c r="J812" s="43">
        <f>MONTH(Tabela3[[#This Row],[Data]])</f>
        <v>4</v>
      </c>
      <c r="K812" s="39">
        <f>SUM(E$3:Tabela3[[#This Row],[Valor]])</f>
        <v>116494.48000000068</v>
      </c>
      <c r="L812" s="40">
        <f t="shared" si="12"/>
        <v>2.22375</v>
      </c>
      <c r="M812" s="40"/>
      <c r="N812" s="40"/>
      <c r="O812" s="40"/>
      <c r="P812" s="39"/>
      <c r="Q812" s="39"/>
      <c r="R812" s="39"/>
      <c r="S812" s="39"/>
      <c r="T812" s="39"/>
    </row>
    <row r="813" spans="1:20" x14ac:dyDescent="0.25">
      <c r="A813" t="s">
        <v>444</v>
      </c>
      <c r="B813" s="37">
        <v>18</v>
      </c>
      <c r="C813" t="str">
        <f>_xlfn.XLOOKUP(B813,'Centro de Custo'!A$2:A$45,'Centro de Custo'!B$2:B$45)</f>
        <v>Bett</v>
      </c>
      <c r="E813" s="39">
        <v>-4050.5</v>
      </c>
      <c r="F813" s="40" t="s">
        <v>10</v>
      </c>
      <c r="G813" s="41">
        <v>45771</v>
      </c>
      <c r="H813" s="42">
        <f>YEAR(Tabela3[[#This Row],[Data]])</f>
        <v>2025</v>
      </c>
      <c r="I813" s="42" t="str">
        <f>_xlfn.XLOOKUP(J813,'Centro de Custo'!J$2:J$13,'Centro de Custo'!K$2:K$13)</f>
        <v>Abril</v>
      </c>
      <c r="J813" s="43">
        <f>MONTH(Tabela3[[#This Row],[Data]])</f>
        <v>4</v>
      </c>
      <c r="K813" s="39">
        <f>SUM(E$3:Tabela3[[#This Row],[Valor]])</f>
        <v>112443.98000000068</v>
      </c>
      <c r="L813" s="40">
        <f t="shared" si="12"/>
        <v>2.22375</v>
      </c>
      <c r="M813" s="40"/>
      <c r="N813" s="40"/>
      <c r="O813" s="40"/>
      <c r="P813" s="39"/>
      <c r="Q813" s="39"/>
      <c r="R813" s="39"/>
      <c r="S813" s="39"/>
      <c r="T813" s="39"/>
    </row>
    <row r="814" spans="1:20" x14ac:dyDescent="0.25">
      <c r="A814" t="s">
        <v>45</v>
      </c>
      <c r="B814" s="37">
        <v>20</v>
      </c>
      <c r="C814" t="str">
        <f>_xlfn.XLOOKUP(B814,'Centro de Custo'!A$2:A$45,'Centro de Custo'!B$2:B$45)</f>
        <v>Desp. ADM</v>
      </c>
      <c r="E814" s="39">
        <v>-25.85</v>
      </c>
      <c r="F814" s="40" t="s">
        <v>10</v>
      </c>
      <c r="G814" s="41">
        <v>45772</v>
      </c>
      <c r="H814" s="42">
        <f>YEAR(Tabela3[[#This Row],[Data]])</f>
        <v>2025</v>
      </c>
      <c r="I814" s="42" t="str">
        <f>_xlfn.XLOOKUP(J814,'Centro de Custo'!J$2:J$13,'Centro de Custo'!K$2:K$13)</f>
        <v>Abril</v>
      </c>
      <c r="J814" s="43">
        <f>MONTH(Tabela3[[#This Row],[Data]])</f>
        <v>4</v>
      </c>
      <c r="K814" s="39">
        <f>SUM(E$3:Tabela3[[#This Row],[Valor]])</f>
        <v>112418.13000000067</v>
      </c>
      <c r="L814" s="40">
        <f t="shared" si="12"/>
        <v>2.22375</v>
      </c>
      <c r="M814" s="40"/>
      <c r="N814" s="40"/>
      <c r="O814" s="40"/>
      <c r="P814" s="39"/>
      <c r="Q814" s="39"/>
      <c r="R814" s="39"/>
      <c r="S814" s="39"/>
      <c r="T814" s="39"/>
    </row>
    <row r="815" spans="1:20" x14ac:dyDescent="0.25">
      <c r="A815" t="s">
        <v>445</v>
      </c>
      <c r="B815" s="37">
        <v>11</v>
      </c>
      <c r="C815" t="str">
        <f>_xlfn.XLOOKUP(B815,'Centro de Custo'!A$2:A$45,'Centro de Custo'!B$2:B$45)</f>
        <v>Distribuição de Lucro</v>
      </c>
      <c r="E815" s="39">
        <v>-2000</v>
      </c>
      <c r="F815" s="40" t="s">
        <v>10</v>
      </c>
      <c r="G815" s="41">
        <v>45772</v>
      </c>
      <c r="H815" s="42">
        <f>YEAR(Tabela3[[#This Row],[Data]])</f>
        <v>2025</v>
      </c>
      <c r="I815" s="42" t="str">
        <f>_xlfn.XLOOKUP(J815,'Centro de Custo'!J$2:J$13,'Centro de Custo'!K$2:K$13)</f>
        <v>Abril</v>
      </c>
      <c r="J815" s="43">
        <f>MONTH(Tabela3[[#This Row],[Data]])</f>
        <v>4</v>
      </c>
      <c r="K815" s="39">
        <f>SUM(E$3:Tabela3[[#This Row],[Valor]])</f>
        <v>110418.13000000067</v>
      </c>
      <c r="L815" s="40">
        <f t="shared" si="12"/>
        <v>2.22375</v>
      </c>
      <c r="M815" s="40"/>
      <c r="N815" s="40"/>
      <c r="O815" s="40"/>
      <c r="P815" s="39"/>
      <c r="Q815" s="39"/>
      <c r="R815" s="39"/>
      <c r="S815" s="39"/>
      <c r="T815" s="39"/>
    </row>
    <row r="816" spans="1:20" x14ac:dyDescent="0.25">
      <c r="A816" t="s">
        <v>446</v>
      </c>
      <c r="B816" s="37">
        <v>11</v>
      </c>
      <c r="C816" t="str">
        <f>_xlfn.XLOOKUP(B816,'Centro de Custo'!A$2:A$45,'Centro de Custo'!B$2:B$45)</f>
        <v>Distribuição de Lucro</v>
      </c>
      <c r="E816" s="39">
        <v>-80000</v>
      </c>
      <c r="F816" s="40" t="s">
        <v>10</v>
      </c>
      <c r="G816" s="41">
        <v>45772</v>
      </c>
      <c r="H816" s="42">
        <f>YEAR(Tabela3[[#This Row],[Data]])</f>
        <v>2025</v>
      </c>
      <c r="I816" s="42" t="str">
        <f>_xlfn.XLOOKUP(J816,'Centro de Custo'!J$2:J$13,'Centro de Custo'!K$2:K$13)</f>
        <v>Abril</v>
      </c>
      <c r="J816" s="43">
        <f>MONTH(Tabela3[[#This Row],[Data]])</f>
        <v>4</v>
      </c>
      <c r="K816" s="39">
        <f>SUM(E$3:Tabela3[[#This Row],[Valor]])</f>
        <v>30418.130000000674</v>
      </c>
      <c r="L816" s="40">
        <f t="shared" si="12"/>
        <v>2.22375</v>
      </c>
      <c r="M816" s="40"/>
      <c r="N816" s="40"/>
      <c r="O816" s="40"/>
      <c r="P816" s="39"/>
      <c r="Q816" s="39"/>
      <c r="R816" s="39"/>
      <c r="S816" s="39"/>
      <c r="T816" s="39"/>
    </row>
    <row r="817" spans="1:20" x14ac:dyDescent="0.25">
      <c r="A817" t="s">
        <v>447</v>
      </c>
      <c r="B817" s="37">
        <v>30</v>
      </c>
      <c r="C817" t="str">
        <f>_xlfn.XLOOKUP(B817,'Centro de Custo'!A$2:A$45,'Centro de Custo'!B$2:B$45)</f>
        <v>Impostos</v>
      </c>
      <c r="E817" s="39">
        <v>-21600</v>
      </c>
      <c r="F817" s="40" t="s">
        <v>10</v>
      </c>
      <c r="G817" s="41">
        <v>45776</v>
      </c>
      <c r="H817" s="42">
        <f>YEAR(Tabela3[[#This Row],[Data]])</f>
        <v>2025</v>
      </c>
      <c r="I817" s="42" t="str">
        <f>_xlfn.XLOOKUP(J817,'Centro de Custo'!J$2:J$13,'Centro de Custo'!K$2:K$13)</f>
        <v>Abril</v>
      </c>
      <c r="J817" s="43">
        <f>MONTH(Tabela3[[#This Row],[Data]])</f>
        <v>4</v>
      </c>
      <c r="K817" s="39">
        <f>SUM(E$3:Tabela3[[#This Row],[Valor]])</f>
        <v>8818.130000000674</v>
      </c>
      <c r="L817" s="40">
        <f t="shared" si="12"/>
        <v>2.22375</v>
      </c>
      <c r="M817" s="40"/>
      <c r="N817" s="40"/>
      <c r="O817" s="40"/>
      <c r="P817" s="39"/>
      <c r="Q817" s="39"/>
      <c r="R817" s="39"/>
      <c r="S817" s="39"/>
      <c r="T817" s="39"/>
    </row>
    <row r="818" spans="1:20" x14ac:dyDescent="0.25">
      <c r="A818" t="s">
        <v>448</v>
      </c>
      <c r="B818" s="37">
        <v>20</v>
      </c>
      <c r="C818" t="str">
        <f>_xlfn.XLOOKUP(B818,'Centro de Custo'!A$2:A$45,'Centro de Custo'!B$2:B$45)</f>
        <v>Desp. ADM</v>
      </c>
      <c r="E818" s="39">
        <v>-1600</v>
      </c>
      <c r="F818" s="40" t="s">
        <v>10</v>
      </c>
      <c r="G818" s="41">
        <v>45779</v>
      </c>
      <c r="H818" s="42">
        <f>YEAR(Tabela3[[#This Row],[Data]])</f>
        <v>2025</v>
      </c>
      <c r="I818" s="42" t="str">
        <f>_xlfn.XLOOKUP(J818,'Centro de Custo'!J$2:J$13,'Centro de Custo'!K$2:K$13)</f>
        <v>Maio</v>
      </c>
      <c r="J818" s="43">
        <f>MONTH(Tabela3[[#This Row],[Data]])</f>
        <v>5</v>
      </c>
      <c r="K818" s="39">
        <f>SUM(E$3:Tabela3[[#This Row],[Valor]])</f>
        <v>7218.130000000674</v>
      </c>
      <c r="L818" s="40">
        <f t="shared" si="12"/>
        <v>2.22375</v>
      </c>
      <c r="M818" s="40"/>
      <c r="N818" s="40"/>
      <c r="O818" s="40"/>
      <c r="P818" s="39"/>
      <c r="Q818" s="39"/>
      <c r="R818" s="39"/>
      <c r="S818" s="39"/>
      <c r="T818" s="39"/>
    </row>
    <row r="819" spans="1:20" x14ac:dyDescent="0.25">
      <c r="A819" t="s">
        <v>449</v>
      </c>
      <c r="B819" s="37">
        <v>15</v>
      </c>
      <c r="C819" t="str">
        <f>_xlfn.XLOOKUP(B819,'Centro de Custo'!A$2:A$45,'Centro de Custo'!B$2:B$45)</f>
        <v>Viagens</v>
      </c>
      <c r="E819" s="39">
        <v>-450</v>
      </c>
      <c r="F819" s="40" t="s">
        <v>10</v>
      </c>
      <c r="G819" s="41">
        <v>45783</v>
      </c>
      <c r="H819" s="42">
        <f>YEAR(Tabela3[[#This Row],[Data]])</f>
        <v>2025</v>
      </c>
      <c r="I819" s="42" t="str">
        <f>_xlfn.XLOOKUP(J819,'Centro de Custo'!J$2:J$13,'Centro de Custo'!K$2:K$13)</f>
        <v>Maio</v>
      </c>
      <c r="J819" s="43">
        <f>MONTH(Tabela3[[#This Row],[Data]])</f>
        <v>5</v>
      </c>
      <c r="K819" s="39">
        <f>SUM(E$3:Tabela3[[#This Row],[Valor]])</f>
        <v>6768.130000000674</v>
      </c>
      <c r="L819" s="40">
        <f t="shared" si="12"/>
        <v>2.22375</v>
      </c>
      <c r="M819" s="40"/>
      <c r="N819" s="40"/>
      <c r="O819" s="40"/>
      <c r="P819" s="39"/>
      <c r="Q819" s="39"/>
      <c r="R819" s="39"/>
      <c r="S819" s="39"/>
      <c r="T819" s="39"/>
    </row>
    <row r="820" spans="1:20" x14ac:dyDescent="0.25">
      <c r="A820" t="s">
        <v>365</v>
      </c>
      <c r="B820" s="37">
        <v>10</v>
      </c>
      <c r="C820" t="str">
        <f>_xlfn.XLOOKUP(B820,'Centro de Custo'!A$2:A$45,'Centro de Custo'!B$2:B$45)</f>
        <v>Retirada Mensal</v>
      </c>
      <c r="E820" s="39">
        <v>-67.36</v>
      </c>
      <c r="F820" s="40" t="s">
        <v>10</v>
      </c>
      <c r="G820" s="41">
        <v>45784</v>
      </c>
      <c r="H820" s="42">
        <f>YEAR(Tabela3[[#This Row],[Data]])</f>
        <v>2025</v>
      </c>
      <c r="I820" s="42" t="str">
        <f>_xlfn.XLOOKUP(J820,'Centro de Custo'!J$2:J$13,'Centro de Custo'!K$2:K$13)</f>
        <v>Maio</v>
      </c>
      <c r="J820" s="43">
        <f>MONTH(Tabela3[[#This Row],[Data]])</f>
        <v>5</v>
      </c>
      <c r="K820" s="39">
        <f>SUM(E$3:Tabela3[[#This Row],[Valor]])</f>
        <v>6700.770000000674</v>
      </c>
      <c r="L820" s="40">
        <f t="shared" si="12"/>
        <v>2.22375</v>
      </c>
      <c r="M820" s="40"/>
      <c r="N820" s="40"/>
      <c r="O820" s="40"/>
      <c r="P820" s="39"/>
      <c r="Q820" s="39"/>
      <c r="R820" s="39"/>
      <c r="S820" s="39"/>
      <c r="T820" s="39"/>
    </row>
    <row r="821" spans="1:20" x14ac:dyDescent="0.25">
      <c r="A821" s="50" t="s">
        <v>178</v>
      </c>
      <c r="B821" s="51">
        <v>20</v>
      </c>
      <c r="C821" s="50" t="s">
        <v>20</v>
      </c>
      <c r="D821" s="50"/>
      <c r="E821" s="52">
        <v>-169.9</v>
      </c>
      <c r="F821" s="53" t="s">
        <v>10</v>
      </c>
      <c r="G821" s="54">
        <v>45784</v>
      </c>
      <c r="H821" s="42">
        <f>YEAR(Tabela3[[#This Row],[Data]])</f>
        <v>2025</v>
      </c>
      <c r="I821" s="42" t="str">
        <f>_xlfn.XLOOKUP(J821,'Centro de Custo'!J$2:J$13,'Centro de Custo'!K$2:K$13)</f>
        <v>Maio</v>
      </c>
      <c r="J821" s="43">
        <f>MONTH(Tabela3[[#This Row],[Data]])</f>
        <v>5</v>
      </c>
      <c r="K821" s="39">
        <f>SUM(E$3:Tabela3[[#This Row],[Valor]])</f>
        <v>6530.870000000675</v>
      </c>
      <c r="L821" s="40">
        <f t="shared" si="12"/>
        <v>2.22375</v>
      </c>
      <c r="M821" s="40"/>
      <c r="N821" s="40"/>
      <c r="O821" s="40"/>
      <c r="P821" s="39"/>
      <c r="Q821" s="39"/>
      <c r="R821" s="39"/>
      <c r="S821" s="39"/>
      <c r="T821" s="39"/>
    </row>
    <row r="822" spans="1:20" x14ac:dyDescent="0.25">
      <c r="A822" t="s">
        <v>365</v>
      </c>
      <c r="B822" s="37">
        <v>10</v>
      </c>
      <c r="C822" t="str">
        <f>_xlfn.XLOOKUP(B822,'Centro de Custo'!A$2:A$45,'Centro de Custo'!B$2:B$45)</f>
        <v>Retirada Mensal</v>
      </c>
      <c r="E822" s="39">
        <v>-1720.09</v>
      </c>
      <c r="F822" s="40" t="s">
        <v>10</v>
      </c>
      <c r="G822" s="41">
        <v>45784</v>
      </c>
      <c r="H822" s="42">
        <f>YEAR(Tabela3[[#This Row],[Data]])</f>
        <v>2025</v>
      </c>
      <c r="I822" s="42" t="str">
        <f>_xlfn.XLOOKUP(J822,'Centro de Custo'!J$2:J$13,'Centro de Custo'!K$2:K$13)</f>
        <v>Maio</v>
      </c>
      <c r="J822" s="43">
        <f>MONTH(Tabela3[[#This Row],[Data]])</f>
        <v>5</v>
      </c>
      <c r="K822" s="39">
        <f>SUM(E$3:Tabela3[[#This Row],[Valor]])</f>
        <v>4810.780000000675</v>
      </c>
      <c r="L822" s="40">
        <f t="shared" si="12"/>
        <v>2.22375</v>
      </c>
      <c r="M822" s="40"/>
      <c r="N822" s="40"/>
      <c r="O822" s="40"/>
      <c r="P822" s="39"/>
      <c r="Q822" s="39"/>
      <c r="R822" s="39"/>
      <c r="S822" s="39"/>
      <c r="T822" s="39"/>
    </row>
    <row r="823" spans="1:20" x14ac:dyDescent="0.25">
      <c r="A823" t="s">
        <v>430</v>
      </c>
      <c r="B823" s="37">
        <v>41</v>
      </c>
      <c r="C823" t="str">
        <f>_xlfn.XLOOKUP(B823,'Centro de Custo'!A$2:A$45,'Centro de Custo'!B$2:B$45)</f>
        <v>Resgate Financeiro</v>
      </c>
      <c r="E823" s="39">
        <v>250000</v>
      </c>
      <c r="F823" s="40" t="s">
        <v>10</v>
      </c>
      <c r="G823" s="41">
        <v>45786</v>
      </c>
      <c r="H823" s="42">
        <f>YEAR(Tabela3[[#This Row],[Data]])</f>
        <v>2025</v>
      </c>
      <c r="I823" s="42" t="str">
        <f>_xlfn.XLOOKUP(J823,'Centro de Custo'!J$2:J$13,'Centro de Custo'!K$2:K$13)</f>
        <v>Maio</v>
      </c>
      <c r="J823" s="43">
        <f>MONTH(Tabela3[[#This Row],[Data]])</f>
        <v>5</v>
      </c>
      <c r="K823" s="39">
        <f>SUM(E$3:Tabela3[[#This Row],[Valor]])</f>
        <v>254810.78000000067</v>
      </c>
      <c r="L823" s="40">
        <f t="shared" si="12"/>
        <v>2.22375</v>
      </c>
      <c r="M823" s="40"/>
      <c r="N823" s="40"/>
      <c r="O823" s="40"/>
      <c r="P823" s="39"/>
      <c r="Q823" s="39"/>
      <c r="R823" s="39"/>
      <c r="S823" s="39"/>
      <c r="T823" s="39"/>
    </row>
    <row r="824" spans="1:20" x14ac:dyDescent="0.25">
      <c r="A824" t="s">
        <v>450</v>
      </c>
      <c r="B824" s="37">
        <v>17</v>
      </c>
      <c r="C824" t="str">
        <f>_xlfn.XLOOKUP(B824,'Centro de Custo'!A$2:A$45,'Centro de Custo'!B$2:B$45)</f>
        <v>Outros (Socios)</v>
      </c>
      <c r="E824" s="39">
        <v>-2000</v>
      </c>
      <c r="F824" s="40" t="s">
        <v>10</v>
      </c>
      <c r="G824" s="41">
        <v>45786</v>
      </c>
      <c r="H824" s="42">
        <f>YEAR(Tabela3[[#This Row],[Data]])</f>
        <v>2025</v>
      </c>
      <c r="I824" s="42" t="str">
        <f>_xlfn.XLOOKUP(J824,'Centro de Custo'!J$2:J$13,'Centro de Custo'!K$2:K$13)</f>
        <v>Maio</v>
      </c>
      <c r="J824" s="43">
        <f>MONTH(Tabela3[[#This Row],[Data]])</f>
        <v>5</v>
      </c>
      <c r="K824" s="39">
        <f>SUM(E$3:Tabela3[[#This Row],[Valor]])</f>
        <v>252810.78000000067</v>
      </c>
      <c r="L824" s="40">
        <f t="shared" si="12"/>
        <v>2.22375</v>
      </c>
      <c r="M824" s="40"/>
      <c r="N824" s="40"/>
      <c r="O824" s="40"/>
      <c r="P824" s="39"/>
      <c r="Q824" s="39"/>
      <c r="R824" s="39"/>
      <c r="S824" s="39"/>
      <c r="T824" s="39"/>
    </row>
    <row r="825" spans="1:20" x14ac:dyDescent="0.25">
      <c r="A825" t="s">
        <v>326</v>
      </c>
      <c r="B825" s="37">
        <v>17</v>
      </c>
      <c r="C825" t="str">
        <f>_xlfn.XLOOKUP(B825,'Centro de Custo'!A$2:A$45,'Centro de Custo'!B$2:B$45)</f>
        <v>Outros (Socios)</v>
      </c>
      <c r="E825" s="39">
        <v>-2150</v>
      </c>
      <c r="F825" s="40" t="s">
        <v>10</v>
      </c>
      <c r="G825" s="41">
        <v>45786</v>
      </c>
      <c r="H825" s="42">
        <f>YEAR(Tabela3[[#This Row],[Data]])</f>
        <v>2025</v>
      </c>
      <c r="I825" s="42" t="str">
        <f>_xlfn.XLOOKUP(J825,'Centro de Custo'!J$2:J$13,'Centro de Custo'!K$2:K$13)</f>
        <v>Maio</v>
      </c>
      <c r="J825" s="43">
        <f>MONTH(Tabela3[[#This Row],[Data]])</f>
        <v>5</v>
      </c>
      <c r="K825" s="39">
        <f>SUM(E$3:Tabela3[[#This Row],[Valor]])</f>
        <v>250660.78000000067</v>
      </c>
      <c r="L825" s="40">
        <f t="shared" si="12"/>
        <v>2.22375</v>
      </c>
      <c r="M825" s="40"/>
      <c r="N825" s="40"/>
      <c r="O825" s="40"/>
      <c r="P825" s="39"/>
      <c r="Q825" s="39"/>
      <c r="R825" s="39"/>
      <c r="S825" s="39"/>
      <c r="T825" s="39"/>
    </row>
    <row r="826" spans="1:20" x14ac:dyDescent="0.25">
      <c r="A826" t="s">
        <v>451</v>
      </c>
      <c r="B826" s="37">
        <v>17</v>
      </c>
      <c r="C826" t="str">
        <f>_xlfn.XLOOKUP(B826,'Centro de Custo'!A$2:A$45,'Centro de Custo'!B$2:B$45)</f>
        <v>Outros (Socios)</v>
      </c>
      <c r="E826" s="39">
        <v>-3000</v>
      </c>
      <c r="F826" s="40" t="s">
        <v>10</v>
      </c>
      <c r="G826" s="41">
        <v>45786</v>
      </c>
      <c r="H826" s="42">
        <f>YEAR(Tabela3[[#This Row],[Data]])</f>
        <v>2025</v>
      </c>
      <c r="I826" s="42" t="str">
        <f>_xlfn.XLOOKUP(J826,'Centro de Custo'!J$2:J$13,'Centro de Custo'!K$2:K$13)</f>
        <v>Maio</v>
      </c>
      <c r="J826" s="43">
        <f>MONTH(Tabela3[[#This Row],[Data]])</f>
        <v>5</v>
      </c>
      <c r="K826" s="39">
        <f>SUM(E$3:Tabela3[[#This Row],[Valor]])</f>
        <v>247660.78000000067</v>
      </c>
      <c r="L826" s="40">
        <f t="shared" si="12"/>
        <v>2.22375</v>
      </c>
      <c r="M826" s="40"/>
      <c r="N826" s="40"/>
      <c r="O826" s="40"/>
      <c r="P826" s="39"/>
      <c r="Q826" s="39"/>
      <c r="R826" s="39"/>
      <c r="S826" s="39"/>
      <c r="T826" s="39"/>
    </row>
    <row r="827" spans="1:20" x14ac:dyDescent="0.25">
      <c r="A827" t="s">
        <v>452</v>
      </c>
      <c r="B827" s="37">
        <v>20</v>
      </c>
      <c r="C827" t="str">
        <f>_xlfn.XLOOKUP(B827,'Centro de Custo'!A$2:A$45,'Centro de Custo'!B$2:B$45)</f>
        <v>Desp. ADM</v>
      </c>
      <c r="E827" s="39">
        <v>-4810.78</v>
      </c>
      <c r="F827" s="40" t="s">
        <v>10</v>
      </c>
      <c r="G827" s="41">
        <v>45786</v>
      </c>
      <c r="H827" s="42">
        <f>YEAR(Tabela3[[#This Row],[Data]])</f>
        <v>2025</v>
      </c>
      <c r="I827" s="42" t="str">
        <f>_xlfn.XLOOKUP(J827,'Centro de Custo'!J$2:J$13,'Centro de Custo'!K$2:K$13)</f>
        <v>Maio</v>
      </c>
      <c r="J827" s="43">
        <f>MONTH(Tabela3[[#This Row],[Data]])</f>
        <v>5</v>
      </c>
      <c r="K827" s="39">
        <f>SUM(E$3:Tabela3[[#This Row],[Valor]])</f>
        <v>242850.00000000067</v>
      </c>
      <c r="L827" s="40">
        <f t="shared" si="12"/>
        <v>2.22375</v>
      </c>
      <c r="M827" s="40"/>
      <c r="N827" s="40"/>
      <c r="O827" s="40"/>
      <c r="P827" s="39"/>
      <c r="Q827" s="39"/>
      <c r="R827" s="39"/>
      <c r="S827" s="39"/>
      <c r="T827" s="39"/>
    </row>
    <row r="828" spans="1:20" x14ac:dyDescent="0.25">
      <c r="A828" t="s">
        <v>453</v>
      </c>
      <c r="B828" s="37">
        <v>17</v>
      </c>
      <c r="C828" t="str">
        <f>_xlfn.XLOOKUP(B828,'Centro de Custo'!A$2:A$45,'Centro de Custo'!B$2:B$45)</f>
        <v>Outros (Socios)</v>
      </c>
      <c r="E828" s="39">
        <v>-5000</v>
      </c>
      <c r="F828" s="40" t="s">
        <v>10</v>
      </c>
      <c r="G828" s="41">
        <v>45786</v>
      </c>
      <c r="H828" s="42">
        <f>YEAR(Tabela3[[#This Row],[Data]])</f>
        <v>2025</v>
      </c>
      <c r="I828" s="42" t="str">
        <f>_xlfn.XLOOKUP(J828,'Centro de Custo'!J$2:J$13,'Centro de Custo'!K$2:K$13)</f>
        <v>Maio</v>
      </c>
      <c r="J828" s="43">
        <f>MONTH(Tabela3[[#This Row],[Data]])</f>
        <v>5</v>
      </c>
      <c r="K828" s="39">
        <f>SUM(E$3:Tabela3[[#This Row],[Valor]])</f>
        <v>237850.00000000067</v>
      </c>
      <c r="L828" s="40">
        <f t="shared" si="12"/>
        <v>2.22375</v>
      </c>
      <c r="M828" s="40"/>
      <c r="N828" s="40"/>
      <c r="O828" s="40"/>
      <c r="P828" s="39"/>
      <c r="Q828" s="39"/>
      <c r="R828" s="39"/>
      <c r="S828" s="39"/>
      <c r="T828" s="39"/>
    </row>
    <row r="829" spans="1:20" x14ac:dyDescent="0.25">
      <c r="A829" t="s">
        <v>370</v>
      </c>
      <c r="B829" s="37">
        <v>10</v>
      </c>
      <c r="C829" t="str">
        <f>_xlfn.XLOOKUP(B829,'Centro de Custo'!A$2:A$45,'Centro de Custo'!B$2:B$45)</f>
        <v>Retirada Mensal</v>
      </c>
      <c r="E829" s="39">
        <v>-7850</v>
      </c>
      <c r="F829" s="40" t="s">
        <v>10</v>
      </c>
      <c r="G829" s="41">
        <v>45786</v>
      </c>
      <c r="H829" s="42">
        <f>YEAR(Tabela3[[#This Row],[Data]])</f>
        <v>2025</v>
      </c>
      <c r="I829" s="42" t="str">
        <f>_xlfn.XLOOKUP(J829,'Centro de Custo'!J$2:J$13,'Centro de Custo'!K$2:K$13)</f>
        <v>Maio</v>
      </c>
      <c r="J829" s="43">
        <f>MONTH(Tabela3[[#This Row],[Data]])</f>
        <v>5</v>
      </c>
      <c r="K829" s="39">
        <f>SUM(E$3:Tabela3[[#This Row],[Valor]])</f>
        <v>230000.00000000067</v>
      </c>
      <c r="L829" s="40">
        <f t="shared" si="12"/>
        <v>2.22375</v>
      </c>
      <c r="M829" s="40"/>
      <c r="N829" s="40"/>
      <c r="O829" s="40"/>
      <c r="P829" s="39"/>
      <c r="Q829" s="39"/>
      <c r="R829" s="39"/>
      <c r="S829" s="39"/>
      <c r="T829" s="39"/>
    </row>
    <row r="830" spans="1:20" x14ac:dyDescent="0.25">
      <c r="A830" t="s">
        <v>110</v>
      </c>
      <c r="B830" s="37">
        <v>10</v>
      </c>
      <c r="C830" t="str">
        <f>_xlfn.XLOOKUP(B830,'Centro de Custo'!A$2:A$45,'Centro de Custo'!B$2:B$45)</f>
        <v>Retirada Mensal</v>
      </c>
      <c r="E830" s="39">
        <v>-10000</v>
      </c>
      <c r="F830" s="40" t="s">
        <v>10</v>
      </c>
      <c r="G830" s="41">
        <v>45786</v>
      </c>
      <c r="H830" s="42">
        <f>YEAR(Tabela3[[#This Row],[Data]])</f>
        <v>2025</v>
      </c>
      <c r="I830" s="42" t="str">
        <f>_xlfn.XLOOKUP(J830,'Centro de Custo'!J$2:J$13,'Centro de Custo'!K$2:K$13)</f>
        <v>Maio</v>
      </c>
      <c r="J830" s="43">
        <f>MONTH(Tabela3[[#This Row],[Data]])</f>
        <v>5</v>
      </c>
      <c r="K830" s="39">
        <f>SUM(E$3:Tabela3[[#This Row],[Valor]])</f>
        <v>220000.00000000067</v>
      </c>
      <c r="L830" s="40">
        <f t="shared" si="12"/>
        <v>2.22375</v>
      </c>
      <c r="M830" s="40"/>
      <c r="N830" s="40"/>
      <c r="O830" s="40"/>
      <c r="P830" s="39"/>
      <c r="Q830" s="39"/>
      <c r="R830" s="39"/>
      <c r="S830" s="39"/>
      <c r="T830" s="39"/>
    </row>
    <row r="831" spans="1:20" x14ac:dyDescent="0.25">
      <c r="A831" t="s">
        <v>170</v>
      </c>
      <c r="B831" s="37">
        <v>10</v>
      </c>
      <c r="C831" t="str">
        <f>_xlfn.XLOOKUP(B831,'Centro de Custo'!A$2:A$45,'Centro de Custo'!B$2:B$45)</f>
        <v>Retirada Mensal</v>
      </c>
      <c r="E831" s="39">
        <v>-10000</v>
      </c>
      <c r="F831" s="40" t="s">
        <v>10</v>
      </c>
      <c r="G831" s="41">
        <v>45786</v>
      </c>
      <c r="H831" s="42">
        <f>YEAR(Tabela3[[#This Row],[Data]])</f>
        <v>2025</v>
      </c>
      <c r="I831" s="42" t="str">
        <f>_xlfn.XLOOKUP(J831,'Centro de Custo'!J$2:J$13,'Centro de Custo'!K$2:K$13)</f>
        <v>Maio</v>
      </c>
      <c r="J831" s="43">
        <f>MONTH(Tabela3[[#This Row],[Data]])</f>
        <v>5</v>
      </c>
      <c r="K831" s="39">
        <f>SUM(E$3:Tabela3[[#This Row],[Valor]])</f>
        <v>210000.00000000067</v>
      </c>
      <c r="L831" s="40">
        <f t="shared" si="12"/>
        <v>2.22375</v>
      </c>
      <c r="M831" s="40"/>
      <c r="N831" s="40"/>
      <c r="O831" s="40"/>
      <c r="P831" s="39"/>
      <c r="Q831" s="39"/>
      <c r="R831" s="39"/>
      <c r="S831" s="39"/>
      <c r="T831" s="39"/>
    </row>
    <row r="832" spans="1:20" x14ac:dyDescent="0.25">
      <c r="A832" t="s">
        <v>58</v>
      </c>
      <c r="B832" s="37">
        <v>10</v>
      </c>
      <c r="C832" t="str">
        <f>_xlfn.XLOOKUP(B832,'Centro de Custo'!A$2:A$45,'Centro de Custo'!B$2:B$45)</f>
        <v>Retirada Mensal</v>
      </c>
      <c r="E832" s="39">
        <v>-10000</v>
      </c>
      <c r="F832" s="40" t="s">
        <v>10</v>
      </c>
      <c r="G832" s="41">
        <v>45786</v>
      </c>
      <c r="H832" s="42">
        <f>YEAR(Tabela3[[#This Row],[Data]])</f>
        <v>2025</v>
      </c>
      <c r="I832" s="42" t="str">
        <f>_xlfn.XLOOKUP(J832,'Centro de Custo'!J$2:J$13,'Centro de Custo'!K$2:K$13)</f>
        <v>Maio</v>
      </c>
      <c r="J832" s="43">
        <f>MONTH(Tabela3[[#This Row],[Data]])</f>
        <v>5</v>
      </c>
      <c r="K832" s="39">
        <f>SUM(E$3:Tabela3[[#This Row],[Valor]])</f>
        <v>200000.00000000067</v>
      </c>
      <c r="L832" s="40">
        <f t="shared" si="12"/>
        <v>2.22375</v>
      </c>
      <c r="M832" s="40"/>
      <c r="N832" s="40"/>
      <c r="O832" s="40"/>
      <c r="P832" s="39"/>
      <c r="Q832" s="39"/>
      <c r="R832" s="39"/>
      <c r="S832" s="39"/>
      <c r="T832" s="39"/>
    </row>
    <row r="833" spans="1:20" x14ac:dyDescent="0.25">
      <c r="A833" t="s">
        <v>401</v>
      </c>
      <c r="B833" s="37">
        <v>10</v>
      </c>
      <c r="C833" t="str">
        <f>_xlfn.XLOOKUP(B833,'Centro de Custo'!A$2:A$45,'Centro de Custo'!B$2:B$45)</f>
        <v>Retirada Mensal</v>
      </c>
      <c r="E833" s="39">
        <v>-10000</v>
      </c>
      <c r="F833" s="40" t="s">
        <v>10</v>
      </c>
      <c r="G833" s="41">
        <v>45786</v>
      </c>
      <c r="H833" s="42">
        <f>YEAR(Tabela3[[#This Row],[Data]])</f>
        <v>2025</v>
      </c>
      <c r="I833" s="42" t="str">
        <f>_xlfn.XLOOKUP(J833,'Centro de Custo'!J$2:J$13,'Centro de Custo'!K$2:K$13)</f>
        <v>Maio</v>
      </c>
      <c r="J833" s="43">
        <f>MONTH(Tabela3[[#This Row],[Data]])</f>
        <v>5</v>
      </c>
      <c r="K833" s="39">
        <f>SUM(E$3:Tabela3[[#This Row],[Valor]])</f>
        <v>190000.00000000067</v>
      </c>
      <c r="L833" s="40">
        <f t="shared" si="12"/>
        <v>2.22375</v>
      </c>
      <c r="M833" s="40"/>
      <c r="N833" s="40"/>
      <c r="O833" s="40"/>
      <c r="P833" s="39"/>
      <c r="Q833" s="39"/>
      <c r="R833" s="39"/>
      <c r="S833" s="39"/>
      <c r="T833" s="39"/>
    </row>
    <row r="834" spans="1:20" x14ac:dyDescent="0.25">
      <c r="A834" t="s">
        <v>56</v>
      </c>
      <c r="B834" s="37">
        <v>10</v>
      </c>
      <c r="C834" t="str">
        <f>_xlfn.XLOOKUP(B834,'Centro de Custo'!A$2:A$45,'Centro de Custo'!B$2:B$45)</f>
        <v>Retirada Mensal</v>
      </c>
      <c r="E834" s="39">
        <v>-10000</v>
      </c>
      <c r="F834" s="40" t="s">
        <v>10</v>
      </c>
      <c r="G834" s="41">
        <v>45786</v>
      </c>
      <c r="H834" s="42">
        <f>YEAR(Tabela3[[#This Row],[Data]])</f>
        <v>2025</v>
      </c>
      <c r="I834" s="42" t="str">
        <f>_xlfn.XLOOKUP(J834,'Centro de Custo'!J$2:J$13,'Centro de Custo'!K$2:K$13)</f>
        <v>Maio</v>
      </c>
      <c r="J834" s="43">
        <f>MONTH(Tabela3[[#This Row],[Data]])</f>
        <v>5</v>
      </c>
      <c r="K834" s="39">
        <f>SUM(E$3:Tabela3[[#This Row],[Valor]])</f>
        <v>180000.00000000067</v>
      </c>
      <c r="L834" s="40">
        <f t="shared" si="12"/>
        <v>2.22375</v>
      </c>
      <c r="M834" s="40"/>
      <c r="N834" s="40"/>
      <c r="O834" s="40"/>
      <c r="P834" s="39"/>
      <c r="Q834" s="39"/>
      <c r="R834" s="39"/>
      <c r="S834" s="39"/>
      <c r="T834" s="39"/>
    </row>
    <row r="835" spans="1:20" x14ac:dyDescent="0.25">
      <c r="A835" t="s">
        <v>454</v>
      </c>
      <c r="B835" s="37">
        <v>22</v>
      </c>
      <c r="C835" t="str">
        <f>_xlfn.XLOOKUP(B835,'Centro de Custo'!A$2:A$45,'Centro de Custo'!B$2:B$45)</f>
        <v>Doação</v>
      </c>
      <c r="E835" s="39">
        <v>-15000</v>
      </c>
      <c r="F835" s="40" t="s">
        <v>10</v>
      </c>
      <c r="G835" s="41">
        <v>45786</v>
      </c>
      <c r="H835" s="42">
        <f>YEAR(Tabela3[[#This Row],[Data]])</f>
        <v>2025</v>
      </c>
      <c r="I835" s="42" t="str">
        <f>_xlfn.XLOOKUP(J835,'Centro de Custo'!J$2:J$13,'Centro de Custo'!K$2:K$13)</f>
        <v>Maio</v>
      </c>
      <c r="J835" s="43">
        <f>MONTH(Tabela3[[#This Row],[Data]])</f>
        <v>5</v>
      </c>
      <c r="K835" s="39">
        <f>SUM(E$3:Tabela3[[#This Row],[Valor]])</f>
        <v>165000.00000000067</v>
      </c>
      <c r="L835" s="40">
        <f t="shared" ref="L835:L898" si="13">17.79/8</f>
        <v>2.22375</v>
      </c>
      <c r="M835" s="40"/>
      <c r="N835" s="40"/>
      <c r="O835" s="40"/>
      <c r="P835" s="39"/>
      <c r="Q835" s="39"/>
      <c r="R835" s="39"/>
      <c r="S835" s="39"/>
      <c r="T835" s="39"/>
    </row>
    <row r="836" spans="1:20" x14ac:dyDescent="0.25">
      <c r="A836" s="46" t="s">
        <v>455</v>
      </c>
      <c r="B836" s="37">
        <v>30</v>
      </c>
      <c r="C836" t="str">
        <f>_xlfn.XLOOKUP(B836,'Centro de Custo'!A$2:A$45,'Centro de Custo'!B$2:B$45)</f>
        <v>Impostos</v>
      </c>
      <c r="E836" s="39">
        <v>-17691.08</v>
      </c>
      <c r="F836" s="40" t="s">
        <v>10</v>
      </c>
      <c r="G836" s="41">
        <v>45786</v>
      </c>
      <c r="H836" s="42">
        <f>YEAR(Tabela3[[#This Row],[Data]])</f>
        <v>2025</v>
      </c>
      <c r="I836" s="42" t="str">
        <f>_xlfn.XLOOKUP(J836,'Centro de Custo'!J$2:J$13,'Centro de Custo'!K$2:K$13)</f>
        <v>Maio</v>
      </c>
      <c r="J836" s="43">
        <f>MONTH(Tabela3[[#This Row],[Data]])</f>
        <v>5</v>
      </c>
      <c r="K836" s="39">
        <f>SUM(E$3:Tabela3[[#This Row],[Valor]])</f>
        <v>147308.92000000068</v>
      </c>
      <c r="L836" s="40">
        <f t="shared" si="13"/>
        <v>2.22375</v>
      </c>
      <c r="M836" s="40"/>
      <c r="N836" s="40"/>
      <c r="O836" s="40"/>
      <c r="P836" s="39"/>
      <c r="Q836" s="39"/>
      <c r="R836" s="39"/>
      <c r="S836" s="39"/>
      <c r="T836" s="39"/>
    </row>
    <row r="837" spans="1:20" x14ac:dyDescent="0.25">
      <c r="A837" t="s">
        <v>456</v>
      </c>
      <c r="B837" s="37">
        <v>30</v>
      </c>
      <c r="C837" t="str">
        <f>_xlfn.XLOOKUP(B837,'Centro de Custo'!A$2:A$45,'Centro de Custo'!B$2:B$45)</f>
        <v>Impostos</v>
      </c>
      <c r="E837" s="39">
        <v>-87057.6</v>
      </c>
      <c r="F837" s="40" t="s">
        <v>10</v>
      </c>
      <c r="G837" s="41">
        <v>45786</v>
      </c>
      <c r="H837" s="42">
        <f>YEAR(Tabela3[[#This Row],[Data]])</f>
        <v>2025</v>
      </c>
      <c r="I837" s="42" t="str">
        <f>_xlfn.XLOOKUP(J837,'Centro de Custo'!J$2:J$13,'Centro de Custo'!K$2:K$13)</f>
        <v>Maio</v>
      </c>
      <c r="J837" s="43">
        <f>MONTH(Tabela3[[#This Row],[Data]])</f>
        <v>5</v>
      </c>
      <c r="K837" s="39">
        <f>SUM(E$3:Tabela3[[#This Row],[Valor]])</f>
        <v>60251.32000000068</v>
      </c>
      <c r="L837" s="40">
        <f t="shared" si="13"/>
        <v>2.22375</v>
      </c>
      <c r="M837" s="40"/>
      <c r="N837" s="40"/>
      <c r="O837" s="40"/>
      <c r="P837" s="39"/>
      <c r="Q837" s="39"/>
      <c r="R837" s="39"/>
      <c r="S837" s="39"/>
      <c r="T837" s="39"/>
    </row>
    <row r="838" spans="1:20" x14ac:dyDescent="0.25">
      <c r="A838" t="s">
        <v>452</v>
      </c>
      <c r="B838" s="37">
        <v>20</v>
      </c>
      <c r="C838" t="str">
        <f>_xlfn.XLOOKUP(B838,'Centro de Custo'!A$2:A$45,'Centro de Custo'!B$2:B$45)</f>
        <v>Desp. ADM</v>
      </c>
      <c r="E838" s="39">
        <v>-24169.27</v>
      </c>
      <c r="F838" s="40" t="s">
        <v>10</v>
      </c>
      <c r="G838" s="41">
        <v>45789</v>
      </c>
      <c r="H838" s="42">
        <f>YEAR(Tabela3[[#This Row],[Data]])</f>
        <v>2025</v>
      </c>
      <c r="I838" s="42" t="str">
        <f>_xlfn.XLOOKUP(J838,'Centro de Custo'!J$2:J$13,'Centro de Custo'!K$2:K$13)</f>
        <v>Maio</v>
      </c>
      <c r="J838" s="43">
        <f>MONTH(Tabela3[[#This Row],[Data]])</f>
        <v>5</v>
      </c>
      <c r="K838" s="39">
        <f>SUM(E$3:Tabela3[[#This Row],[Valor]])</f>
        <v>36082.05000000067</v>
      </c>
      <c r="L838" s="40">
        <f t="shared" si="13"/>
        <v>2.22375</v>
      </c>
      <c r="M838" s="40"/>
      <c r="N838" s="40"/>
      <c r="O838" s="40"/>
      <c r="P838" s="39"/>
      <c r="Q838" s="39"/>
      <c r="R838" s="39"/>
      <c r="S838" s="39"/>
      <c r="T838" s="39"/>
    </row>
    <row r="839" spans="1:20" x14ac:dyDescent="0.25">
      <c r="A839" t="s">
        <v>383</v>
      </c>
      <c r="B839" s="37">
        <v>12</v>
      </c>
      <c r="C839" t="str">
        <f>_xlfn.XLOOKUP(B839,'Centro de Custo'!A$2:A$45,'Centro de Custo'!B$2:B$45)</f>
        <v>Direitos Autorais Terceiros</v>
      </c>
      <c r="E839" s="39">
        <v>-5000</v>
      </c>
      <c r="F839" s="40" t="s">
        <v>10</v>
      </c>
      <c r="G839" s="41">
        <v>45790</v>
      </c>
      <c r="H839" s="42">
        <f>YEAR(Tabela3[[#This Row],[Data]])</f>
        <v>2025</v>
      </c>
      <c r="I839" s="42" t="str">
        <f>_xlfn.XLOOKUP(J839,'Centro de Custo'!J$2:J$13,'Centro de Custo'!K$2:K$13)</f>
        <v>Maio</v>
      </c>
      <c r="J839" s="43">
        <f>MONTH(Tabela3[[#This Row],[Data]])</f>
        <v>5</v>
      </c>
      <c r="K839" s="39">
        <f>SUM(E$3:Tabela3[[#This Row],[Valor]])</f>
        <v>31082.050000000672</v>
      </c>
      <c r="L839" s="40">
        <f t="shared" si="13"/>
        <v>2.22375</v>
      </c>
      <c r="M839" s="40"/>
      <c r="N839" s="40"/>
      <c r="O839" s="40"/>
      <c r="P839" s="39"/>
      <c r="Q839" s="39"/>
      <c r="R839" s="39"/>
      <c r="S839" s="39"/>
      <c r="T839" s="39"/>
    </row>
    <row r="840" spans="1:20" x14ac:dyDescent="0.25">
      <c r="A840" t="s">
        <v>457</v>
      </c>
      <c r="B840" s="37">
        <v>17</v>
      </c>
      <c r="C840" t="str">
        <f>_xlfn.XLOOKUP(B840,'Centro de Custo'!A$2:A$45,'Centro de Custo'!B$2:B$45)</f>
        <v>Outros (Socios)</v>
      </c>
      <c r="E840" s="39">
        <v>-5000</v>
      </c>
      <c r="F840" s="40" t="s">
        <v>10</v>
      </c>
      <c r="G840" s="41">
        <v>45790</v>
      </c>
      <c r="H840" s="42">
        <f>YEAR(Tabela3[[#This Row],[Data]])</f>
        <v>2025</v>
      </c>
      <c r="I840" s="42" t="str">
        <f>_xlfn.XLOOKUP(J840,'Centro de Custo'!J$2:J$13,'Centro de Custo'!K$2:K$13)</f>
        <v>Maio</v>
      </c>
      <c r="J840" s="43">
        <f>MONTH(Tabela3[[#This Row],[Data]])</f>
        <v>5</v>
      </c>
      <c r="K840" s="39">
        <f>SUM(E$3:Tabela3[[#This Row],[Valor]])</f>
        <v>26082.050000000672</v>
      </c>
      <c r="L840" s="40">
        <f t="shared" si="13"/>
        <v>2.22375</v>
      </c>
      <c r="M840" s="40"/>
      <c r="N840" s="40"/>
      <c r="O840" s="40"/>
      <c r="P840" s="39"/>
      <c r="Q840" s="39"/>
      <c r="R840" s="39"/>
      <c r="S840" s="39"/>
      <c r="T840" s="39"/>
    </row>
    <row r="841" spans="1:20" x14ac:dyDescent="0.25">
      <c r="A841" s="48" t="s">
        <v>458</v>
      </c>
      <c r="B841" s="37">
        <v>50</v>
      </c>
      <c r="C841" t="str">
        <f>_xlfn.XLOOKUP(B841,'Centro de Custo'!A$2:A$45,'Centro de Custo'!B$2:B$45)</f>
        <v>Empréstimos</v>
      </c>
      <c r="E841" s="39">
        <v>-10000</v>
      </c>
      <c r="F841" s="40" t="s">
        <v>10</v>
      </c>
      <c r="G841" s="41">
        <v>45790</v>
      </c>
      <c r="H841" s="42">
        <f>YEAR(Tabela3[[#This Row],[Data]])</f>
        <v>2025</v>
      </c>
      <c r="I841" s="42" t="str">
        <f>_xlfn.XLOOKUP(J841,'Centro de Custo'!J$2:J$13,'Centro de Custo'!K$2:K$13)</f>
        <v>Maio</v>
      </c>
      <c r="J841" s="43">
        <f>MONTH(Tabela3[[#This Row],[Data]])</f>
        <v>5</v>
      </c>
      <c r="K841" s="39">
        <f>SUM(E$3:Tabela3[[#This Row],[Valor]])</f>
        <v>16082.050000000672</v>
      </c>
      <c r="L841" s="40">
        <f t="shared" si="13"/>
        <v>2.22375</v>
      </c>
      <c r="M841" s="40"/>
      <c r="N841" s="40"/>
      <c r="O841" s="40"/>
      <c r="P841" s="39"/>
      <c r="Q841" s="39"/>
      <c r="R841" s="39"/>
      <c r="S841" s="39"/>
      <c r="T841" s="39"/>
    </row>
    <row r="842" spans="1:20" x14ac:dyDescent="0.25">
      <c r="A842" t="s">
        <v>287</v>
      </c>
      <c r="B842" s="37">
        <v>41</v>
      </c>
      <c r="C842" t="str">
        <f>_xlfn.XLOOKUP(B842,'Centro de Custo'!A$2:A$45,'Centro de Custo'!B$2:B$45)</f>
        <v>Resgate Financeiro</v>
      </c>
      <c r="E842" s="39">
        <v>250000</v>
      </c>
      <c r="F842" s="40" t="s">
        <v>10</v>
      </c>
      <c r="G842" s="41">
        <v>45792</v>
      </c>
      <c r="H842" s="42">
        <f>YEAR(Tabela3[[#This Row],[Data]])</f>
        <v>2025</v>
      </c>
      <c r="I842" s="42" t="str">
        <f>_xlfn.XLOOKUP(J842,'Centro de Custo'!J$2:J$13,'Centro de Custo'!K$2:K$13)</f>
        <v>Maio</v>
      </c>
      <c r="J842" s="43">
        <f>MONTH(Tabela3[[#This Row],[Data]])</f>
        <v>5</v>
      </c>
      <c r="K842" s="39">
        <f>SUM(E$3:Tabela3[[#This Row],[Valor]])</f>
        <v>266082.0500000007</v>
      </c>
      <c r="L842" s="40">
        <f t="shared" si="13"/>
        <v>2.22375</v>
      </c>
      <c r="M842" s="40"/>
      <c r="N842" s="40"/>
      <c r="O842" s="40"/>
      <c r="P842" s="39"/>
      <c r="Q842" s="39"/>
      <c r="R842" s="39"/>
      <c r="S842" s="39"/>
      <c r="T842" s="39"/>
    </row>
    <row r="843" spans="1:20" x14ac:dyDescent="0.25">
      <c r="A843" t="s">
        <v>190</v>
      </c>
      <c r="B843" s="37">
        <v>13</v>
      </c>
      <c r="C843" t="str">
        <f>_xlfn.XLOOKUP(B843,'Centro de Custo'!A$2:A$45,'Centro de Custo'!B$2:B$45)</f>
        <v>Terceirizados</v>
      </c>
      <c r="E843" s="39">
        <v>-4500</v>
      </c>
      <c r="F843" s="40" t="s">
        <v>10</v>
      </c>
      <c r="G843" s="41">
        <v>45792</v>
      </c>
      <c r="H843" s="42">
        <f>YEAR(Tabela3[[#This Row],[Data]])</f>
        <v>2025</v>
      </c>
      <c r="I843" s="42" t="str">
        <f>_xlfn.XLOOKUP(J843,'Centro de Custo'!J$2:J$13,'Centro de Custo'!K$2:K$13)</f>
        <v>Maio</v>
      </c>
      <c r="J843" s="43">
        <f>MONTH(Tabela3[[#This Row],[Data]])</f>
        <v>5</v>
      </c>
      <c r="K843" s="39">
        <f>SUM(E$3:Tabela3[[#This Row],[Valor]])</f>
        <v>261582.0500000007</v>
      </c>
      <c r="L843" s="40">
        <f t="shared" si="13"/>
        <v>2.22375</v>
      </c>
      <c r="M843" s="40"/>
      <c r="N843" s="40"/>
      <c r="O843" s="40"/>
      <c r="P843" s="39"/>
      <c r="Q843" s="39"/>
      <c r="R843" s="39"/>
      <c r="S843" s="39"/>
      <c r="T843" s="39"/>
    </row>
    <row r="844" spans="1:20" x14ac:dyDescent="0.25">
      <c r="A844" t="s">
        <v>190</v>
      </c>
      <c r="B844" s="37">
        <v>13</v>
      </c>
      <c r="C844" t="str">
        <f>_xlfn.XLOOKUP(B844,'Centro de Custo'!A$2:A$45,'Centro de Custo'!B$2:B$45)</f>
        <v>Terceirizados</v>
      </c>
      <c r="E844" s="39">
        <v>-4993.92</v>
      </c>
      <c r="F844" s="40" t="s">
        <v>10</v>
      </c>
      <c r="G844" s="41">
        <v>45792</v>
      </c>
      <c r="H844" s="42">
        <f>YEAR(Tabela3[[#This Row],[Data]])</f>
        <v>2025</v>
      </c>
      <c r="I844" s="42" t="str">
        <f>_xlfn.XLOOKUP(J844,'Centro de Custo'!J$2:J$13,'Centro de Custo'!K$2:K$13)</f>
        <v>Maio</v>
      </c>
      <c r="J844" s="43">
        <f>MONTH(Tabela3[[#This Row],[Data]])</f>
        <v>5</v>
      </c>
      <c r="K844" s="39">
        <f>SUM(E$3:Tabela3[[#This Row],[Valor]])</f>
        <v>256588.13000000067</v>
      </c>
      <c r="L844" s="40">
        <f t="shared" si="13"/>
        <v>2.22375</v>
      </c>
      <c r="M844" s="40"/>
      <c r="N844" s="40"/>
      <c r="O844" s="40"/>
      <c r="P844" s="39"/>
      <c r="Q844" s="39"/>
      <c r="R844" s="39"/>
      <c r="S844" s="39"/>
      <c r="T844" s="39"/>
    </row>
    <row r="845" spans="1:20" x14ac:dyDescent="0.25">
      <c r="A845" t="s">
        <v>459</v>
      </c>
      <c r="B845" s="37">
        <v>5</v>
      </c>
      <c r="C845" t="str">
        <f>_xlfn.XLOOKUP(B845,'Centro de Custo'!A$2:A$45,'Centro de Custo'!B$2:B$45)</f>
        <v>Consultoria</v>
      </c>
      <c r="E845" s="39">
        <v>-192000</v>
      </c>
      <c r="F845" s="40" t="s">
        <v>10</v>
      </c>
      <c r="G845" s="41">
        <v>45792</v>
      </c>
      <c r="H845" s="42">
        <f>YEAR(Tabela3[[#This Row],[Data]])</f>
        <v>2025</v>
      </c>
      <c r="I845" s="42" t="str">
        <f>_xlfn.XLOOKUP(J845,'Centro de Custo'!J$2:J$13,'Centro de Custo'!K$2:K$13)</f>
        <v>Maio</v>
      </c>
      <c r="J845" s="43">
        <f>MONTH(Tabela3[[#This Row],[Data]])</f>
        <v>5</v>
      </c>
      <c r="K845" s="39">
        <f>SUM(E$3:Tabela3[[#This Row],[Valor]])</f>
        <v>64588.130000000674</v>
      </c>
      <c r="L845" s="40">
        <f t="shared" si="13"/>
        <v>2.22375</v>
      </c>
      <c r="M845" s="40"/>
      <c r="N845" s="40"/>
      <c r="O845" s="40"/>
      <c r="P845" s="39"/>
      <c r="Q845" s="39"/>
      <c r="R845" s="39"/>
      <c r="S845" s="39"/>
      <c r="T845" s="39"/>
    </row>
    <row r="846" spans="1:20" x14ac:dyDescent="0.25">
      <c r="A846" t="s">
        <v>204</v>
      </c>
      <c r="B846" s="37">
        <v>20</v>
      </c>
      <c r="C846" t="str">
        <f>_xlfn.XLOOKUP(B846,'Centro de Custo'!A$2:A$45,'Centro de Custo'!B$2:B$45)</f>
        <v>Desp. ADM</v>
      </c>
      <c r="E846" s="39">
        <v>-280.04</v>
      </c>
      <c r="F846" s="40" t="s">
        <v>10</v>
      </c>
      <c r="G846" s="41">
        <v>45793</v>
      </c>
      <c r="H846" s="42">
        <f>YEAR(Tabela3[[#This Row],[Data]])</f>
        <v>2025</v>
      </c>
      <c r="I846" s="42" t="str">
        <f>_xlfn.XLOOKUP(J846,'Centro de Custo'!J$2:J$13,'Centro de Custo'!K$2:K$13)</f>
        <v>Maio</v>
      </c>
      <c r="J846" s="43">
        <f>MONTH(Tabela3[[#This Row],[Data]])</f>
        <v>5</v>
      </c>
      <c r="K846" s="39">
        <f>SUM(E$3:Tabela3[[#This Row],[Valor]])</f>
        <v>64308.09000000067</v>
      </c>
      <c r="L846" s="40">
        <f t="shared" si="13"/>
        <v>2.22375</v>
      </c>
      <c r="M846" s="40"/>
      <c r="N846" s="40"/>
      <c r="O846" s="40"/>
      <c r="P846" s="39"/>
      <c r="Q846" s="39"/>
      <c r="R846" s="39"/>
      <c r="S846" s="39"/>
      <c r="T846" s="39"/>
    </row>
    <row r="847" spans="1:20" x14ac:dyDescent="0.25">
      <c r="A847" t="s">
        <v>205</v>
      </c>
      <c r="B847" s="37">
        <v>20</v>
      </c>
      <c r="C847" t="str">
        <f>_xlfn.XLOOKUP(B847,'Centro de Custo'!A$2:A$45,'Centro de Custo'!B$2:B$45)</f>
        <v>Desp. ADM</v>
      </c>
      <c r="E847" s="39">
        <v>-802.04</v>
      </c>
      <c r="F847" s="40" t="s">
        <v>10</v>
      </c>
      <c r="G847" s="41">
        <v>45793</v>
      </c>
      <c r="H847" s="42">
        <f>YEAR(Tabela3[[#This Row],[Data]])</f>
        <v>2025</v>
      </c>
      <c r="I847" s="42" t="str">
        <f>_xlfn.XLOOKUP(J847,'Centro de Custo'!J$2:J$13,'Centro de Custo'!K$2:K$13)</f>
        <v>Maio</v>
      </c>
      <c r="J847" s="43">
        <f>MONTH(Tabela3[[#This Row],[Data]])</f>
        <v>5</v>
      </c>
      <c r="K847" s="39">
        <f>SUM(E$3:Tabela3[[#This Row],[Valor]])</f>
        <v>63506.05000000067</v>
      </c>
      <c r="L847" s="40">
        <f t="shared" si="13"/>
        <v>2.22375</v>
      </c>
      <c r="M847" s="40"/>
      <c r="N847" s="40"/>
      <c r="O847" s="40"/>
      <c r="P847" s="39"/>
      <c r="Q847" s="39"/>
      <c r="R847" s="39"/>
      <c r="S847" s="39"/>
      <c r="T847" s="39"/>
    </row>
    <row r="848" spans="1:20" x14ac:dyDescent="0.25">
      <c r="A848" t="s">
        <v>460</v>
      </c>
      <c r="B848" s="37">
        <v>16</v>
      </c>
      <c r="C848" t="str">
        <f>_xlfn.XLOOKUP(B848,'Centro de Custo'!A$2:A$45,'Centro de Custo'!B$2:B$45)</f>
        <v>Gráfica</v>
      </c>
      <c r="E848" s="39">
        <v>-7720</v>
      </c>
      <c r="F848" s="40" t="s">
        <v>10</v>
      </c>
      <c r="G848" s="41">
        <v>45793</v>
      </c>
      <c r="H848" s="42">
        <f>YEAR(Tabela3[[#This Row],[Data]])</f>
        <v>2025</v>
      </c>
      <c r="I848" s="42" t="str">
        <f>_xlfn.XLOOKUP(J848,'Centro de Custo'!J$2:J$13,'Centro de Custo'!K$2:K$13)</f>
        <v>Maio</v>
      </c>
      <c r="J848" s="43">
        <f>MONTH(Tabela3[[#This Row],[Data]])</f>
        <v>5</v>
      </c>
      <c r="K848" s="39">
        <f>SUM(E$3:Tabela3[[#This Row],[Valor]])</f>
        <v>55786.05000000067</v>
      </c>
      <c r="L848" s="40">
        <f t="shared" si="13"/>
        <v>2.22375</v>
      </c>
      <c r="M848" s="40"/>
      <c r="N848" s="40"/>
      <c r="O848" s="40"/>
      <c r="P848" s="39"/>
      <c r="Q848" s="39"/>
      <c r="R848" s="39"/>
      <c r="S848" s="39"/>
      <c r="T848" s="39"/>
    </row>
    <row r="849" spans="1:20" x14ac:dyDescent="0.25">
      <c r="A849" t="s">
        <v>461</v>
      </c>
      <c r="B849" s="37">
        <v>20</v>
      </c>
      <c r="C849" t="str">
        <f>_xlfn.XLOOKUP(B849,'Centro de Custo'!A$2:A$45,'Centro de Custo'!B$2:B$45)</f>
        <v>Desp. ADM</v>
      </c>
      <c r="E849" s="39">
        <v>-75</v>
      </c>
      <c r="F849" s="40" t="s">
        <v>10</v>
      </c>
      <c r="G849" s="41">
        <v>45796</v>
      </c>
      <c r="H849" s="42">
        <f>YEAR(Tabela3[[#This Row],[Data]])</f>
        <v>2025</v>
      </c>
      <c r="I849" s="42" t="str">
        <f>_xlfn.XLOOKUP(J849,'Centro de Custo'!J$2:J$13,'Centro de Custo'!K$2:K$13)</f>
        <v>Maio</v>
      </c>
      <c r="J849" s="43">
        <f>MONTH(Tabela3[[#This Row],[Data]])</f>
        <v>5</v>
      </c>
      <c r="K849" s="39">
        <f>SUM(E$3:Tabela3[[#This Row],[Valor]])</f>
        <v>55711.05000000067</v>
      </c>
      <c r="L849" s="40">
        <f t="shared" si="13"/>
        <v>2.22375</v>
      </c>
      <c r="M849" s="40"/>
      <c r="N849" s="40"/>
      <c r="O849" s="40"/>
      <c r="P849" s="39"/>
      <c r="Q849" s="39"/>
      <c r="R849" s="39"/>
      <c r="S849" s="39"/>
      <c r="T849" s="39"/>
    </row>
    <row r="850" spans="1:20" x14ac:dyDescent="0.25">
      <c r="A850" t="s">
        <v>244</v>
      </c>
      <c r="B850" s="37">
        <v>13</v>
      </c>
      <c r="C850" t="str">
        <f>_xlfn.XLOOKUP(B850,'Centro de Custo'!A$2:A$45,'Centro de Custo'!B$2:B$45)</f>
        <v>Terceirizados</v>
      </c>
      <c r="E850" s="39">
        <v>-504.9</v>
      </c>
      <c r="F850" s="40" t="s">
        <v>10</v>
      </c>
      <c r="G850" s="41">
        <v>45797</v>
      </c>
      <c r="H850" s="42">
        <f>YEAR(Tabela3[[#This Row],[Data]])</f>
        <v>2025</v>
      </c>
      <c r="I850" s="42" t="str">
        <f>_xlfn.XLOOKUP(J850,'Centro de Custo'!J$2:J$13,'Centro de Custo'!K$2:K$13)</f>
        <v>Maio</v>
      </c>
      <c r="J850" s="43">
        <f>MONTH(Tabela3[[#This Row],[Data]])</f>
        <v>5</v>
      </c>
      <c r="K850" s="39">
        <f>SUM(E$3:Tabela3[[#This Row],[Valor]])</f>
        <v>55206.15000000067</v>
      </c>
      <c r="L850" s="40">
        <f t="shared" si="13"/>
        <v>2.22375</v>
      </c>
      <c r="M850" s="40"/>
      <c r="N850" s="40"/>
      <c r="O850" s="40"/>
      <c r="P850" s="39"/>
      <c r="Q850" s="39"/>
      <c r="R850" s="39"/>
      <c r="S850" s="39"/>
      <c r="T850" s="39"/>
    </row>
    <row r="851" spans="1:20" x14ac:dyDescent="0.25">
      <c r="A851" t="s">
        <v>389</v>
      </c>
      <c r="B851" s="37">
        <v>30</v>
      </c>
      <c r="C851" t="str">
        <f>_xlfn.XLOOKUP(B851,'Centro de Custo'!A$2:A$45,'Centro de Custo'!B$2:B$45)</f>
        <v>Impostos</v>
      </c>
      <c r="E851" s="39">
        <v>-1411.74</v>
      </c>
      <c r="F851" s="40" t="s">
        <v>10</v>
      </c>
      <c r="G851" s="41">
        <v>45797</v>
      </c>
      <c r="H851" s="42">
        <f>YEAR(Tabela3[[#This Row],[Data]])</f>
        <v>2025</v>
      </c>
      <c r="I851" s="42" t="str">
        <f>_xlfn.XLOOKUP(J851,'Centro de Custo'!J$2:J$13,'Centro de Custo'!K$2:K$13)</f>
        <v>Maio</v>
      </c>
      <c r="J851" s="43">
        <f>MONTH(Tabela3[[#This Row],[Data]])</f>
        <v>5</v>
      </c>
      <c r="K851" s="39">
        <f>SUM(E$3:Tabela3[[#This Row],[Valor]])</f>
        <v>53794.41000000067</v>
      </c>
      <c r="L851" s="40">
        <f t="shared" si="13"/>
        <v>2.22375</v>
      </c>
      <c r="M851" s="40"/>
      <c r="N851" s="40"/>
      <c r="O851" s="40"/>
      <c r="P851" s="39"/>
      <c r="Q851" s="39"/>
      <c r="R851" s="39"/>
      <c r="S851" s="39"/>
      <c r="T851" s="39"/>
    </row>
    <row r="852" spans="1:20" x14ac:dyDescent="0.25">
      <c r="A852" t="s">
        <v>462</v>
      </c>
      <c r="B852" s="37">
        <v>50</v>
      </c>
      <c r="C852" t="str">
        <f>_xlfn.XLOOKUP(B852,'Centro de Custo'!A$2:A$45,'Centro de Custo'!B$2:B$45)</f>
        <v>Empréstimos</v>
      </c>
      <c r="E852" s="39">
        <v>-5000</v>
      </c>
      <c r="F852" s="40" t="s">
        <v>10</v>
      </c>
      <c r="G852" s="41">
        <v>45797</v>
      </c>
      <c r="H852" s="42">
        <f>YEAR(Tabela3[[#This Row],[Data]])</f>
        <v>2025</v>
      </c>
      <c r="I852" s="42" t="str">
        <f>_xlfn.XLOOKUP(J852,'Centro de Custo'!J$2:J$13,'Centro de Custo'!K$2:K$13)</f>
        <v>Maio</v>
      </c>
      <c r="J852" s="43">
        <f>MONTH(Tabela3[[#This Row],[Data]])</f>
        <v>5</v>
      </c>
      <c r="K852" s="39">
        <f>SUM(E$3:Tabela3[[#This Row],[Valor]])</f>
        <v>48794.41000000067</v>
      </c>
      <c r="L852" s="40">
        <f t="shared" si="13"/>
        <v>2.22375</v>
      </c>
      <c r="M852" s="40"/>
      <c r="N852" s="40"/>
      <c r="O852" s="40"/>
      <c r="P852" s="39"/>
      <c r="Q852" s="39"/>
      <c r="R852" s="39"/>
      <c r="S852" s="39"/>
      <c r="T852" s="39"/>
    </row>
    <row r="853" spans="1:20" x14ac:dyDescent="0.25">
      <c r="A853" t="s">
        <v>463</v>
      </c>
      <c r="B853" s="37">
        <v>20</v>
      </c>
      <c r="C853" t="str">
        <f>_xlfn.XLOOKUP(B853,'Centro de Custo'!A$2:A$45,'Centro de Custo'!B$2:B$45)</f>
        <v>Desp. ADM</v>
      </c>
      <c r="E853" s="39">
        <v>-3754</v>
      </c>
      <c r="F853" s="40" t="s">
        <v>10</v>
      </c>
      <c r="G853" s="41">
        <v>45798</v>
      </c>
      <c r="H853" s="42">
        <f>YEAR(Tabela3[[#This Row],[Data]])</f>
        <v>2025</v>
      </c>
      <c r="I853" s="42" t="str">
        <f>_xlfn.XLOOKUP(J853,'Centro de Custo'!J$2:J$13,'Centro de Custo'!K$2:K$13)</f>
        <v>Maio</v>
      </c>
      <c r="J853" s="43">
        <f>MONTH(Tabela3[[#This Row],[Data]])</f>
        <v>5</v>
      </c>
      <c r="K853" s="39">
        <f>SUM(E$3:Tabela3[[#This Row],[Valor]])</f>
        <v>45040.41000000067</v>
      </c>
      <c r="L853" s="40">
        <f t="shared" si="13"/>
        <v>2.22375</v>
      </c>
      <c r="M853" s="40"/>
      <c r="N853" s="40"/>
      <c r="O853" s="40"/>
      <c r="P853" s="39"/>
      <c r="Q853" s="39"/>
      <c r="R853" s="39"/>
      <c r="S853" s="39"/>
      <c r="T853" s="39"/>
    </row>
    <row r="854" spans="1:20" x14ac:dyDescent="0.25">
      <c r="A854" t="s">
        <v>229</v>
      </c>
      <c r="B854" s="37">
        <v>13</v>
      </c>
      <c r="C854" t="str">
        <f>_xlfn.XLOOKUP(B854,'Centro de Custo'!A$2:A$45,'Centro de Custo'!B$2:B$45)</f>
        <v>Terceirizados</v>
      </c>
      <c r="E854" s="39">
        <v>-25000</v>
      </c>
      <c r="F854" s="40" t="s">
        <v>10</v>
      </c>
      <c r="G854" s="41">
        <v>45798</v>
      </c>
      <c r="H854" s="42">
        <f>YEAR(Tabela3[[#This Row],[Data]])</f>
        <v>2025</v>
      </c>
      <c r="I854" s="42" t="str">
        <f>_xlfn.XLOOKUP(J854,'Centro de Custo'!J$2:J$13,'Centro de Custo'!K$2:K$13)</f>
        <v>Maio</v>
      </c>
      <c r="J854" s="43">
        <f>MONTH(Tabela3[[#This Row],[Data]])</f>
        <v>5</v>
      </c>
      <c r="K854" s="39">
        <f>SUM(E$3:Tabela3[[#This Row],[Valor]])</f>
        <v>20040.410000000673</v>
      </c>
      <c r="L854" s="40">
        <f t="shared" si="13"/>
        <v>2.22375</v>
      </c>
      <c r="M854" s="40"/>
      <c r="N854" s="40"/>
      <c r="O854" s="40"/>
      <c r="P854" s="39"/>
      <c r="Q854" s="39"/>
      <c r="R854" s="39"/>
      <c r="S854" s="39"/>
      <c r="T854" s="39"/>
    </row>
    <row r="855" spans="1:20" x14ac:dyDescent="0.25">
      <c r="A855" t="s">
        <v>464</v>
      </c>
      <c r="B855" s="37">
        <v>41</v>
      </c>
      <c r="C855" t="str">
        <f>_xlfn.XLOOKUP(B855,'Centro de Custo'!A$2:A$45,'Centro de Custo'!B$2:B$45)</f>
        <v>Resgate Financeiro</v>
      </c>
      <c r="E855" s="39">
        <v>104786.04</v>
      </c>
      <c r="F855" s="40" t="s">
        <v>10</v>
      </c>
      <c r="G855" s="41">
        <v>45799</v>
      </c>
      <c r="H855" s="42">
        <f>YEAR(Tabela3[[#This Row],[Data]])</f>
        <v>2025</v>
      </c>
      <c r="I855" s="42" t="str">
        <f>_xlfn.XLOOKUP(J855,'Centro de Custo'!J$2:J$13,'Centro de Custo'!K$2:K$13)</f>
        <v>Maio</v>
      </c>
      <c r="J855" s="43">
        <f>MONTH(Tabela3[[#This Row],[Data]])</f>
        <v>5</v>
      </c>
      <c r="K855" s="39">
        <f>SUM(E$3:Tabela3[[#This Row],[Valor]])</f>
        <v>124826.45000000067</v>
      </c>
      <c r="L855" s="40">
        <f t="shared" si="13"/>
        <v>2.22375</v>
      </c>
      <c r="M855" s="40"/>
      <c r="N855" s="40"/>
      <c r="O855" s="40"/>
      <c r="P855" s="39"/>
      <c r="Q855" s="39"/>
      <c r="R855" s="39"/>
      <c r="S855" s="39"/>
      <c r="T855" s="39"/>
    </row>
    <row r="856" spans="1:20" x14ac:dyDescent="0.25">
      <c r="A856" t="s">
        <v>465</v>
      </c>
      <c r="B856" s="37">
        <v>20</v>
      </c>
      <c r="C856" t="str">
        <f>_xlfn.XLOOKUP(B856,'Centro de Custo'!A$2:A$45,'Centro de Custo'!B$2:B$45)</f>
        <v>Desp. ADM</v>
      </c>
      <c r="E856" s="39">
        <v>-62000</v>
      </c>
      <c r="F856" s="40" t="s">
        <v>10</v>
      </c>
      <c r="G856" s="41">
        <v>45799</v>
      </c>
      <c r="H856" s="42">
        <f>YEAR(Tabela3[[#This Row],[Data]])</f>
        <v>2025</v>
      </c>
      <c r="I856" s="42" t="str">
        <f>_xlfn.XLOOKUP(J856,'Centro de Custo'!J$2:J$13,'Centro de Custo'!K$2:K$13)</f>
        <v>Maio</v>
      </c>
      <c r="J856" s="43">
        <f>MONTH(Tabela3[[#This Row],[Data]])</f>
        <v>5</v>
      </c>
      <c r="K856" s="39">
        <f>SUM(E$3:Tabela3[[#This Row],[Valor]])</f>
        <v>62826.45000000067</v>
      </c>
      <c r="L856" s="40">
        <f t="shared" si="13"/>
        <v>2.22375</v>
      </c>
      <c r="M856" s="40"/>
      <c r="N856" s="40"/>
      <c r="O856" s="40"/>
      <c r="P856" s="39"/>
      <c r="Q856" s="39"/>
      <c r="R856" s="39"/>
      <c r="S856" s="39"/>
      <c r="T856" s="39"/>
    </row>
    <row r="857" spans="1:20" x14ac:dyDescent="0.25">
      <c r="A857" t="s">
        <v>45</v>
      </c>
      <c r="B857" s="37">
        <v>20</v>
      </c>
      <c r="C857" t="str">
        <f>_xlfn.XLOOKUP(B857,'Centro de Custo'!A$2:A$45,'Centro de Custo'!B$2:B$45)</f>
        <v>Desp. ADM</v>
      </c>
      <c r="E857" s="39">
        <v>-25.85</v>
      </c>
      <c r="F857" s="40" t="s">
        <v>10</v>
      </c>
      <c r="G857" s="41">
        <v>45803</v>
      </c>
      <c r="H857" s="42">
        <f>YEAR(Tabela3[[#This Row],[Data]])</f>
        <v>2025</v>
      </c>
      <c r="I857" s="42" t="str">
        <f>_xlfn.XLOOKUP(J857,'Centro de Custo'!J$2:J$13,'Centro de Custo'!K$2:K$13)</f>
        <v>Maio</v>
      </c>
      <c r="J857" s="43">
        <f>MONTH(Tabela3[[#This Row],[Data]])</f>
        <v>5</v>
      </c>
      <c r="K857" s="39">
        <f>SUM(E$3:Tabela3[[#This Row],[Valor]])</f>
        <v>62800.60000000067</v>
      </c>
      <c r="L857" s="40">
        <f t="shared" si="13"/>
        <v>2.22375</v>
      </c>
      <c r="M857" s="40"/>
      <c r="N857" s="40"/>
      <c r="O857" s="40"/>
      <c r="P857" s="39"/>
      <c r="Q857" s="39"/>
      <c r="R857" s="39"/>
      <c r="S857" s="39"/>
      <c r="T857" s="39"/>
    </row>
    <row r="858" spans="1:20" x14ac:dyDescent="0.25">
      <c r="A858" t="s">
        <v>466</v>
      </c>
      <c r="B858" s="37">
        <v>20</v>
      </c>
      <c r="C858" t="str">
        <f>_xlfn.XLOOKUP(B858,'Centro de Custo'!A$2:A$45,'Centro de Custo'!B$2:B$45)</f>
        <v>Desp. ADM</v>
      </c>
      <c r="E858" s="39">
        <v>-362</v>
      </c>
      <c r="F858" s="40" t="s">
        <v>10</v>
      </c>
      <c r="G858" s="41">
        <v>45803</v>
      </c>
      <c r="H858" s="42">
        <f>YEAR(Tabela3[[#This Row],[Data]])</f>
        <v>2025</v>
      </c>
      <c r="I858" s="42" t="str">
        <f>_xlfn.XLOOKUP(J858,'Centro de Custo'!J$2:J$13,'Centro de Custo'!K$2:K$13)</f>
        <v>Maio</v>
      </c>
      <c r="J858" s="43">
        <f>MONTH(Tabela3[[#This Row],[Data]])</f>
        <v>5</v>
      </c>
      <c r="K858" s="39">
        <f>SUM(E$3:Tabela3[[#This Row],[Valor]])</f>
        <v>62438.60000000067</v>
      </c>
      <c r="L858" s="40">
        <f t="shared" si="13"/>
        <v>2.22375</v>
      </c>
      <c r="M858" s="40"/>
      <c r="N858" s="40"/>
      <c r="O858" s="40"/>
      <c r="P858" s="39"/>
      <c r="Q858" s="39"/>
      <c r="R858" s="39"/>
      <c r="S858" s="39"/>
      <c r="T858" s="39"/>
    </row>
    <row r="859" spans="1:20" x14ac:dyDescent="0.25">
      <c r="A859" t="s">
        <v>467</v>
      </c>
      <c r="B859" s="37">
        <v>20</v>
      </c>
      <c r="C859" t="str">
        <f>_xlfn.XLOOKUP(B859,'Centro de Custo'!A$2:A$45,'Centro de Custo'!B$2:B$45)</f>
        <v>Desp. ADM</v>
      </c>
      <c r="E859" s="39">
        <v>-450</v>
      </c>
      <c r="F859" s="40" t="s">
        <v>10</v>
      </c>
      <c r="G859" s="41">
        <v>45803</v>
      </c>
      <c r="H859" s="42">
        <f>YEAR(Tabela3[[#This Row],[Data]])</f>
        <v>2025</v>
      </c>
      <c r="I859" s="42" t="str">
        <f>_xlfn.XLOOKUP(J859,'Centro de Custo'!J$2:J$13,'Centro de Custo'!K$2:K$13)</f>
        <v>Maio</v>
      </c>
      <c r="J859" s="43">
        <f>MONTH(Tabela3[[#This Row],[Data]])</f>
        <v>5</v>
      </c>
      <c r="K859" s="39">
        <f>SUM(E$3:Tabela3[[#This Row],[Valor]])</f>
        <v>61988.60000000067</v>
      </c>
      <c r="L859" s="40">
        <f t="shared" si="13"/>
        <v>2.22375</v>
      </c>
      <c r="M859" s="40"/>
      <c r="N859" s="40"/>
      <c r="O859" s="40"/>
      <c r="P859" s="39"/>
      <c r="Q859" s="39"/>
      <c r="R859" s="39"/>
      <c r="S859" s="39"/>
      <c r="T859" s="39"/>
    </row>
    <row r="860" spans="1:20" x14ac:dyDescent="0.25">
      <c r="A860" t="s">
        <v>468</v>
      </c>
      <c r="B860" s="37">
        <v>20</v>
      </c>
      <c r="C860" t="str">
        <f>_xlfn.XLOOKUP(B860,'Centro de Custo'!A$2:A$45,'Centro de Custo'!B$2:B$45)</f>
        <v>Desp. ADM</v>
      </c>
      <c r="E860" s="39">
        <v>-500</v>
      </c>
      <c r="F860" s="40" t="s">
        <v>10</v>
      </c>
      <c r="G860" s="41">
        <v>45804</v>
      </c>
      <c r="H860" s="42">
        <f>YEAR(Tabela3[[#This Row],[Data]])</f>
        <v>2025</v>
      </c>
      <c r="I860" s="42" t="str">
        <f>_xlfn.XLOOKUP(J860,'Centro de Custo'!J$2:J$13,'Centro de Custo'!K$2:K$13)</f>
        <v>Maio</v>
      </c>
      <c r="J860" s="43">
        <f>MONTH(Tabela3[[#This Row],[Data]])</f>
        <v>5</v>
      </c>
      <c r="K860" s="39">
        <f>SUM(E$3:Tabela3[[#This Row],[Valor]])</f>
        <v>61488.60000000067</v>
      </c>
      <c r="L860" s="40">
        <f t="shared" si="13"/>
        <v>2.22375</v>
      </c>
      <c r="M860" s="40"/>
      <c r="N860" s="40"/>
      <c r="O860" s="40"/>
      <c r="P860" s="39"/>
      <c r="Q860" s="39"/>
      <c r="R860" s="39"/>
      <c r="S860" s="39"/>
      <c r="T860" s="39"/>
    </row>
    <row r="861" spans="1:20" x14ac:dyDescent="0.25">
      <c r="A861" t="s">
        <v>469</v>
      </c>
      <c r="B861" s="37">
        <v>20</v>
      </c>
      <c r="C861" t="str">
        <f>_xlfn.XLOOKUP(B861,'Centro de Custo'!A$2:A$45,'Centro de Custo'!B$2:B$45)</f>
        <v>Desp. ADM</v>
      </c>
      <c r="E861" s="39">
        <v>-5660</v>
      </c>
      <c r="F861" s="40" t="s">
        <v>10</v>
      </c>
      <c r="G861" s="41">
        <v>45805</v>
      </c>
      <c r="H861" s="42">
        <f>YEAR(Tabela3[[#This Row],[Data]])</f>
        <v>2025</v>
      </c>
      <c r="I861" s="42" t="str">
        <f>_xlfn.XLOOKUP(J861,'Centro de Custo'!J$2:J$13,'Centro de Custo'!K$2:K$13)</f>
        <v>Maio</v>
      </c>
      <c r="J861" s="43">
        <f>MONTH(Tabela3[[#This Row],[Data]])</f>
        <v>5</v>
      </c>
      <c r="K861" s="39">
        <f>SUM(E$3:Tabela3[[#This Row],[Valor]])</f>
        <v>55828.60000000067</v>
      </c>
      <c r="L861" s="40">
        <f t="shared" si="13"/>
        <v>2.22375</v>
      </c>
      <c r="M861" s="40"/>
      <c r="N861" s="40"/>
      <c r="O861" s="40"/>
      <c r="P861" s="39"/>
      <c r="Q861" s="39"/>
      <c r="R861" s="39"/>
      <c r="S861" s="39"/>
      <c r="T861" s="39"/>
    </row>
    <row r="862" spans="1:20" x14ac:dyDescent="0.25">
      <c r="A862" t="s">
        <v>287</v>
      </c>
      <c r="B862" s="37">
        <v>41</v>
      </c>
      <c r="C862" t="str">
        <f>_xlfn.XLOOKUP(B862,'Centro de Custo'!A$2:A$45,'Centro de Custo'!B$2:B$45)</f>
        <v>Resgate Financeiro</v>
      </c>
      <c r="E862" s="39">
        <v>154000</v>
      </c>
      <c r="F862" s="40" t="s">
        <v>10</v>
      </c>
      <c r="G862" s="41">
        <v>45807</v>
      </c>
      <c r="H862" s="42">
        <f>YEAR(Tabela3[[#This Row],[Data]])</f>
        <v>2025</v>
      </c>
      <c r="I862" s="42" t="str">
        <f>_xlfn.XLOOKUP(J862,'Centro de Custo'!J$2:J$13,'Centro de Custo'!K$2:K$13)</f>
        <v>Maio</v>
      </c>
      <c r="J862" s="43">
        <f>MONTH(Tabela3[[#This Row],[Data]])</f>
        <v>5</v>
      </c>
      <c r="K862" s="39">
        <f>SUM(E$3:Tabela3[[#This Row],[Valor]])</f>
        <v>209828.60000000068</v>
      </c>
      <c r="L862" s="40">
        <f t="shared" si="13"/>
        <v>2.22375</v>
      </c>
      <c r="M862" s="40"/>
      <c r="N862" s="40"/>
      <c r="O862" s="40"/>
      <c r="P862" s="39"/>
      <c r="Q862" s="39"/>
      <c r="R862" s="39"/>
      <c r="S862" s="39"/>
      <c r="T862" s="39"/>
    </row>
    <row r="863" spans="1:20" x14ac:dyDescent="0.25">
      <c r="A863" s="46" t="s">
        <v>470</v>
      </c>
      <c r="B863" s="37">
        <v>30</v>
      </c>
      <c r="C863" t="str">
        <f>_xlfn.XLOOKUP(B863,'Centro de Custo'!A$2:A$45,'Centro de Custo'!B$2:B$45)</f>
        <v>Impostos</v>
      </c>
      <c r="E863" s="39">
        <v>-17691.05</v>
      </c>
      <c r="F863" s="40" t="s">
        <v>10</v>
      </c>
      <c r="G863" s="41">
        <v>45807</v>
      </c>
      <c r="H863" s="42">
        <f>YEAR(Tabela3[[#This Row],[Data]])</f>
        <v>2025</v>
      </c>
      <c r="I863" s="42" t="str">
        <f>_xlfn.XLOOKUP(J863,'Centro de Custo'!J$2:J$13,'Centro de Custo'!K$2:K$13)</f>
        <v>Maio</v>
      </c>
      <c r="J863" s="43">
        <f>MONTH(Tabela3[[#This Row],[Data]])</f>
        <v>5</v>
      </c>
      <c r="K863" s="39">
        <f>SUM(E$3:Tabela3[[#This Row],[Valor]])</f>
        <v>192137.5500000007</v>
      </c>
      <c r="L863" s="40">
        <f t="shared" si="13"/>
        <v>2.22375</v>
      </c>
      <c r="M863" s="40"/>
      <c r="N863" s="40"/>
      <c r="O863" s="40"/>
      <c r="P863" s="39"/>
      <c r="Q863" s="39"/>
      <c r="R863" s="39"/>
      <c r="S863" s="39"/>
      <c r="T863" s="39"/>
    </row>
    <row r="864" spans="1:20" x14ac:dyDescent="0.25">
      <c r="A864" t="s">
        <v>471</v>
      </c>
      <c r="B864" s="37">
        <v>52</v>
      </c>
      <c r="C864" t="str">
        <f>_xlfn.XLOOKUP(B864,'Centro de Custo'!A$2:A$45,'Centro de Custo'!B$2:B$45)</f>
        <v>Guardião Escolar</v>
      </c>
      <c r="E864" s="39">
        <v>-50000</v>
      </c>
      <c r="F864" s="40" t="s">
        <v>10</v>
      </c>
      <c r="G864" s="41">
        <v>45807</v>
      </c>
      <c r="H864" s="42">
        <f>YEAR(Tabela3[[#This Row],[Data]])</f>
        <v>2025</v>
      </c>
      <c r="I864" s="42" t="str">
        <f>_xlfn.XLOOKUP(J864,'Centro de Custo'!J$2:J$13,'Centro de Custo'!K$2:K$13)</f>
        <v>Maio</v>
      </c>
      <c r="J864" s="43">
        <f>MONTH(Tabela3[[#This Row],[Data]])</f>
        <v>5</v>
      </c>
      <c r="K864" s="39">
        <f>SUM(E$3:Tabela3[[#This Row],[Valor]])</f>
        <v>142137.5500000007</v>
      </c>
      <c r="L864" s="40">
        <f t="shared" si="13"/>
        <v>2.22375</v>
      </c>
      <c r="M864" s="40"/>
      <c r="N864" s="40"/>
      <c r="O864" s="40"/>
      <c r="P864" s="39"/>
      <c r="Q864" s="39"/>
      <c r="R864" s="39"/>
      <c r="S864" s="39"/>
      <c r="T864" s="39"/>
    </row>
    <row r="865" spans="1:20" x14ac:dyDescent="0.25">
      <c r="A865" t="s">
        <v>472</v>
      </c>
      <c r="B865" s="37">
        <v>11</v>
      </c>
      <c r="C865" t="str">
        <f>_xlfn.XLOOKUP(B865,'Centro de Custo'!A$2:A$45,'Centro de Custo'!B$2:B$45)</f>
        <v>Distribuição de Lucro</v>
      </c>
      <c r="E865" s="39">
        <v>-80000</v>
      </c>
      <c r="F865" s="40" t="s">
        <v>10</v>
      </c>
      <c r="G865" s="41">
        <v>45807</v>
      </c>
      <c r="H865" s="42">
        <f>YEAR(Tabela3[[#This Row],[Data]])</f>
        <v>2025</v>
      </c>
      <c r="I865" s="42" t="str">
        <f>_xlfn.XLOOKUP(J865,'Centro de Custo'!J$2:J$13,'Centro de Custo'!K$2:K$13)</f>
        <v>Maio</v>
      </c>
      <c r="J865" s="43">
        <f>MONTH(Tabela3[[#This Row],[Data]])</f>
        <v>5</v>
      </c>
      <c r="K865" s="39">
        <f>SUM(E$3:Tabela3[[#This Row],[Valor]])</f>
        <v>62137.55000000069</v>
      </c>
      <c r="L865" s="40">
        <f t="shared" si="13"/>
        <v>2.22375</v>
      </c>
      <c r="M865" s="40"/>
      <c r="N865" s="40"/>
      <c r="O865" s="40"/>
      <c r="P865" s="39"/>
      <c r="Q865" s="39"/>
      <c r="R865" s="39"/>
      <c r="S865" s="39"/>
      <c r="T865" s="39"/>
    </row>
    <row r="866" spans="1:20" x14ac:dyDescent="0.25">
      <c r="A866" t="s">
        <v>473</v>
      </c>
      <c r="B866" s="37">
        <v>20</v>
      </c>
      <c r="C866" t="str">
        <f>_xlfn.XLOOKUP(B866,'Centro de Custo'!A$2:A$45,'Centro de Custo'!B$2:B$45)</f>
        <v>Desp. ADM</v>
      </c>
      <c r="E866" s="39">
        <v>-76</v>
      </c>
      <c r="F866" s="40" t="s">
        <v>10</v>
      </c>
      <c r="G866" s="41">
        <v>45810</v>
      </c>
      <c r="H866" s="42">
        <f>YEAR(Tabela3[[#This Row],[Data]])</f>
        <v>2025</v>
      </c>
      <c r="I866" s="42" t="str">
        <f>_xlfn.XLOOKUP(J866,'Centro de Custo'!J$2:J$13,'Centro de Custo'!K$2:K$13)</f>
        <v>Junho</v>
      </c>
      <c r="J866" s="43">
        <f>MONTH(Tabela3[[#This Row],[Data]])</f>
        <v>6</v>
      </c>
      <c r="K866" s="39">
        <f>SUM(E$3:Tabela3[[#This Row],[Valor]])</f>
        <v>62061.55000000069</v>
      </c>
      <c r="L866" s="40">
        <f t="shared" si="13"/>
        <v>2.22375</v>
      </c>
      <c r="M866" s="40"/>
      <c r="N866" s="40"/>
      <c r="O866" s="40"/>
      <c r="P866" s="39"/>
      <c r="Q866" s="39"/>
      <c r="R866" s="39"/>
      <c r="S866" s="39"/>
      <c r="T866" s="39"/>
    </row>
    <row r="867" spans="1:20" x14ac:dyDescent="0.25">
      <c r="A867" t="s">
        <v>474</v>
      </c>
      <c r="B867" s="37">
        <v>20</v>
      </c>
      <c r="C867" t="str">
        <f>_xlfn.XLOOKUP(B867,'Centro de Custo'!A$2:A$45,'Centro de Custo'!B$2:B$45)</f>
        <v>Desp. ADM</v>
      </c>
      <c r="E867" s="39">
        <v>-185</v>
      </c>
      <c r="F867" s="40" t="s">
        <v>10</v>
      </c>
      <c r="G867" s="41">
        <v>45810</v>
      </c>
      <c r="H867" s="42">
        <f>YEAR(Tabela3[[#This Row],[Data]])</f>
        <v>2025</v>
      </c>
      <c r="I867" s="42" t="str">
        <f>_xlfn.XLOOKUP(J867,'Centro de Custo'!J$2:J$13,'Centro de Custo'!K$2:K$13)</f>
        <v>Junho</v>
      </c>
      <c r="J867" s="43">
        <f>MONTH(Tabela3[[#This Row],[Data]])</f>
        <v>6</v>
      </c>
      <c r="K867" s="39">
        <f>SUM(E$3:Tabela3[[#This Row],[Valor]])</f>
        <v>61876.55000000069</v>
      </c>
      <c r="L867" s="40">
        <f t="shared" si="13"/>
        <v>2.22375</v>
      </c>
      <c r="M867" s="40"/>
      <c r="N867" s="40"/>
      <c r="O867" s="40"/>
      <c r="P867" s="39"/>
      <c r="Q867" s="39"/>
      <c r="R867" s="39"/>
      <c r="S867" s="39"/>
      <c r="T867" s="39"/>
    </row>
    <row r="868" spans="1:20" x14ac:dyDescent="0.25">
      <c r="A868" t="s">
        <v>473</v>
      </c>
      <c r="B868" s="37">
        <v>20</v>
      </c>
      <c r="C868" t="str">
        <f>_xlfn.XLOOKUP(B868,'Centro de Custo'!A$2:A$45,'Centro de Custo'!B$2:B$45)</f>
        <v>Desp. ADM</v>
      </c>
      <c r="E868" s="39">
        <v>-304</v>
      </c>
      <c r="F868" s="40" t="s">
        <v>10</v>
      </c>
      <c r="G868" s="41">
        <v>45810</v>
      </c>
      <c r="H868" s="42">
        <f>YEAR(Tabela3[[#This Row],[Data]])</f>
        <v>2025</v>
      </c>
      <c r="I868" s="42" t="str">
        <f>_xlfn.XLOOKUP(J868,'Centro de Custo'!J$2:J$13,'Centro de Custo'!K$2:K$13)</f>
        <v>Junho</v>
      </c>
      <c r="J868" s="43">
        <f>MONTH(Tabela3[[#This Row],[Data]])</f>
        <v>6</v>
      </c>
      <c r="K868" s="39">
        <f>SUM(E$3:Tabela3[[#This Row],[Valor]])</f>
        <v>61572.55000000069</v>
      </c>
      <c r="L868" s="40">
        <f t="shared" si="13"/>
        <v>2.22375</v>
      </c>
      <c r="M868" s="40"/>
      <c r="N868" s="40"/>
      <c r="O868" s="40"/>
      <c r="P868" s="39"/>
      <c r="Q868" s="39"/>
      <c r="R868" s="39"/>
      <c r="S868" s="39"/>
      <c r="T868" s="39"/>
    </row>
    <row r="869" spans="1:20" x14ac:dyDescent="0.25">
      <c r="A869" t="s">
        <v>475</v>
      </c>
      <c r="B869" s="37">
        <v>20</v>
      </c>
      <c r="C869" t="str">
        <f>_xlfn.XLOOKUP(B869,'Centro de Custo'!A$2:A$45,'Centro de Custo'!B$2:B$45)</f>
        <v>Desp. ADM</v>
      </c>
      <c r="E869" s="39">
        <v>-1102</v>
      </c>
      <c r="F869" s="40" t="s">
        <v>10</v>
      </c>
      <c r="G869" s="41">
        <v>45810</v>
      </c>
      <c r="H869" s="42">
        <f>YEAR(Tabela3[[#This Row],[Data]])</f>
        <v>2025</v>
      </c>
      <c r="I869" s="42" t="str">
        <f>_xlfn.XLOOKUP(J869,'Centro de Custo'!J$2:J$13,'Centro de Custo'!K$2:K$13)</f>
        <v>Junho</v>
      </c>
      <c r="J869" s="43">
        <f>MONTH(Tabela3[[#This Row],[Data]])</f>
        <v>6</v>
      </c>
      <c r="K869" s="39">
        <f>SUM(E$3:Tabela3[[#This Row],[Valor]])</f>
        <v>60470.55000000069</v>
      </c>
      <c r="L869" s="40">
        <f t="shared" si="13"/>
        <v>2.22375</v>
      </c>
      <c r="M869" s="40"/>
      <c r="N869" s="40"/>
      <c r="O869" s="40"/>
      <c r="P869" s="39"/>
      <c r="Q869" s="39"/>
      <c r="R869" s="39"/>
      <c r="S869" s="39"/>
      <c r="T869" s="39"/>
    </row>
    <row r="870" spans="1:20" x14ac:dyDescent="0.25">
      <c r="A870" t="s">
        <v>407</v>
      </c>
      <c r="B870" s="37">
        <v>20</v>
      </c>
      <c r="C870" t="str">
        <f>_xlfn.XLOOKUP(B870,'Centro de Custo'!A$2:A$45,'Centro de Custo'!B$2:B$45)</f>
        <v>Desp. ADM</v>
      </c>
      <c r="E870" s="39">
        <v>-3754</v>
      </c>
      <c r="F870" s="40" t="s">
        <v>10</v>
      </c>
      <c r="G870" s="41">
        <v>45810</v>
      </c>
      <c r="H870" s="42">
        <f>YEAR(Tabela3[[#This Row],[Data]])</f>
        <v>2025</v>
      </c>
      <c r="I870" s="42" t="str">
        <f>_xlfn.XLOOKUP(J870,'Centro de Custo'!J$2:J$13,'Centro de Custo'!K$2:K$13)</f>
        <v>Junho</v>
      </c>
      <c r="J870" s="43">
        <f>MONTH(Tabela3[[#This Row],[Data]])</f>
        <v>6</v>
      </c>
      <c r="K870" s="39">
        <f>SUM(E$3:Tabela3[[#This Row],[Valor]])</f>
        <v>56716.55000000069</v>
      </c>
      <c r="L870" s="40">
        <f t="shared" si="13"/>
        <v>2.22375</v>
      </c>
      <c r="M870" s="40"/>
      <c r="N870" s="40"/>
      <c r="O870" s="40"/>
      <c r="P870" s="39"/>
      <c r="Q870" s="39"/>
      <c r="R870" s="39"/>
      <c r="S870" s="39"/>
      <c r="T870" s="39"/>
    </row>
    <row r="871" spans="1:20" x14ac:dyDescent="0.25">
      <c r="A871" t="s">
        <v>476</v>
      </c>
      <c r="B871" s="37">
        <v>20</v>
      </c>
      <c r="C871" t="str">
        <f>_xlfn.XLOOKUP(B871,'Centro de Custo'!A$2:A$45,'Centro de Custo'!B$2:B$45)</f>
        <v>Desp. ADM</v>
      </c>
      <c r="E871" s="39">
        <v>-350</v>
      </c>
      <c r="F871" s="40" t="s">
        <v>10</v>
      </c>
      <c r="G871" s="41">
        <v>45811</v>
      </c>
      <c r="H871" s="42">
        <f>YEAR(Tabela3[[#This Row],[Data]])</f>
        <v>2025</v>
      </c>
      <c r="I871" s="42" t="str">
        <f>_xlfn.XLOOKUP(J871,'Centro de Custo'!J$2:J$13,'Centro de Custo'!K$2:K$13)</f>
        <v>Junho</v>
      </c>
      <c r="J871" s="43">
        <f>MONTH(Tabela3[[#This Row],[Data]])</f>
        <v>6</v>
      </c>
      <c r="K871" s="39">
        <f>SUM(E$3:Tabela3[[#This Row],[Valor]])</f>
        <v>56366.55000000069</v>
      </c>
      <c r="L871" s="40">
        <f t="shared" si="13"/>
        <v>2.22375</v>
      </c>
      <c r="M871" s="40"/>
      <c r="N871" s="40"/>
      <c r="O871" s="40"/>
      <c r="P871" s="39"/>
      <c r="Q871" s="39"/>
      <c r="R871" s="39"/>
      <c r="S871" s="39"/>
      <c r="T871" s="39"/>
    </row>
    <row r="872" spans="1:20" x14ac:dyDescent="0.25">
      <c r="A872" t="s">
        <v>452</v>
      </c>
      <c r="B872" s="37">
        <v>20</v>
      </c>
      <c r="C872" t="str">
        <f>_xlfn.XLOOKUP(B872,'Centro de Custo'!A$2:A$45,'Centro de Custo'!B$2:B$45)</f>
        <v>Desp. ADM</v>
      </c>
      <c r="E872" s="39">
        <v>-13833.92</v>
      </c>
      <c r="F872" s="40" t="s">
        <v>10</v>
      </c>
      <c r="G872" s="41">
        <v>45811</v>
      </c>
      <c r="H872" s="42">
        <f>YEAR(Tabela3[[#This Row],[Data]])</f>
        <v>2025</v>
      </c>
      <c r="I872" s="42" t="str">
        <f>_xlfn.XLOOKUP(J872,'Centro de Custo'!J$2:J$13,'Centro de Custo'!K$2:K$13)</f>
        <v>Junho</v>
      </c>
      <c r="J872" s="43">
        <f>MONTH(Tabela3[[#This Row],[Data]])</f>
        <v>6</v>
      </c>
      <c r="K872" s="39">
        <f>SUM(E$3:Tabela3[[#This Row],[Valor]])</f>
        <v>42532.63000000069</v>
      </c>
      <c r="L872" s="40">
        <f t="shared" si="13"/>
        <v>2.22375</v>
      </c>
      <c r="M872" s="40"/>
      <c r="N872" s="40"/>
      <c r="O872" s="40"/>
      <c r="P872" s="39"/>
      <c r="Q872" s="39"/>
      <c r="R872" s="39"/>
      <c r="S872" s="39"/>
      <c r="T872" s="39"/>
    </row>
    <row r="873" spans="1:20" x14ac:dyDescent="0.25">
      <c r="A873" t="s">
        <v>477</v>
      </c>
      <c r="B873" s="37">
        <v>10</v>
      </c>
      <c r="C873" t="str">
        <f>_xlfn.XLOOKUP(B873,'Centro de Custo'!A$2:A$45,'Centro de Custo'!B$2:B$45)</f>
        <v>Retirada Mensal</v>
      </c>
      <c r="E873" s="39">
        <v>-30</v>
      </c>
      <c r="F873" s="40" t="s">
        <v>10</v>
      </c>
      <c r="G873" s="41">
        <v>45812</v>
      </c>
      <c r="H873" s="42">
        <f>YEAR(Tabela3[[#This Row],[Data]])</f>
        <v>2025</v>
      </c>
      <c r="I873" s="42" t="str">
        <f>_xlfn.XLOOKUP(J873,'Centro de Custo'!J$2:J$13,'Centro de Custo'!K$2:K$13)</f>
        <v>Junho</v>
      </c>
      <c r="J873" s="43">
        <f>MONTH(Tabela3[[#This Row],[Data]])</f>
        <v>6</v>
      </c>
      <c r="K873" s="39">
        <f>SUM(E$3:Tabela3[[#This Row],[Valor]])</f>
        <v>42502.63000000069</v>
      </c>
      <c r="L873" s="40">
        <f t="shared" si="13"/>
        <v>2.22375</v>
      </c>
      <c r="M873" s="40"/>
      <c r="N873" s="40"/>
      <c r="O873" s="40"/>
      <c r="P873" s="39"/>
      <c r="Q873" s="39"/>
      <c r="R873" s="39"/>
      <c r="S873" s="39"/>
      <c r="T873" s="39"/>
    </row>
    <row r="874" spans="1:20" x14ac:dyDescent="0.25">
      <c r="A874" t="s">
        <v>178</v>
      </c>
      <c r="B874" s="37">
        <v>20</v>
      </c>
      <c r="C874" t="str">
        <f>_xlfn.XLOOKUP(B874,'Centro de Custo'!A$2:A$45,'Centro de Custo'!B$2:B$45)</f>
        <v>Desp. ADM</v>
      </c>
      <c r="E874" s="39">
        <v>-169.9</v>
      </c>
      <c r="F874" s="40" t="s">
        <v>10</v>
      </c>
      <c r="G874" s="41">
        <v>45812</v>
      </c>
      <c r="H874" s="42">
        <f>YEAR(Tabela3[[#This Row],[Data]])</f>
        <v>2025</v>
      </c>
      <c r="I874" s="42" t="str">
        <f>_xlfn.XLOOKUP(J874,'Centro de Custo'!J$2:J$13,'Centro de Custo'!K$2:K$13)</f>
        <v>Junho</v>
      </c>
      <c r="J874" s="43">
        <f>MONTH(Tabela3[[#This Row],[Data]])</f>
        <v>6</v>
      </c>
      <c r="K874" s="39">
        <f>SUM(E$3:Tabela3[[#This Row],[Valor]])</f>
        <v>42332.73000000069</v>
      </c>
      <c r="L874" s="40">
        <f t="shared" si="13"/>
        <v>2.22375</v>
      </c>
      <c r="M874" s="40"/>
      <c r="N874" s="40"/>
      <c r="O874" s="40"/>
      <c r="P874" s="39"/>
      <c r="Q874" s="39"/>
      <c r="R874" s="39"/>
      <c r="S874" s="39"/>
      <c r="T874" s="39"/>
    </row>
    <row r="875" spans="1:20" x14ac:dyDescent="0.25">
      <c r="A875" t="s">
        <v>167</v>
      </c>
      <c r="B875" s="37">
        <v>20</v>
      </c>
      <c r="C875" t="str">
        <f>_xlfn.XLOOKUP(B875,'Centro de Custo'!A$2:A$45,'Centro de Custo'!B$2:B$45)</f>
        <v>Desp. ADM</v>
      </c>
      <c r="E875" s="39">
        <v>-494.11</v>
      </c>
      <c r="F875" s="40" t="s">
        <v>10</v>
      </c>
      <c r="G875" s="41">
        <v>45812</v>
      </c>
      <c r="H875" s="42">
        <f>YEAR(Tabela3[[#This Row],[Data]])</f>
        <v>2025</v>
      </c>
      <c r="I875" s="42" t="str">
        <f>_xlfn.XLOOKUP(J875,'Centro de Custo'!J$2:J$13,'Centro de Custo'!K$2:K$13)</f>
        <v>Junho</v>
      </c>
      <c r="J875" s="43">
        <f>MONTH(Tabela3[[#This Row],[Data]])</f>
        <v>6</v>
      </c>
      <c r="K875" s="39">
        <f>SUM(E$3:Tabela3[[#This Row],[Valor]])</f>
        <v>41838.62000000069</v>
      </c>
      <c r="L875" s="40">
        <f t="shared" si="13"/>
        <v>2.22375</v>
      </c>
      <c r="M875" s="40"/>
      <c r="N875" s="40"/>
      <c r="O875" s="40"/>
      <c r="P875" s="39"/>
      <c r="Q875" s="39"/>
      <c r="R875" s="39"/>
      <c r="S875" s="39"/>
      <c r="T875" s="39"/>
    </row>
    <row r="876" spans="1:20" x14ac:dyDescent="0.25">
      <c r="A876" t="s">
        <v>478</v>
      </c>
      <c r="B876" s="37">
        <v>15</v>
      </c>
      <c r="C876" t="str">
        <f>_xlfn.XLOOKUP(B876,'Centro de Custo'!A$2:A$45,'Centro de Custo'!B$2:B$45)</f>
        <v>Viagens</v>
      </c>
      <c r="E876" s="39">
        <v>-944</v>
      </c>
      <c r="F876" s="40" t="s">
        <v>10</v>
      </c>
      <c r="G876" s="41">
        <v>45812</v>
      </c>
      <c r="H876" s="42">
        <f>YEAR(Tabela3[[#This Row],[Data]])</f>
        <v>2025</v>
      </c>
      <c r="I876" s="42" t="str">
        <f>_xlfn.XLOOKUP(J876,'Centro de Custo'!J$2:J$13,'Centro de Custo'!K$2:K$13)</f>
        <v>Junho</v>
      </c>
      <c r="J876" s="43">
        <f>MONTH(Tabela3[[#This Row],[Data]])</f>
        <v>6</v>
      </c>
      <c r="K876" s="39">
        <f>SUM(E$3:Tabela3[[#This Row],[Valor]])</f>
        <v>40894.62000000069</v>
      </c>
      <c r="L876" s="40">
        <f t="shared" si="13"/>
        <v>2.22375</v>
      </c>
      <c r="M876" s="40"/>
      <c r="N876" s="40"/>
      <c r="O876" s="40"/>
      <c r="P876" s="39"/>
      <c r="Q876" s="39"/>
      <c r="R876" s="39"/>
      <c r="S876" s="39"/>
      <c r="T876" s="39"/>
    </row>
    <row r="877" spans="1:20" x14ac:dyDescent="0.25">
      <c r="A877" t="s">
        <v>231</v>
      </c>
      <c r="B877" s="37">
        <v>10</v>
      </c>
      <c r="C877" t="str">
        <f>_xlfn.XLOOKUP(B877,'Centro de Custo'!A$2:A$45,'Centro de Custo'!B$2:B$45)</f>
        <v>Retirada Mensal</v>
      </c>
      <c r="E877" s="39">
        <v>-1685.27</v>
      </c>
      <c r="F877" s="40" t="s">
        <v>10</v>
      </c>
      <c r="G877" s="41">
        <v>45812</v>
      </c>
      <c r="H877" s="42">
        <f>YEAR(Tabela3[[#This Row],[Data]])</f>
        <v>2025</v>
      </c>
      <c r="I877" s="42" t="str">
        <f>_xlfn.XLOOKUP(J877,'Centro de Custo'!J$2:J$13,'Centro de Custo'!K$2:K$13)</f>
        <v>Junho</v>
      </c>
      <c r="J877" s="43">
        <f>MONTH(Tabela3[[#This Row],[Data]])</f>
        <v>6</v>
      </c>
      <c r="K877" s="39">
        <f>SUM(E$3:Tabela3[[#This Row],[Valor]])</f>
        <v>39209.35000000069</v>
      </c>
      <c r="L877" s="40">
        <f t="shared" si="13"/>
        <v>2.22375</v>
      </c>
      <c r="M877" s="40"/>
      <c r="N877" s="40"/>
      <c r="O877" s="40"/>
      <c r="P877" s="39"/>
      <c r="Q877" s="39"/>
      <c r="R877" s="39"/>
      <c r="S877" s="39"/>
      <c r="T877" s="39"/>
    </row>
    <row r="878" spans="1:20" x14ac:dyDescent="0.25">
      <c r="A878" t="s">
        <v>190</v>
      </c>
      <c r="B878" s="37">
        <v>13</v>
      </c>
      <c r="C878" t="str">
        <f>_xlfn.XLOOKUP(B878,'Centro de Custo'!A$2:A$45,'Centro de Custo'!B$2:B$45)</f>
        <v>Terceirizados</v>
      </c>
      <c r="E878" s="39">
        <v>-4886.44</v>
      </c>
      <c r="F878" s="40" t="s">
        <v>10</v>
      </c>
      <c r="G878" s="41">
        <v>45812</v>
      </c>
      <c r="H878" s="42">
        <f>YEAR(Tabela3[[#This Row],[Data]])</f>
        <v>2025</v>
      </c>
      <c r="I878" s="42" t="str">
        <f>_xlfn.XLOOKUP(J878,'Centro de Custo'!J$2:J$13,'Centro de Custo'!K$2:K$13)</f>
        <v>Junho</v>
      </c>
      <c r="J878" s="43">
        <f>MONTH(Tabela3[[#This Row],[Data]])</f>
        <v>6</v>
      </c>
      <c r="K878" s="39">
        <f>SUM(E$3:Tabela3[[#This Row],[Valor]])</f>
        <v>34322.91000000069</v>
      </c>
      <c r="L878" s="40">
        <f t="shared" si="13"/>
        <v>2.22375</v>
      </c>
      <c r="M878" s="40"/>
      <c r="N878" s="40"/>
      <c r="O878" s="40"/>
      <c r="P878" s="39"/>
      <c r="Q878" s="39"/>
      <c r="R878" s="39"/>
      <c r="S878" s="39"/>
      <c r="T878" s="39"/>
    </row>
    <row r="879" spans="1:20" x14ac:dyDescent="0.25">
      <c r="A879" t="s">
        <v>479</v>
      </c>
      <c r="B879" s="37">
        <v>20</v>
      </c>
      <c r="C879" t="str">
        <f>_xlfn.XLOOKUP(B879,'Centro de Custo'!A$2:A$45,'Centro de Custo'!B$2:B$45)</f>
        <v>Desp. ADM</v>
      </c>
      <c r="E879" s="39">
        <v>-57.6</v>
      </c>
      <c r="F879" s="40" t="s">
        <v>10</v>
      </c>
      <c r="G879" s="41">
        <v>45813</v>
      </c>
      <c r="H879" s="42">
        <f>YEAR(Tabela3[[#This Row],[Data]])</f>
        <v>2025</v>
      </c>
      <c r="I879" s="42" t="str">
        <f>_xlfn.XLOOKUP(J879,'Centro de Custo'!J$2:J$13,'Centro de Custo'!K$2:K$13)</f>
        <v>Junho</v>
      </c>
      <c r="J879" s="43">
        <f>MONTH(Tabela3[[#This Row],[Data]])</f>
        <v>6</v>
      </c>
      <c r="K879" s="39">
        <f>SUM(E$3:Tabela3[[#This Row],[Valor]])</f>
        <v>34265.31000000069</v>
      </c>
      <c r="L879" s="40">
        <f t="shared" si="13"/>
        <v>2.22375</v>
      </c>
      <c r="M879" s="40"/>
      <c r="N879" s="40"/>
      <c r="O879" s="40"/>
      <c r="P879" s="39"/>
      <c r="Q879" s="39"/>
      <c r="R879" s="39"/>
      <c r="S879" s="39"/>
      <c r="T879" s="39"/>
    </row>
    <row r="880" spans="1:20" x14ac:dyDescent="0.25">
      <c r="A880" t="s">
        <v>474</v>
      </c>
      <c r="B880" s="37">
        <v>20</v>
      </c>
      <c r="C880" t="str">
        <f>_xlfn.XLOOKUP(B880,'Centro de Custo'!A$2:A$45,'Centro de Custo'!B$2:B$45)</f>
        <v>Desp. ADM</v>
      </c>
      <c r="E880" s="39">
        <v>-80</v>
      </c>
      <c r="F880" s="40" t="s">
        <v>10</v>
      </c>
      <c r="G880" s="41">
        <v>45813</v>
      </c>
      <c r="H880" s="42">
        <f>YEAR(Tabela3[[#This Row],[Data]])</f>
        <v>2025</v>
      </c>
      <c r="I880" s="42" t="str">
        <f>_xlfn.XLOOKUP(J880,'Centro de Custo'!J$2:J$13,'Centro de Custo'!K$2:K$13)</f>
        <v>Junho</v>
      </c>
      <c r="J880" s="43">
        <f>MONTH(Tabela3[[#This Row],[Data]])</f>
        <v>6</v>
      </c>
      <c r="K880" s="39">
        <f>SUM(E$3:Tabela3[[#This Row],[Valor]])</f>
        <v>34185.31000000069</v>
      </c>
      <c r="L880" s="40">
        <f t="shared" si="13"/>
        <v>2.22375</v>
      </c>
      <c r="M880" s="40"/>
      <c r="N880" s="40"/>
      <c r="O880" s="40"/>
      <c r="P880" s="39"/>
      <c r="Q880" s="39"/>
      <c r="R880" s="39"/>
      <c r="S880" s="39"/>
      <c r="T880" s="39"/>
    </row>
    <row r="881" spans="1:20" x14ac:dyDescent="0.25">
      <c r="A881" t="s">
        <v>426</v>
      </c>
      <c r="B881" s="37">
        <v>5</v>
      </c>
      <c r="C881" t="str">
        <f>_xlfn.XLOOKUP(B881,'Centro de Custo'!A$2:A$45,'Centro de Custo'!B$2:B$45)</f>
        <v>Consultoria</v>
      </c>
      <c r="E881" s="39">
        <v>-850</v>
      </c>
      <c r="F881" s="40" t="s">
        <v>10</v>
      </c>
      <c r="G881" s="41">
        <v>45813</v>
      </c>
      <c r="H881" s="42">
        <f>YEAR(Tabela3[[#This Row],[Data]])</f>
        <v>2025</v>
      </c>
      <c r="I881" s="42" t="str">
        <f>_xlfn.XLOOKUP(J881,'Centro de Custo'!J$2:J$13,'Centro de Custo'!K$2:K$13)</f>
        <v>Junho</v>
      </c>
      <c r="J881" s="43">
        <f>MONTH(Tabela3[[#This Row],[Data]])</f>
        <v>6</v>
      </c>
      <c r="K881" s="39">
        <f>SUM(E$3:Tabela3[[#This Row],[Valor]])</f>
        <v>33335.31000000069</v>
      </c>
      <c r="L881" s="40">
        <f t="shared" si="13"/>
        <v>2.22375</v>
      </c>
      <c r="M881" s="40"/>
      <c r="N881" s="40"/>
      <c r="O881" s="40"/>
      <c r="P881" s="39"/>
      <c r="Q881" s="39"/>
      <c r="R881" s="39"/>
      <c r="S881" s="39"/>
      <c r="T881" s="39"/>
    </row>
    <row r="882" spans="1:20" x14ac:dyDescent="0.25">
      <c r="A882" t="s">
        <v>370</v>
      </c>
      <c r="B882" s="37">
        <v>10</v>
      </c>
      <c r="C882" t="str">
        <f>_xlfn.XLOOKUP(B882,'Centro de Custo'!A$2:A$45,'Centro de Custo'!B$2:B$45)</f>
        <v>Retirada Mensal</v>
      </c>
      <c r="E882" s="39">
        <v>-7000</v>
      </c>
      <c r="F882" s="40" t="s">
        <v>10</v>
      </c>
      <c r="G882" s="41">
        <v>45813</v>
      </c>
      <c r="H882" s="42">
        <f>YEAR(Tabela3[[#This Row],[Data]])</f>
        <v>2025</v>
      </c>
      <c r="I882" s="42" t="str">
        <f>_xlfn.XLOOKUP(J882,'Centro de Custo'!J$2:J$13,'Centro de Custo'!K$2:K$13)</f>
        <v>Junho</v>
      </c>
      <c r="J882" s="43">
        <f>MONTH(Tabela3[[#This Row],[Data]])</f>
        <v>6</v>
      </c>
      <c r="K882" s="39">
        <f>SUM(E$3:Tabela3[[#This Row],[Valor]])</f>
        <v>26335.31000000069</v>
      </c>
      <c r="L882" s="40">
        <f t="shared" si="13"/>
        <v>2.22375</v>
      </c>
      <c r="M882" s="40"/>
      <c r="N882" s="40"/>
      <c r="O882" s="40"/>
      <c r="P882" s="39"/>
      <c r="Q882" s="39"/>
      <c r="R882" s="39"/>
      <c r="S882" s="39"/>
      <c r="T882" s="39"/>
    </row>
    <row r="883" spans="1:20" x14ac:dyDescent="0.25">
      <c r="A883" t="s">
        <v>110</v>
      </c>
      <c r="B883" s="37">
        <v>10</v>
      </c>
      <c r="C883" t="str">
        <f>_xlfn.XLOOKUP(B883,'Centro de Custo'!A$2:A$45,'Centro de Custo'!B$2:B$45)</f>
        <v>Retirada Mensal</v>
      </c>
      <c r="E883" s="39">
        <v>-9950</v>
      </c>
      <c r="F883" s="40" t="s">
        <v>10</v>
      </c>
      <c r="G883" s="41">
        <v>45813</v>
      </c>
      <c r="H883" s="42">
        <f>YEAR(Tabela3[[#This Row],[Data]])</f>
        <v>2025</v>
      </c>
      <c r="I883" s="42" t="str">
        <f>_xlfn.XLOOKUP(J883,'Centro de Custo'!J$2:J$13,'Centro de Custo'!K$2:K$13)</f>
        <v>Junho</v>
      </c>
      <c r="J883" s="43">
        <f>MONTH(Tabela3[[#This Row],[Data]])</f>
        <v>6</v>
      </c>
      <c r="K883" s="39">
        <f>SUM(E$3:Tabela3[[#This Row],[Valor]])</f>
        <v>16385.31000000069</v>
      </c>
      <c r="L883" s="40">
        <f t="shared" si="13"/>
        <v>2.22375</v>
      </c>
      <c r="M883" s="40"/>
      <c r="N883" s="40"/>
      <c r="O883" s="40"/>
      <c r="P883" s="39"/>
      <c r="Q883" s="39"/>
      <c r="R883" s="39"/>
      <c r="S883" s="39"/>
      <c r="T883" s="39"/>
    </row>
    <row r="884" spans="1:20" x14ac:dyDescent="0.25">
      <c r="A884" t="s">
        <v>51</v>
      </c>
      <c r="B884" s="37">
        <v>41</v>
      </c>
      <c r="C884" t="str">
        <f>_xlfn.XLOOKUP(B884,'Centro de Custo'!A$2:A$45,'Centro de Custo'!B$2:B$45)</f>
        <v>Resgate Financeiro</v>
      </c>
      <c r="E884" s="39">
        <v>200243.69</v>
      </c>
      <c r="F884" s="40" t="s">
        <v>10</v>
      </c>
      <c r="G884" s="41">
        <v>45814</v>
      </c>
      <c r="H884" s="42">
        <f>YEAR(Tabela3[[#This Row],[Data]])</f>
        <v>2025</v>
      </c>
      <c r="I884" s="42" t="str">
        <f>_xlfn.XLOOKUP(J884,'Centro de Custo'!J$2:J$13,'Centro de Custo'!K$2:K$13)</f>
        <v>Junho</v>
      </c>
      <c r="J884" s="43">
        <f>MONTH(Tabela3[[#This Row],[Data]])</f>
        <v>6</v>
      </c>
      <c r="K884" s="39">
        <f>SUM(E$3:Tabela3[[#This Row],[Valor]])</f>
        <v>216629.0000000007</v>
      </c>
      <c r="L884" s="40">
        <f t="shared" si="13"/>
        <v>2.22375</v>
      </c>
      <c r="M884" s="40"/>
      <c r="N884" s="40"/>
      <c r="O884" s="40"/>
      <c r="P884" s="39"/>
      <c r="Q884" s="39"/>
      <c r="R884" s="39"/>
      <c r="S884" s="39"/>
      <c r="T884" s="39"/>
    </row>
    <row r="885" spans="1:20" x14ac:dyDescent="0.25">
      <c r="A885" t="s">
        <v>450</v>
      </c>
      <c r="B885" s="37">
        <v>10</v>
      </c>
      <c r="C885" t="str">
        <f>_xlfn.XLOOKUP(B885,'Centro de Custo'!A$2:A$45,'Centro de Custo'!B$2:B$45)</f>
        <v>Retirada Mensal</v>
      </c>
      <c r="E885" s="39">
        <v>-11200</v>
      </c>
      <c r="F885" s="40" t="s">
        <v>10</v>
      </c>
      <c r="G885" s="41">
        <v>45814</v>
      </c>
      <c r="H885" s="42">
        <f>YEAR(Tabela3[[#This Row],[Data]])</f>
        <v>2025</v>
      </c>
      <c r="I885" s="42" t="str">
        <f>_xlfn.XLOOKUP(J885,'Centro de Custo'!J$2:J$13,'Centro de Custo'!K$2:K$13)</f>
        <v>Junho</v>
      </c>
      <c r="J885" s="43">
        <f>MONTH(Tabela3[[#This Row],[Data]])</f>
        <v>6</v>
      </c>
      <c r="K885" s="39">
        <f>SUM(E$3:Tabela3[[#This Row],[Valor]])</f>
        <v>205429.0000000007</v>
      </c>
      <c r="L885" s="40">
        <f t="shared" si="13"/>
        <v>2.22375</v>
      </c>
      <c r="M885" s="40"/>
      <c r="N885" s="40"/>
      <c r="O885" s="40"/>
      <c r="P885" s="39"/>
      <c r="Q885" s="39"/>
      <c r="R885" s="39"/>
      <c r="S885" s="39"/>
      <c r="T885" s="39"/>
    </row>
    <row r="886" spans="1:20" x14ac:dyDescent="0.25">
      <c r="A886" t="s">
        <v>480</v>
      </c>
      <c r="B886" s="37">
        <v>14</v>
      </c>
      <c r="C886" t="str">
        <f>_xlfn.XLOOKUP(B886,'Centro de Custo'!A$2:A$45,'Centro de Custo'!B$2:B$45)</f>
        <v>Outros</v>
      </c>
      <c r="E886" s="39">
        <v>-3000</v>
      </c>
      <c r="F886" s="40" t="s">
        <v>10</v>
      </c>
      <c r="G886" s="41">
        <v>45817</v>
      </c>
      <c r="H886" s="42">
        <f>YEAR(Tabela3[[#This Row],[Data]])</f>
        <v>2025</v>
      </c>
      <c r="I886" s="42" t="str">
        <f>_xlfn.XLOOKUP(J886,'Centro de Custo'!J$2:J$13,'Centro de Custo'!K$2:K$13)</f>
        <v>Junho</v>
      </c>
      <c r="J886" s="43">
        <f>MONTH(Tabela3[[#This Row],[Data]])</f>
        <v>6</v>
      </c>
      <c r="K886" s="39">
        <f>SUM(E$3:Tabela3[[#This Row],[Valor]])</f>
        <v>202429.0000000007</v>
      </c>
      <c r="L886" s="40">
        <f t="shared" si="13"/>
        <v>2.22375</v>
      </c>
      <c r="M886" s="40"/>
      <c r="N886" s="40"/>
      <c r="O886" s="40"/>
      <c r="P886" s="39"/>
      <c r="Q886" s="39"/>
      <c r="R886" s="39"/>
      <c r="S886" s="39"/>
      <c r="T886" s="39"/>
    </row>
    <row r="887" spans="1:20" x14ac:dyDescent="0.25">
      <c r="A887" t="s">
        <v>481</v>
      </c>
      <c r="B887" s="37">
        <v>14</v>
      </c>
      <c r="C887" t="str">
        <f>_xlfn.XLOOKUP(B887,'Centro de Custo'!A$2:A$45,'Centro de Custo'!B$2:B$45)</f>
        <v>Outros</v>
      </c>
      <c r="E887" s="39">
        <v>-5000</v>
      </c>
      <c r="F887" s="40" t="s">
        <v>10</v>
      </c>
      <c r="G887" s="41">
        <v>45817</v>
      </c>
      <c r="H887" s="42">
        <f>YEAR(Tabela3[[#This Row],[Data]])</f>
        <v>2025</v>
      </c>
      <c r="I887" s="42" t="str">
        <f>_xlfn.XLOOKUP(J887,'Centro de Custo'!J$2:J$13,'Centro de Custo'!K$2:K$13)</f>
        <v>Junho</v>
      </c>
      <c r="J887" s="43">
        <f>MONTH(Tabela3[[#This Row],[Data]])</f>
        <v>6</v>
      </c>
      <c r="K887" s="39">
        <f>SUM(E$3:Tabela3[[#This Row],[Valor]])</f>
        <v>197429.0000000007</v>
      </c>
      <c r="L887" s="40">
        <f t="shared" si="13"/>
        <v>2.22375</v>
      </c>
      <c r="M887" s="40"/>
      <c r="N887" s="40"/>
      <c r="O887" s="40"/>
      <c r="P887" s="39"/>
      <c r="Q887" s="39"/>
      <c r="R887" s="39"/>
      <c r="S887" s="39"/>
      <c r="T887" s="39"/>
    </row>
    <row r="888" spans="1:20" x14ac:dyDescent="0.25">
      <c r="A888" t="s">
        <v>355</v>
      </c>
      <c r="B888" s="37">
        <v>10</v>
      </c>
      <c r="C888" t="str">
        <f>_xlfn.XLOOKUP(B888,'Centro de Custo'!A$2:A$45,'Centro de Custo'!B$2:B$45)</f>
        <v>Retirada Mensal</v>
      </c>
      <c r="E888" s="39">
        <v>-5000</v>
      </c>
      <c r="F888" s="40" t="s">
        <v>10</v>
      </c>
      <c r="G888" s="41">
        <v>45817</v>
      </c>
      <c r="H888" s="42">
        <f>YEAR(Tabela3[[#This Row],[Data]])</f>
        <v>2025</v>
      </c>
      <c r="I888" s="42" t="str">
        <f>_xlfn.XLOOKUP(J888,'Centro de Custo'!J$2:J$13,'Centro de Custo'!K$2:K$13)</f>
        <v>Junho</v>
      </c>
      <c r="J888" s="43">
        <f>MONTH(Tabela3[[#This Row],[Data]])</f>
        <v>6</v>
      </c>
      <c r="K888" s="39">
        <f>SUM(E$3:Tabela3[[#This Row],[Valor]])</f>
        <v>192429.0000000007</v>
      </c>
      <c r="L888" s="40">
        <f t="shared" si="13"/>
        <v>2.22375</v>
      </c>
      <c r="M888" s="40"/>
      <c r="N888" s="40"/>
      <c r="O888" s="40"/>
      <c r="P888" s="39"/>
      <c r="Q888" s="39"/>
      <c r="R888" s="39"/>
      <c r="S888" s="39"/>
      <c r="T888" s="39"/>
    </row>
    <row r="889" spans="1:20" x14ac:dyDescent="0.25">
      <c r="A889" t="s">
        <v>482</v>
      </c>
      <c r="B889" s="37">
        <v>10</v>
      </c>
      <c r="C889" t="str">
        <f>_xlfn.XLOOKUP(B889,'Centro de Custo'!A$2:A$45,'Centro de Custo'!B$2:B$45)</f>
        <v>Retirada Mensal</v>
      </c>
      <c r="E889" s="39">
        <v>-10000</v>
      </c>
      <c r="F889" s="40" t="s">
        <v>10</v>
      </c>
      <c r="G889" s="41">
        <v>45817</v>
      </c>
      <c r="H889" s="42">
        <f>YEAR(Tabela3[[#This Row],[Data]])</f>
        <v>2025</v>
      </c>
      <c r="I889" s="42" t="str">
        <f>_xlfn.XLOOKUP(J889,'Centro de Custo'!J$2:J$13,'Centro de Custo'!K$2:K$13)</f>
        <v>Junho</v>
      </c>
      <c r="J889" s="43">
        <f>MONTH(Tabela3[[#This Row],[Data]])</f>
        <v>6</v>
      </c>
      <c r="K889" s="39">
        <f>SUM(E$3:Tabela3[[#This Row],[Valor]])</f>
        <v>182429.0000000007</v>
      </c>
      <c r="L889" s="40">
        <f t="shared" si="13"/>
        <v>2.22375</v>
      </c>
      <c r="M889" s="40"/>
      <c r="N889" s="40"/>
      <c r="O889" s="40"/>
      <c r="P889" s="39"/>
      <c r="Q889" s="39"/>
      <c r="R889" s="39"/>
      <c r="S889" s="39"/>
      <c r="T889" s="39"/>
    </row>
    <row r="890" spans="1:20" x14ac:dyDescent="0.25">
      <c r="A890" t="s">
        <v>401</v>
      </c>
      <c r="B890" s="37">
        <v>10</v>
      </c>
      <c r="C890" t="str">
        <f>_xlfn.XLOOKUP(B890,'Centro de Custo'!A$2:A$45,'Centro de Custo'!B$2:B$45)</f>
        <v>Retirada Mensal</v>
      </c>
      <c r="E890" s="39">
        <v>-10000</v>
      </c>
      <c r="F890" s="40" t="s">
        <v>10</v>
      </c>
      <c r="G890" s="41">
        <v>45817</v>
      </c>
      <c r="H890" s="42">
        <f>YEAR(Tabela3[[#This Row],[Data]])</f>
        <v>2025</v>
      </c>
      <c r="I890" s="42" t="str">
        <f>_xlfn.XLOOKUP(J890,'Centro de Custo'!J$2:J$13,'Centro de Custo'!K$2:K$13)</f>
        <v>Junho</v>
      </c>
      <c r="J890" s="43">
        <f>MONTH(Tabela3[[#This Row],[Data]])</f>
        <v>6</v>
      </c>
      <c r="K890" s="39">
        <f>SUM(E$3:Tabela3[[#This Row],[Valor]])</f>
        <v>172429.0000000007</v>
      </c>
      <c r="L890" s="40">
        <f t="shared" si="13"/>
        <v>2.22375</v>
      </c>
      <c r="M890" s="40"/>
      <c r="N890" s="40"/>
      <c r="O890" s="40"/>
      <c r="P890" s="39"/>
      <c r="Q890" s="39"/>
      <c r="R890" s="39"/>
      <c r="S890" s="39"/>
      <c r="T890" s="39"/>
    </row>
    <row r="891" spans="1:20" x14ac:dyDescent="0.25">
      <c r="A891" t="s">
        <v>483</v>
      </c>
      <c r="B891" s="37">
        <v>10</v>
      </c>
      <c r="C891" t="str">
        <f>_xlfn.XLOOKUP(B891,'Centro de Custo'!A$2:A$45,'Centro de Custo'!B$2:B$45)</f>
        <v>Retirada Mensal</v>
      </c>
      <c r="E891" s="39">
        <v>-11000</v>
      </c>
      <c r="F891" s="40" t="s">
        <v>10</v>
      </c>
      <c r="G891" s="41">
        <v>45817</v>
      </c>
      <c r="H891" s="42">
        <f>YEAR(Tabela3[[#This Row],[Data]])</f>
        <v>2025</v>
      </c>
      <c r="I891" s="42" t="str">
        <f>_xlfn.XLOOKUP(J891,'Centro de Custo'!J$2:J$13,'Centro de Custo'!K$2:K$13)</f>
        <v>Junho</v>
      </c>
      <c r="J891" s="43">
        <f>MONTH(Tabela3[[#This Row],[Data]])</f>
        <v>6</v>
      </c>
      <c r="K891" s="39">
        <f>SUM(E$3:Tabela3[[#This Row],[Valor]])</f>
        <v>161429.0000000007</v>
      </c>
      <c r="L891" s="40">
        <f t="shared" si="13"/>
        <v>2.22375</v>
      </c>
      <c r="M891" s="40"/>
      <c r="N891" s="40"/>
      <c r="O891" s="40"/>
      <c r="P891" s="39"/>
      <c r="Q891" s="39"/>
      <c r="R891" s="39"/>
      <c r="S891" s="39"/>
      <c r="T891" s="39"/>
    </row>
    <row r="892" spans="1:20" x14ac:dyDescent="0.25">
      <c r="A892" t="s">
        <v>484</v>
      </c>
      <c r="B892" s="37">
        <v>43</v>
      </c>
      <c r="C892" t="str">
        <f>_xlfn.XLOOKUP(B892,'Centro de Custo'!A$2:A$45,'Centro de Custo'!B$2:B$45)</f>
        <v>Setor Privado</v>
      </c>
      <c r="E892" s="39">
        <v>-15000</v>
      </c>
      <c r="F892" s="40" t="s">
        <v>10</v>
      </c>
      <c r="G892" s="41">
        <v>45817</v>
      </c>
      <c r="H892" s="42">
        <f>YEAR(Tabela3[[#This Row],[Data]])</f>
        <v>2025</v>
      </c>
      <c r="I892" s="42" t="str">
        <f>_xlfn.XLOOKUP(J892,'Centro de Custo'!J$2:J$13,'Centro de Custo'!K$2:K$13)</f>
        <v>Junho</v>
      </c>
      <c r="J892" s="43">
        <f>MONTH(Tabela3[[#This Row],[Data]])</f>
        <v>6</v>
      </c>
      <c r="K892" s="39">
        <f>SUM(E$3:Tabela3[[#This Row],[Valor]])</f>
        <v>146429.0000000007</v>
      </c>
      <c r="L892" s="40">
        <f t="shared" si="13"/>
        <v>2.22375</v>
      </c>
      <c r="M892" s="40"/>
      <c r="N892" s="40"/>
      <c r="O892" s="40"/>
      <c r="P892" s="39"/>
      <c r="Q892" s="39"/>
      <c r="R892" s="39"/>
      <c r="S892" s="39"/>
      <c r="T892" s="39"/>
    </row>
    <row r="893" spans="1:20" x14ac:dyDescent="0.25">
      <c r="A893" t="s">
        <v>485</v>
      </c>
      <c r="B893" s="37">
        <v>22</v>
      </c>
      <c r="C893" t="str">
        <f>_xlfn.XLOOKUP(B893,'Centro de Custo'!A$2:A$45,'Centro de Custo'!B$2:B$45)</f>
        <v>Doação</v>
      </c>
      <c r="E893" s="39">
        <v>-60000</v>
      </c>
      <c r="F893" s="40" t="s">
        <v>10</v>
      </c>
      <c r="G893" s="41">
        <v>45817</v>
      </c>
      <c r="H893" s="42">
        <f>YEAR(Tabela3[[#This Row],[Data]])</f>
        <v>2025</v>
      </c>
      <c r="I893" s="42" t="str">
        <f>_xlfn.XLOOKUP(J893,'Centro de Custo'!J$2:J$13,'Centro de Custo'!K$2:K$13)</f>
        <v>Junho</v>
      </c>
      <c r="J893" s="43">
        <f>MONTH(Tabela3[[#This Row],[Data]])</f>
        <v>6</v>
      </c>
      <c r="K893" s="39">
        <f>SUM(E$3:Tabela3[[#This Row],[Valor]])</f>
        <v>86429.0000000007</v>
      </c>
      <c r="L893" s="40">
        <f t="shared" si="13"/>
        <v>2.22375</v>
      </c>
      <c r="M893" s="40"/>
      <c r="N893" s="40"/>
      <c r="O893" s="40"/>
      <c r="P893" s="39"/>
      <c r="Q893" s="39"/>
      <c r="R893" s="39"/>
      <c r="S893" s="39"/>
      <c r="T893" s="39"/>
    </row>
    <row r="894" spans="1:20" x14ac:dyDescent="0.25">
      <c r="A894" t="s">
        <v>486</v>
      </c>
      <c r="B894" s="37">
        <v>14</v>
      </c>
      <c r="C894" t="str">
        <f>_xlfn.XLOOKUP(B894,'Centro de Custo'!A$2:A$45,'Centro de Custo'!B$2:B$45)</f>
        <v>Outros</v>
      </c>
      <c r="E894" s="39">
        <v>-328.8</v>
      </c>
      <c r="F894" s="40" t="s">
        <v>10</v>
      </c>
      <c r="G894" s="41">
        <v>45820</v>
      </c>
      <c r="H894" s="42">
        <f>YEAR(Tabela3[[#This Row],[Data]])</f>
        <v>2025</v>
      </c>
      <c r="I894" s="42" t="str">
        <f>_xlfn.XLOOKUP(J894,'Centro de Custo'!J$2:J$13,'Centro de Custo'!K$2:K$13)</f>
        <v>Junho</v>
      </c>
      <c r="J894" s="43">
        <f>MONTH(Tabela3[[#This Row],[Data]])</f>
        <v>6</v>
      </c>
      <c r="K894" s="39">
        <f>SUM(E$3:Tabela3[[#This Row],[Valor]])</f>
        <v>86100.2000000007</v>
      </c>
      <c r="L894" s="40">
        <f t="shared" si="13"/>
        <v>2.22375</v>
      </c>
      <c r="M894" s="40"/>
      <c r="N894" s="40"/>
      <c r="O894" s="40"/>
      <c r="P894" s="39"/>
      <c r="Q894" s="39"/>
      <c r="R894" s="39"/>
      <c r="S894" s="39"/>
      <c r="T894" s="39"/>
    </row>
    <row r="895" spans="1:20" x14ac:dyDescent="0.25">
      <c r="A895" t="s">
        <v>244</v>
      </c>
      <c r="B895" s="37">
        <v>13</v>
      </c>
      <c r="C895" t="str">
        <f>_xlfn.XLOOKUP(B895,'Centro de Custo'!A$2:A$45,'Centro de Custo'!B$2:B$45)</f>
        <v>Terceirizados</v>
      </c>
      <c r="E895" s="39">
        <v>-550</v>
      </c>
      <c r="F895" s="40" t="s">
        <v>10</v>
      </c>
      <c r="G895" s="41">
        <v>45820</v>
      </c>
      <c r="H895" s="42">
        <f>YEAR(Tabela3[[#This Row],[Data]])</f>
        <v>2025</v>
      </c>
      <c r="I895" s="42" t="str">
        <f>_xlfn.XLOOKUP(J895,'Centro de Custo'!J$2:J$13,'Centro de Custo'!K$2:K$13)</f>
        <v>Junho</v>
      </c>
      <c r="J895" s="43">
        <f>MONTH(Tabela3[[#This Row],[Data]])</f>
        <v>6</v>
      </c>
      <c r="K895" s="39">
        <f>SUM(E$3:Tabela3[[#This Row],[Valor]])</f>
        <v>85550.2000000007</v>
      </c>
      <c r="L895" s="40">
        <f t="shared" si="13"/>
        <v>2.22375</v>
      </c>
      <c r="M895" s="40"/>
      <c r="N895" s="40"/>
      <c r="O895" s="40"/>
      <c r="P895" s="39"/>
      <c r="Q895" s="39"/>
      <c r="R895" s="39"/>
      <c r="S895" s="39"/>
      <c r="T895" s="39"/>
    </row>
    <row r="896" spans="1:20" x14ac:dyDescent="0.25">
      <c r="A896" t="s">
        <v>487</v>
      </c>
      <c r="B896" s="37">
        <v>20</v>
      </c>
      <c r="C896" t="str">
        <f>_xlfn.XLOOKUP(B896,'Centro de Custo'!A$2:A$45,'Centro de Custo'!B$2:B$45)</f>
        <v>Desp. ADM</v>
      </c>
      <c r="E896" s="39">
        <v>-287.5</v>
      </c>
      <c r="F896" s="40" t="s">
        <v>10</v>
      </c>
      <c r="G896" s="41">
        <v>45824</v>
      </c>
      <c r="H896" s="42">
        <f>YEAR(Tabela3[[#This Row],[Data]])</f>
        <v>2025</v>
      </c>
      <c r="I896" s="42" t="str">
        <f>_xlfn.XLOOKUP(J896,'Centro de Custo'!J$2:J$13,'Centro de Custo'!K$2:K$13)</f>
        <v>Junho</v>
      </c>
      <c r="J896" s="43">
        <f>MONTH(Tabela3[[#This Row],[Data]])</f>
        <v>6</v>
      </c>
      <c r="K896" s="39">
        <f>SUM(E$3:Tabela3[[#This Row],[Valor]])</f>
        <v>85262.7000000007</v>
      </c>
      <c r="L896" s="40">
        <f t="shared" si="13"/>
        <v>2.22375</v>
      </c>
      <c r="M896" s="40"/>
      <c r="N896" s="40"/>
      <c r="O896" s="40"/>
      <c r="P896" s="39"/>
      <c r="Q896" s="39"/>
      <c r="R896" s="39"/>
      <c r="S896" s="39"/>
      <c r="T896" s="39"/>
    </row>
    <row r="897" spans="1:20" x14ac:dyDescent="0.25">
      <c r="A897" t="s">
        <v>488</v>
      </c>
      <c r="B897" s="37">
        <v>20</v>
      </c>
      <c r="C897" t="str">
        <f>_xlfn.XLOOKUP(B897,'Centro de Custo'!A$2:A$45,'Centro de Custo'!B$2:B$45)</f>
        <v>Desp. ADM</v>
      </c>
      <c r="E897" s="39">
        <v>-400</v>
      </c>
      <c r="F897" s="40" t="s">
        <v>10</v>
      </c>
      <c r="G897" s="41">
        <v>45824</v>
      </c>
      <c r="H897" s="42">
        <f>YEAR(Tabela3[[#This Row],[Data]])</f>
        <v>2025</v>
      </c>
      <c r="I897" s="42" t="str">
        <f>_xlfn.XLOOKUP(J897,'Centro de Custo'!J$2:J$13,'Centro de Custo'!K$2:K$13)</f>
        <v>Junho</v>
      </c>
      <c r="J897" s="43">
        <f>MONTH(Tabela3[[#This Row],[Data]])</f>
        <v>6</v>
      </c>
      <c r="K897" s="39">
        <f>SUM(E$3:Tabela3[[#This Row],[Valor]])</f>
        <v>84862.7000000007</v>
      </c>
      <c r="L897" s="40">
        <f t="shared" si="13"/>
        <v>2.22375</v>
      </c>
      <c r="M897" s="40"/>
      <c r="N897" s="40"/>
      <c r="O897" s="40"/>
      <c r="P897" s="39"/>
      <c r="Q897" s="39"/>
      <c r="R897" s="39"/>
      <c r="S897" s="39"/>
      <c r="T897" s="39"/>
    </row>
    <row r="898" spans="1:20" x14ac:dyDescent="0.25">
      <c r="A898" t="s">
        <v>489</v>
      </c>
      <c r="B898" s="37">
        <v>20</v>
      </c>
      <c r="C898" t="str">
        <f>_xlfn.XLOOKUP(B898,'Centro de Custo'!A$2:A$45,'Centro de Custo'!B$2:B$45)</f>
        <v>Desp. ADM</v>
      </c>
      <c r="E898" s="39">
        <v>-662.58</v>
      </c>
      <c r="F898" s="40" t="s">
        <v>10</v>
      </c>
      <c r="G898" s="41">
        <v>45824</v>
      </c>
      <c r="H898" s="42">
        <f>YEAR(Tabela3[[#This Row],[Data]])</f>
        <v>2025</v>
      </c>
      <c r="I898" s="42" t="str">
        <f>_xlfn.XLOOKUP(J898,'Centro de Custo'!J$2:J$13,'Centro de Custo'!K$2:K$13)</f>
        <v>Junho</v>
      </c>
      <c r="J898" s="43">
        <f>MONTH(Tabela3[[#This Row],[Data]])</f>
        <v>6</v>
      </c>
      <c r="K898" s="39">
        <f>SUM(E$3:Tabela3[[#This Row],[Valor]])</f>
        <v>84200.1200000007</v>
      </c>
      <c r="L898" s="40">
        <f t="shared" si="13"/>
        <v>2.22375</v>
      </c>
      <c r="M898" s="40"/>
      <c r="N898" s="40"/>
      <c r="O898" s="40"/>
      <c r="P898" s="39"/>
      <c r="Q898" s="39"/>
      <c r="R898" s="39"/>
      <c r="S898" s="39"/>
      <c r="T898" s="39"/>
    </row>
    <row r="899" spans="1:20" x14ac:dyDescent="0.25">
      <c r="A899" t="s">
        <v>51</v>
      </c>
      <c r="B899" s="37">
        <v>41</v>
      </c>
      <c r="C899" t="str">
        <f>_xlfn.XLOOKUP(B899,'Centro de Custo'!A$2:A$45,'Centro de Custo'!B$2:B$45)</f>
        <v>Resgate Financeiro</v>
      </c>
      <c r="E899" s="39">
        <v>150829.61</v>
      </c>
      <c r="F899" s="40" t="s">
        <v>10</v>
      </c>
      <c r="G899" s="41">
        <v>45825</v>
      </c>
      <c r="H899" s="42">
        <f>YEAR(Tabela3[[#This Row],[Data]])</f>
        <v>2025</v>
      </c>
      <c r="I899" s="42" t="str">
        <f>_xlfn.XLOOKUP(J899,'Centro de Custo'!J$2:J$13,'Centro de Custo'!K$2:K$13)</f>
        <v>Junho</v>
      </c>
      <c r="J899" s="43">
        <f>MONTH(Tabela3[[#This Row],[Data]])</f>
        <v>6</v>
      </c>
      <c r="K899" s="39">
        <f>SUM(E$3:Tabela3[[#This Row],[Valor]])</f>
        <v>235029.73000000068</v>
      </c>
      <c r="L899" s="40">
        <f t="shared" ref="L899:L962" si="14">17.79/8</f>
        <v>2.22375</v>
      </c>
      <c r="M899" s="40"/>
      <c r="N899" s="40"/>
      <c r="O899" s="40"/>
      <c r="P899" s="39"/>
      <c r="Q899" s="39"/>
      <c r="R899" s="39"/>
      <c r="S899" s="39"/>
      <c r="T899" s="39"/>
    </row>
    <row r="900" spans="1:20" x14ac:dyDescent="0.25">
      <c r="A900" t="s">
        <v>389</v>
      </c>
      <c r="B900" s="37">
        <v>30</v>
      </c>
      <c r="C900" t="str">
        <f>_xlfn.XLOOKUP(B900,'Centro de Custo'!A$2:A$45,'Centro de Custo'!B$2:B$45)</f>
        <v>Impostos</v>
      </c>
      <c r="E900" s="39">
        <v>-1411.74</v>
      </c>
      <c r="F900" s="40" t="s">
        <v>10</v>
      </c>
      <c r="G900" s="41">
        <v>45825</v>
      </c>
      <c r="H900" s="42">
        <f>YEAR(Tabela3[[#This Row],[Data]])</f>
        <v>2025</v>
      </c>
      <c r="I900" s="42" t="str">
        <f>_xlfn.XLOOKUP(J900,'Centro de Custo'!J$2:J$13,'Centro de Custo'!K$2:K$13)</f>
        <v>Junho</v>
      </c>
      <c r="J900" s="43">
        <f>MONTH(Tabela3[[#This Row],[Data]])</f>
        <v>6</v>
      </c>
      <c r="K900" s="39">
        <f>SUM(E$3:Tabela3[[#This Row],[Valor]])</f>
        <v>233617.9900000007</v>
      </c>
      <c r="L900" s="40">
        <f t="shared" si="14"/>
        <v>2.22375</v>
      </c>
      <c r="M900" s="40"/>
      <c r="N900" s="40"/>
      <c r="O900" s="40"/>
      <c r="P900" s="39"/>
      <c r="Q900" s="39"/>
      <c r="R900" s="39"/>
      <c r="S900" s="39"/>
      <c r="T900" s="39"/>
    </row>
    <row r="901" spans="1:20" x14ac:dyDescent="0.25">
      <c r="A901" t="s">
        <v>490</v>
      </c>
      <c r="B901" s="37">
        <v>20</v>
      </c>
      <c r="C901" t="str">
        <f>_xlfn.XLOOKUP(B901,'Centro de Custo'!A$2:A$45,'Centro de Custo'!B$2:B$45)</f>
        <v>Desp. ADM</v>
      </c>
      <c r="E901" s="39">
        <v>-2000</v>
      </c>
      <c r="F901" s="40" t="s">
        <v>10</v>
      </c>
      <c r="G901" s="41">
        <v>45825</v>
      </c>
      <c r="H901" s="42">
        <f>YEAR(Tabela3[[#This Row],[Data]])</f>
        <v>2025</v>
      </c>
      <c r="I901" s="42" t="str">
        <f>_xlfn.XLOOKUP(J901,'Centro de Custo'!J$2:J$13,'Centro de Custo'!K$2:K$13)</f>
        <v>Junho</v>
      </c>
      <c r="J901" s="43">
        <f>MONTH(Tabela3[[#This Row],[Data]])</f>
        <v>6</v>
      </c>
      <c r="K901" s="39">
        <f>SUM(E$3:Tabela3[[#This Row],[Valor]])</f>
        <v>231617.9900000007</v>
      </c>
      <c r="L901" s="40">
        <f t="shared" si="14"/>
        <v>2.22375</v>
      </c>
      <c r="M901" s="40"/>
      <c r="N901" s="40"/>
      <c r="O901" s="40"/>
      <c r="P901" s="39"/>
      <c r="Q901" s="39"/>
      <c r="R901" s="39"/>
      <c r="S901" s="39"/>
      <c r="T901" s="39"/>
    </row>
    <row r="902" spans="1:20" x14ac:dyDescent="0.25">
      <c r="A902" t="s">
        <v>459</v>
      </c>
      <c r="B902" s="37">
        <v>5</v>
      </c>
      <c r="C902" t="str">
        <f>_xlfn.XLOOKUP(B902,'Centro de Custo'!A$2:A$45,'Centro de Custo'!B$2:B$45)</f>
        <v>Consultoria</v>
      </c>
      <c r="E902" s="39">
        <v>-192000</v>
      </c>
      <c r="F902" s="40" t="s">
        <v>10</v>
      </c>
      <c r="G902" s="41">
        <v>45825</v>
      </c>
      <c r="H902" s="42">
        <f>YEAR(Tabela3[[#This Row],[Data]])</f>
        <v>2025</v>
      </c>
      <c r="I902" s="42" t="str">
        <f>_xlfn.XLOOKUP(J902,'Centro de Custo'!J$2:J$13,'Centro de Custo'!K$2:K$13)</f>
        <v>Junho</v>
      </c>
      <c r="J902" s="43">
        <f>MONTH(Tabela3[[#This Row],[Data]])</f>
        <v>6</v>
      </c>
      <c r="K902" s="39">
        <f>SUM(E$3:Tabela3[[#This Row],[Valor]])</f>
        <v>39617.99000000069</v>
      </c>
      <c r="L902" s="40">
        <f t="shared" si="14"/>
        <v>2.22375</v>
      </c>
      <c r="M902" s="40"/>
      <c r="N902" s="40"/>
      <c r="O902" s="40"/>
      <c r="P902" s="39"/>
      <c r="Q902" s="39"/>
      <c r="R902" s="39"/>
      <c r="S902" s="39"/>
      <c r="T902" s="39"/>
    </row>
    <row r="903" spans="1:20" x14ac:dyDescent="0.25">
      <c r="A903" t="s">
        <v>491</v>
      </c>
      <c r="B903" s="37">
        <v>30</v>
      </c>
      <c r="C903" t="str">
        <f>_xlfn.XLOOKUP(B903,'Centro de Custo'!A$2:A$45,'Centro de Custo'!B$2:B$45)</f>
        <v>Impostos</v>
      </c>
      <c r="E903" s="39">
        <v>-247.61</v>
      </c>
      <c r="F903" s="40" t="s">
        <v>10</v>
      </c>
      <c r="G903" s="41">
        <v>45832</v>
      </c>
      <c r="H903" s="42">
        <f>YEAR(Tabela3[[#This Row],[Data]])</f>
        <v>2025</v>
      </c>
      <c r="I903" s="42" t="str">
        <f>_xlfn.XLOOKUP(J903,'Centro de Custo'!J$2:J$13,'Centro de Custo'!K$2:K$13)</f>
        <v>Junho</v>
      </c>
      <c r="J903" s="43">
        <f>MONTH(Tabela3[[#This Row],[Data]])</f>
        <v>6</v>
      </c>
      <c r="K903" s="39">
        <f>SUM(E$3:Tabela3[[#This Row],[Valor]])</f>
        <v>39370.38000000069</v>
      </c>
      <c r="L903" s="40">
        <f t="shared" si="14"/>
        <v>2.22375</v>
      </c>
      <c r="M903" s="40"/>
      <c r="N903" s="40"/>
      <c r="O903" s="40"/>
      <c r="P903" s="39"/>
      <c r="Q903" s="39"/>
      <c r="R903" s="39"/>
      <c r="S903" s="39"/>
      <c r="T903" s="39"/>
    </row>
    <row r="904" spans="1:20" x14ac:dyDescent="0.25">
      <c r="A904" t="s">
        <v>492</v>
      </c>
      <c r="B904" s="37">
        <v>51</v>
      </c>
      <c r="C904" t="str">
        <f>_xlfn.XLOOKUP(B904,'Centro de Custo'!A$2:A$45,'Centro de Custo'!B$2:B$45)</f>
        <v>Invoke</v>
      </c>
      <c r="E904" s="39">
        <v>-35000</v>
      </c>
      <c r="F904" s="40" t="s">
        <v>10</v>
      </c>
      <c r="G904" s="41">
        <v>45832</v>
      </c>
      <c r="H904" s="42">
        <f>YEAR(Tabela3[[#This Row],[Data]])</f>
        <v>2025</v>
      </c>
      <c r="I904" s="42" t="str">
        <f>_xlfn.XLOOKUP(J904,'Centro de Custo'!J$2:J$13,'Centro de Custo'!K$2:K$13)</f>
        <v>Junho</v>
      </c>
      <c r="J904" s="43">
        <f>MONTH(Tabela3[[#This Row],[Data]])</f>
        <v>6</v>
      </c>
      <c r="K904" s="39">
        <f>SUM(E$3:Tabela3[[#This Row],[Valor]])</f>
        <v>4370.380000000689</v>
      </c>
      <c r="L904" s="40">
        <f t="shared" si="14"/>
        <v>2.22375</v>
      </c>
      <c r="M904" s="40"/>
      <c r="N904" s="40"/>
      <c r="O904" s="40"/>
      <c r="P904" s="39"/>
      <c r="Q904" s="39"/>
      <c r="R904" s="39"/>
      <c r="S904" s="39"/>
      <c r="T904" s="39"/>
    </row>
    <row r="905" spans="1:20" x14ac:dyDescent="0.25">
      <c r="A905" t="s">
        <v>51</v>
      </c>
      <c r="B905" s="37">
        <v>41</v>
      </c>
      <c r="C905" t="str">
        <f>_xlfn.XLOOKUP(B905,'Centro de Custo'!A$2:A$45,'Centro de Custo'!B$2:B$45)</f>
        <v>Resgate Financeiro</v>
      </c>
      <c r="E905" s="39">
        <v>150211.97</v>
      </c>
      <c r="F905" s="40" t="s">
        <v>10</v>
      </c>
      <c r="G905" s="41">
        <v>45833</v>
      </c>
      <c r="H905" s="42">
        <f>YEAR(Tabela3[[#This Row],[Data]])</f>
        <v>2025</v>
      </c>
      <c r="I905" s="42" t="str">
        <f>_xlfn.XLOOKUP(J905,'Centro de Custo'!J$2:J$13,'Centro de Custo'!K$2:K$13)</f>
        <v>Junho</v>
      </c>
      <c r="J905" s="43">
        <f>MONTH(Tabela3[[#This Row],[Data]])</f>
        <v>6</v>
      </c>
      <c r="K905" s="39">
        <f>SUM(E$3:Tabela3[[#This Row],[Valor]])</f>
        <v>154582.35000000068</v>
      </c>
      <c r="L905" s="40">
        <f t="shared" si="14"/>
        <v>2.22375</v>
      </c>
      <c r="M905" s="40"/>
      <c r="N905" s="40"/>
      <c r="O905" s="40"/>
      <c r="P905" s="39"/>
      <c r="Q905" s="39"/>
      <c r="R905" s="39"/>
      <c r="S905" s="39"/>
      <c r="T905" s="39"/>
    </row>
    <row r="906" spans="1:20" x14ac:dyDescent="0.25">
      <c r="A906" t="s">
        <v>224</v>
      </c>
      <c r="B906" s="37">
        <v>20</v>
      </c>
      <c r="C906" t="str">
        <f>_xlfn.XLOOKUP(B906,'Centro de Custo'!A$2:A$45,'Centro de Custo'!B$2:B$45)</f>
        <v>Desp. ADM</v>
      </c>
      <c r="E906" s="39">
        <v>-25.85</v>
      </c>
      <c r="F906" s="40" t="s">
        <v>10</v>
      </c>
      <c r="G906" s="41">
        <v>45833</v>
      </c>
      <c r="H906" s="42">
        <f>YEAR(Tabela3[[#This Row],[Data]])</f>
        <v>2025</v>
      </c>
      <c r="I906" s="42" t="str">
        <f>_xlfn.XLOOKUP(J906,'Centro de Custo'!J$2:J$13,'Centro de Custo'!K$2:K$13)</f>
        <v>Junho</v>
      </c>
      <c r="J906" s="43">
        <f>MONTH(Tabela3[[#This Row],[Data]])</f>
        <v>6</v>
      </c>
      <c r="K906" s="39">
        <f>SUM(E$3:Tabela3[[#This Row],[Valor]])</f>
        <v>154556.50000000067</v>
      </c>
      <c r="L906" s="40">
        <f t="shared" si="14"/>
        <v>2.22375</v>
      </c>
      <c r="M906" s="40"/>
      <c r="N906" s="40"/>
      <c r="O906" s="40"/>
      <c r="P906" s="39"/>
      <c r="Q906" s="39"/>
      <c r="R906" s="39"/>
      <c r="S906" s="39"/>
      <c r="T906" s="39"/>
    </row>
    <row r="907" spans="1:20" x14ac:dyDescent="0.25">
      <c r="A907" t="s">
        <v>493</v>
      </c>
      <c r="B907" s="37">
        <v>20</v>
      </c>
      <c r="C907" t="str">
        <f>_xlfn.XLOOKUP(B907,'Centro de Custo'!A$2:A$45,'Centro de Custo'!B$2:B$45)</f>
        <v>Desp. ADM</v>
      </c>
      <c r="E907" s="39">
        <v>-430</v>
      </c>
      <c r="F907" s="40" t="s">
        <v>10</v>
      </c>
      <c r="G907" s="41">
        <v>45833</v>
      </c>
      <c r="H907" s="42">
        <f>YEAR(Tabela3[[#This Row],[Data]])</f>
        <v>2025</v>
      </c>
      <c r="I907" s="42" t="str">
        <f>_xlfn.XLOOKUP(J907,'Centro de Custo'!J$2:J$13,'Centro de Custo'!K$2:K$13)</f>
        <v>Junho</v>
      </c>
      <c r="J907" s="43">
        <f>MONTH(Tabela3[[#This Row],[Data]])</f>
        <v>6</v>
      </c>
      <c r="K907" s="39">
        <f>SUM(E$3:Tabela3[[#This Row],[Valor]])</f>
        <v>154126.50000000067</v>
      </c>
      <c r="L907" s="40">
        <f t="shared" si="14"/>
        <v>2.22375</v>
      </c>
      <c r="M907" s="40"/>
      <c r="N907" s="40"/>
      <c r="O907" s="40"/>
      <c r="P907" s="39"/>
      <c r="Q907" s="39"/>
      <c r="R907" s="39"/>
      <c r="S907" s="39"/>
      <c r="T907" s="39"/>
    </row>
    <row r="908" spans="1:20" x14ac:dyDescent="0.25">
      <c r="A908" t="s">
        <v>494</v>
      </c>
      <c r="B908" s="37">
        <v>22</v>
      </c>
      <c r="C908" t="str">
        <f>_xlfn.XLOOKUP(B908,'Centro de Custo'!A$2:A$45,'Centro de Custo'!B$2:B$45)</f>
        <v>Doação</v>
      </c>
      <c r="E908" s="39">
        <v>-10000</v>
      </c>
      <c r="F908" s="40" t="s">
        <v>10</v>
      </c>
      <c r="G908" s="41">
        <v>45833</v>
      </c>
      <c r="H908" s="42">
        <f>YEAR(Tabela3[[#This Row],[Data]])</f>
        <v>2025</v>
      </c>
      <c r="I908" s="42" t="str">
        <f>_xlfn.XLOOKUP(J908,'Centro de Custo'!J$2:J$13,'Centro de Custo'!K$2:K$13)</f>
        <v>Junho</v>
      </c>
      <c r="J908" s="43">
        <f>MONTH(Tabela3[[#This Row],[Data]])</f>
        <v>6</v>
      </c>
      <c r="K908" s="39">
        <f>SUM(E$3:Tabela3[[#This Row],[Valor]])</f>
        <v>144126.50000000067</v>
      </c>
      <c r="L908" s="40">
        <f t="shared" si="14"/>
        <v>2.22375</v>
      </c>
      <c r="M908" s="40"/>
      <c r="N908" s="40"/>
      <c r="O908" s="40"/>
      <c r="P908" s="39"/>
      <c r="Q908" s="39"/>
      <c r="R908" s="39"/>
      <c r="S908" s="39"/>
      <c r="T908" s="39"/>
    </row>
    <row r="909" spans="1:20" x14ac:dyDescent="0.25">
      <c r="A909" t="s">
        <v>495</v>
      </c>
      <c r="B909" s="37">
        <v>11</v>
      </c>
      <c r="C909" t="str">
        <f>_xlfn.XLOOKUP(B909,'Centro de Custo'!A$2:A$45,'Centro de Custo'!B$2:B$45)</f>
        <v>Distribuição de Lucro</v>
      </c>
      <c r="E909" s="39">
        <v>-80000</v>
      </c>
      <c r="F909" s="40" t="s">
        <v>10</v>
      </c>
      <c r="G909" s="41">
        <v>45833</v>
      </c>
      <c r="H909" s="42">
        <f>YEAR(Tabela3[[#This Row],[Data]])</f>
        <v>2025</v>
      </c>
      <c r="I909" s="42" t="str">
        <f>_xlfn.XLOOKUP(J909,'Centro de Custo'!J$2:J$13,'Centro de Custo'!K$2:K$13)</f>
        <v>Junho</v>
      </c>
      <c r="J909" s="43">
        <f>MONTH(Tabela3[[#This Row],[Data]])</f>
        <v>6</v>
      </c>
      <c r="K909" s="39">
        <f>SUM(E$3:Tabela3[[#This Row],[Valor]])</f>
        <v>64126.50000000067</v>
      </c>
      <c r="L909" s="40">
        <f t="shared" si="14"/>
        <v>2.22375</v>
      </c>
      <c r="M909" s="40"/>
      <c r="N909" s="40"/>
      <c r="O909" s="40"/>
      <c r="P909" s="39"/>
      <c r="Q909" s="39"/>
      <c r="R909" s="39"/>
      <c r="S909" s="39"/>
      <c r="T909" s="39"/>
    </row>
    <row r="910" spans="1:20" x14ac:dyDescent="0.25">
      <c r="A910" t="s">
        <v>496</v>
      </c>
      <c r="B910" s="37">
        <v>50</v>
      </c>
      <c r="C910" t="str">
        <f>_xlfn.XLOOKUP(B910,'Centro de Custo'!A$2:A$45,'Centro de Custo'!B$2:B$45)</f>
        <v>Empréstimos</v>
      </c>
      <c r="E910" s="39">
        <v>15000</v>
      </c>
      <c r="F910" s="40" t="s">
        <v>10</v>
      </c>
      <c r="G910" s="41">
        <v>45835</v>
      </c>
      <c r="H910" s="42">
        <f>YEAR(Tabela3[[#This Row],[Data]])</f>
        <v>2025</v>
      </c>
      <c r="I910" s="42" t="str">
        <f>_xlfn.XLOOKUP(J910,'Centro de Custo'!J$2:J$13,'Centro de Custo'!K$2:K$13)</f>
        <v>Junho</v>
      </c>
      <c r="J910" s="43">
        <f>MONTH(Tabela3[[#This Row],[Data]])</f>
        <v>6</v>
      </c>
      <c r="K910" s="39">
        <f>SUM(E$3:Tabela3[[#This Row],[Valor]])</f>
        <v>79126.50000000067</v>
      </c>
      <c r="L910" s="40">
        <f t="shared" si="14"/>
        <v>2.22375</v>
      </c>
      <c r="M910" s="40"/>
      <c r="N910" s="40"/>
      <c r="O910" s="40"/>
      <c r="P910" s="39"/>
      <c r="Q910" s="39"/>
      <c r="R910" s="39"/>
      <c r="S910" s="39"/>
      <c r="T910" s="39"/>
    </row>
    <row r="911" spans="1:20" x14ac:dyDescent="0.25">
      <c r="A911" t="s">
        <v>497</v>
      </c>
      <c r="B911" s="37">
        <v>10</v>
      </c>
      <c r="C911" t="str">
        <f>_xlfn.XLOOKUP(B911,'Centro de Custo'!A$2:A$45,'Centro de Custo'!B$2:B$45)</f>
        <v>Retirada Mensal</v>
      </c>
      <c r="E911" s="39">
        <v>-15000</v>
      </c>
      <c r="F911" s="40" t="s">
        <v>10</v>
      </c>
      <c r="G911" s="41">
        <v>45835</v>
      </c>
      <c r="H911" s="42">
        <f>YEAR(Tabela3[[#This Row],[Data]])</f>
        <v>2025</v>
      </c>
      <c r="I911" s="42" t="str">
        <f>_xlfn.XLOOKUP(J911,'Centro de Custo'!J$2:J$13,'Centro de Custo'!K$2:K$13)</f>
        <v>Junho</v>
      </c>
      <c r="J911" s="43">
        <f>MONTH(Tabela3[[#This Row],[Data]])</f>
        <v>6</v>
      </c>
      <c r="K911" s="39">
        <f>SUM(E$3:Tabela3[[#This Row],[Valor]])</f>
        <v>64126.50000000067</v>
      </c>
      <c r="L911" s="40">
        <f t="shared" si="14"/>
        <v>2.22375</v>
      </c>
      <c r="M911" s="40"/>
      <c r="N911" s="40"/>
      <c r="O911" s="40"/>
      <c r="P911" s="39"/>
      <c r="Q911" s="39"/>
      <c r="R911" s="39"/>
      <c r="S911" s="39"/>
      <c r="T911" s="39"/>
    </row>
    <row r="912" spans="1:20" x14ac:dyDescent="0.25">
      <c r="A912" s="46" t="s">
        <v>498</v>
      </c>
      <c r="B912" s="37">
        <v>30</v>
      </c>
      <c r="C912" t="str">
        <f>_xlfn.XLOOKUP(B912,'Centro de Custo'!A$2:A$45,'Centro de Custo'!B$2:B$45)</f>
        <v>Impostos</v>
      </c>
      <c r="E912" s="39">
        <v>-17878.36</v>
      </c>
      <c r="F912" s="40" t="s">
        <v>10</v>
      </c>
      <c r="G912" s="41">
        <v>45835</v>
      </c>
      <c r="H912" s="42">
        <f>YEAR(Tabela3[[#This Row],[Data]])</f>
        <v>2025</v>
      </c>
      <c r="I912" s="42" t="str">
        <f>_xlfn.XLOOKUP(J912,'Centro de Custo'!J$2:J$13,'Centro de Custo'!K$2:K$13)</f>
        <v>Junho</v>
      </c>
      <c r="J912" s="43">
        <f>MONTH(Tabela3[[#This Row],[Data]])</f>
        <v>6</v>
      </c>
      <c r="K912" s="39">
        <f>SUM(E$3:Tabela3[[#This Row],[Valor]])</f>
        <v>46248.14000000067</v>
      </c>
      <c r="L912" s="40">
        <f t="shared" si="14"/>
        <v>2.22375</v>
      </c>
      <c r="M912" s="40"/>
      <c r="N912" s="40"/>
      <c r="O912" s="40"/>
      <c r="P912" s="39"/>
      <c r="Q912" s="39"/>
      <c r="R912" s="39"/>
      <c r="S912" s="39"/>
      <c r="T912" s="39"/>
    </row>
    <row r="913" spans="1:20" x14ac:dyDescent="0.25">
      <c r="A913" t="s">
        <v>51</v>
      </c>
      <c r="B913" s="37">
        <v>41</v>
      </c>
      <c r="C913" t="str">
        <f>_xlfn.XLOOKUP(B913,'Centro de Custo'!A$2:A$45,'Centro de Custo'!B$2:B$45)</f>
        <v>Resgate Financeiro</v>
      </c>
      <c r="E913" s="39">
        <v>649955.93</v>
      </c>
      <c r="F913" s="40" t="s">
        <v>10</v>
      </c>
      <c r="G913" s="41">
        <v>45838</v>
      </c>
      <c r="H913" s="42">
        <f>YEAR(Tabela3[[#This Row],[Data]])</f>
        <v>2025</v>
      </c>
      <c r="I913" s="42" t="str">
        <f>_xlfn.XLOOKUP(J913,'Centro de Custo'!J$2:J$13,'Centro de Custo'!K$2:K$13)</f>
        <v>Junho</v>
      </c>
      <c r="J913" s="43">
        <f>MONTH(Tabela3[[#This Row],[Data]])</f>
        <v>6</v>
      </c>
      <c r="K913" s="39">
        <f>SUM(E$3:Tabela3[[#This Row],[Valor]])</f>
        <v>696204.0700000008</v>
      </c>
      <c r="L913" s="40">
        <f t="shared" si="14"/>
        <v>2.22375</v>
      </c>
      <c r="M913" s="40"/>
      <c r="N913" s="40"/>
      <c r="O913" s="40"/>
      <c r="P913" s="39"/>
      <c r="Q913" s="39"/>
      <c r="R913" s="39"/>
      <c r="S913" s="39"/>
      <c r="T913" s="39"/>
    </row>
    <row r="914" spans="1:20" x14ac:dyDescent="0.25">
      <c r="A914" t="s">
        <v>499</v>
      </c>
      <c r="B914" s="37">
        <v>20</v>
      </c>
      <c r="C914" t="str">
        <f>_xlfn.XLOOKUP(B914,'Centro de Custo'!A$2:A$45,'Centro de Custo'!B$2:B$45)</f>
        <v>Desp. ADM</v>
      </c>
      <c r="E914" s="39">
        <v>-1</v>
      </c>
      <c r="F914" s="40" t="s">
        <v>10</v>
      </c>
      <c r="G914" s="41">
        <v>45838</v>
      </c>
      <c r="H914" s="42">
        <f>YEAR(Tabela3[[#This Row],[Data]])</f>
        <v>2025</v>
      </c>
      <c r="I914" s="42" t="str">
        <f>_xlfn.XLOOKUP(J914,'Centro de Custo'!J$2:J$13,'Centro de Custo'!K$2:K$13)</f>
        <v>Junho</v>
      </c>
      <c r="J914" s="43">
        <f>MONTH(Tabela3[[#This Row],[Data]])</f>
        <v>6</v>
      </c>
      <c r="K914" s="39">
        <f>SUM(E$3:Tabela3[[#This Row],[Valor]])</f>
        <v>696203.0700000008</v>
      </c>
      <c r="L914" s="40">
        <f t="shared" si="14"/>
        <v>2.22375</v>
      </c>
      <c r="M914" s="40"/>
      <c r="N914" s="40"/>
      <c r="O914" s="40"/>
      <c r="P914" s="39"/>
      <c r="Q914" s="39"/>
      <c r="R914" s="39"/>
      <c r="S914" s="39"/>
      <c r="T914" s="39"/>
    </row>
    <row r="915" spans="1:20" x14ac:dyDescent="0.25">
      <c r="A915" t="s">
        <v>499</v>
      </c>
      <c r="B915" s="37">
        <v>20</v>
      </c>
      <c r="C915" t="str">
        <f>_xlfn.XLOOKUP(B915,'Centro de Custo'!A$2:A$45,'Centro de Custo'!B$2:B$45)</f>
        <v>Desp. ADM</v>
      </c>
      <c r="E915" s="39">
        <v>-1</v>
      </c>
      <c r="F915" s="40" t="s">
        <v>10</v>
      </c>
      <c r="G915" s="41">
        <v>45838</v>
      </c>
      <c r="H915" s="42">
        <f>YEAR(Tabela3[[#This Row],[Data]])</f>
        <v>2025</v>
      </c>
      <c r="I915" s="42" t="str">
        <f>_xlfn.XLOOKUP(J915,'Centro de Custo'!J$2:J$13,'Centro de Custo'!K$2:K$13)</f>
        <v>Junho</v>
      </c>
      <c r="J915" s="43">
        <f>MONTH(Tabela3[[#This Row],[Data]])</f>
        <v>6</v>
      </c>
      <c r="K915" s="39">
        <f>SUM(E$3:Tabela3[[#This Row],[Valor]])</f>
        <v>696202.0700000008</v>
      </c>
      <c r="L915" s="40">
        <f t="shared" si="14"/>
        <v>2.22375</v>
      </c>
      <c r="M915" s="40"/>
      <c r="N915" s="40"/>
      <c r="O915" s="40"/>
      <c r="P915" s="39"/>
      <c r="Q915" s="39"/>
      <c r="R915" s="39"/>
      <c r="S915" s="39"/>
      <c r="T915" s="39"/>
    </row>
    <row r="916" spans="1:20" x14ac:dyDescent="0.25">
      <c r="A916" t="s">
        <v>500</v>
      </c>
      <c r="B916" s="37">
        <v>50</v>
      </c>
      <c r="C916" t="str">
        <f>_xlfn.XLOOKUP(B916,'Centro de Custo'!A$2:A$45,'Centro de Custo'!B$2:B$45)</f>
        <v>Empréstimos</v>
      </c>
      <c r="E916" s="39">
        <v>-250000</v>
      </c>
      <c r="F916" s="40" t="s">
        <v>10</v>
      </c>
      <c r="G916" s="41">
        <v>45838</v>
      </c>
      <c r="H916" s="42">
        <f>YEAR(Tabela3[[#This Row],[Data]])</f>
        <v>2025</v>
      </c>
      <c r="I916" s="42" t="str">
        <f>_xlfn.XLOOKUP(J916,'Centro de Custo'!J$2:J$13,'Centro de Custo'!K$2:K$13)</f>
        <v>Junho</v>
      </c>
      <c r="J916" s="43">
        <f>MONTH(Tabela3[[#This Row],[Data]])</f>
        <v>6</v>
      </c>
      <c r="K916" s="39">
        <f>SUM(E$3:Tabela3[[#This Row],[Valor]])</f>
        <v>446202.07000000076</v>
      </c>
      <c r="L916" s="40">
        <f t="shared" si="14"/>
        <v>2.22375</v>
      </c>
      <c r="M916" s="40"/>
      <c r="N916" s="40"/>
      <c r="O916" s="40"/>
      <c r="P916" s="39"/>
      <c r="Q916" s="39"/>
      <c r="R916" s="39"/>
      <c r="S916" s="39"/>
      <c r="T916" s="39"/>
    </row>
    <row r="917" spans="1:20" x14ac:dyDescent="0.25">
      <c r="A917" t="s">
        <v>501</v>
      </c>
      <c r="B917" s="37">
        <v>50</v>
      </c>
      <c r="C917" t="str">
        <f>_xlfn.XLOOKUP(B917,'Centro de Custo'!A$2:A$45,'Centro de Custo'!B$2:B$45)</f>
        <v>Empréstimos</v>
      </c>
      <c r="E917" s="39">
        <v>-400000</v>
      </c>
      <c r="F917" s="40" t="s">
        <v>10</v>
      </c>
      <c r="G917" s="41">
        <v>45838</v>
      </c>
      <c r="H917" s="42">
        <f>YEAR(Tabela3[[#This Row],[Data]])</f>
        <v>2025</v>
      </c>
      <c r="I917" s="42" t="str">
        <f>_xlfn.XLOOKUP(J917,'Centro de Custo'!J$2:J$13,'Centro de Custo'!K$2:K$13)</f>
        <v>Junho</v>
      </c>
      <c r="J917" s="43">
        <f>MONTH(Tabela3[[#This Row],[Data]])</f>
        <v>6</v>
      </c>
      <c r="K917" s="39">
        <f>SUM(E$3:Tabela3[[#This Row],[Valor]])</f>
        <v>46202.070000000764</v>
      </c>
      <c r="L917" s="40">
        <f t="shared" si="14"/>
        <v>2.22375</v>
      </c>
      <c r="M917" s="40"/>
      <c r="N917" s="40"/>
      <c r="O917" s="40"/>
      <c r="P917" s="39"/>
      <c r="Q917" s="39"/>
      <c r="R917" s="39"/>
      <c r="S917" s="39"/>
      <c r="T917" s="39"/>
    </row>
    <row r="918" spans="1:20" x14ac:dyDescent="0.25">
      <c r="A918" t="s">
        <v>502</v>
      </c>
      <c r="B918" s="37">
        <v>15</v>
      </c>
      <c r="C918" t="str">
        <f>_xlfn.XLOOKUP(B918,'Centro de Custo'!A$2:A$45,'Centro de Custo'!B$2:B$45)</f>
        <v>Viagens</v>
      </c>
      <c r="E918" s="39">
        <v>-400</v>
      </c>
      <c r="F918" s="40" t="s">
        <v>10</v>
      </c>
      <c r="G918" s="41">
        <v>45839</v>
      </c>
      <c r="H918" s="42">
        <f>YEAR(Tabela3[[#This Row],[Data]])</f>
        <v>2025</v>
      </c>
      <c r="I918" s="42" t="str">
        <f>_xlfn.XLOOKUP(J918,'Centro de Custo'!J$2:J$13,'Centro de Custo'!K$2:K$13)</f>
        <v>Julho</v>
      </c>
      <c r="J918" s="43">
        <f>MONTH(Tabela3[[#This Row],[Data]])</f>
        <v>7</v>
      </c>
      <c r="K918" s="39">
        <f>SUM(E$3:Tabela3[[#This Row],[Valor]])</f>
        <v>45802.070000000764</v>
      </c>
      <c r="L918" s="40">
        <f t="shared" si="14"/>
        <v>2.22375</v>
      </c>
      <c r="M918" s="40"/>
      <c r="N918" s="40"/>
      <c r="O918" s="40"/>
      <c r="P918" s="39"/>
      <c r="Q918" s="39"/>
      <c r="R918" s="39"/>
      <c r="S918" s="39"/>
      <c r="T918" s="39"/>
    </row>
    <row r="919" spans="1:20" x14ac:dyDescent="0.25">
      <c r="A919" t="s">
        <v>407</v>
      </c>
      <c r="B919" s="37">
        <v>20</v>
      </c>
      <c r="C919" t="str">
        <f>_xlfn.XLOOKUP(B919,'Centro de Custo'!A$2:A$45,'Centro de Custo'!B$2:B$45)</f>
        <v>Desp. ADM</v>
      </c>
      <c r="E919" s="39">
        <v>-3754</v>
      </c>
      <c r="F919" s="55" t="s">
        <v>10</v>
      </c>
      <c r="G919" s="56">
        <v>45839</v>
      </c>
      <c r="H919" s="42">
        <f>YEAR(Tabela3[[#This Row],[Data]])</f>
        <v>2025</v>
      </c>
      <c r="I919" s="42" t="str">
        <f>_xlfn.XLOOKUP(J919,'Centro de Custo'!J$2:J$13,'Centro de Custo'!K$2:K$13)</f>
        <v>Julho</v>
      </c>
      <c r="J919" s="43">
        <f>MONTH(Tabela3[[#This Row],[Data]])</f>
        <v>7</v>
      </c>
      <c r="K919" s="39">
        <f>SUM(E$3:Tabela3[[#This Row],[Valor]])</f>
        <v>42048.070000000764</v>
      </c>
      <c r="L919" s="40">
        <f t="shared" si="14"/>
        <v>2.22375</v>
      </c>
      <c r="M919" s="40"/>
      <c r="N919" s="40"/>
      <c r="O919" s="40"/>
      <c r="P919" s="39"/>
      <c r="Q919" s="39"/>
      <c r="R919" s="39"/>
      <c r="S919" s="39"/>
      <c r="T919" s="39"/>
    </row>
    <row r="920" spans="1:20" x14ac:dyDescent="0.25">
      <c r="A920" t="s">
        <v>503</v>
      </c>
      <c r="B920" s="37">
        <v>13</v>
      </c>
      <c r="C920" t="str">
        <f>_xlfn.XLOOKUP(B920,'Centro de Custo'!A$2:A$45,'Centro de Custo'!B$2:B$45)</f>
        <v>Terceirizados</v>
      </c>
      <c r="E920" s="39">
        <v>-3000</v>
      </c>
      <c r="F920" s="40" t="s">
        <v>10</v>
      </c>
      <c r="G920" s="41">
        <v>45841</v>
      </c>
      <c r="H920" s="42">
        <f>YEAR(Tabela3[[#This Row],[Data]])</f>
        <v>2025</v>
      </c>
      <c r="I920" s="42" t="str">
        <f>_xlfn.XLOOKUP(J920,'Centro de Custo'!J$2:J$13,'Centro de Custo'!K$2:K$13)</f>
        <v>Julho</v>
      </c>
      <c r="J920" s="43">
        <f>MONTH(Tabela3[[#This Row],[Data]])</f>
        <v>7</v>
      </c>
      <c r="K920" s="39">
        <f>SUM(E$3:Tabela3[[#This Row],[Valor]])</f>
        <v>39048.070000000764</v>
      </c>
      <c r="L920" s="40">
        <f t="shared" si="14"/>
        <v>2.22375</v>
      </c>
      <c r="M920" s="40"/>
      <c r="N920" s="40"/>
      <c r="O920" s="40"/>
      <c r="P920" s="39"/>
      <c r="Q920" s="39"/>
      <c r="R920" s="39"/>
      <c r="S920" s="39"/>
      <c r="T920" s="39"/>
    </row>
    <row r="921" spans="1:20" x14ac:dyDescent="0.25">
      <c r="A921" t="s">
        <v>504</v>
      </c>
      <c r="B921" s="37">
        <v>13</v>
      </c>
      <c r="C921" t="str">
        <f>_xlfn.XLOOKUP(B921,'Centro de Custo'!A$2:A$45,'Centro de Custo'!B$2:B$45)</f>
        <v>Terceirizados</v>
      </c>
      <c r="E921" s="39">
        <v>-8500</v>
      </c>
      <c r="F921" s="40" t="s">
        <v>10</v>
      </c>
      <c r="G921" s="41">
        <v>45841</v>
      </c>
      <c r="H921" s="42">
        <f>YEAR(Tabela3[[#This Row],[Data]])</f>
        <v>2025</v>
      </c>
      <c r="I921" s="42" t="str">
        <f>_xlfn.XLOOKUP(J921,'Centro de Custo'!J$2:J$13,'Centro de Custo'!K$2:K$13)</f>
        <v>Julho</v>
      </c>
      <c r="J921" s="43">
        <f>MONTH(Tabela3[[#This Row],[Data]])</f>
        <v>7</v>
      </c>
      <c r="K921" s="39">
        <f>SUM(E$3:Tabela3[[#This Row],[Valor]])</f>
        <v>30548.070000000764</v>
      </c>
      <c r="L921" s="40">
        <f t="shared" si="14"/>
        <v>2.22375</v>
      </c>
      <c r="M921" s="40"/>
      <c r="N921" s="40"/>
      <c r="O921" s="40"/>
      <c r="P921" s="39"/>
      <c r="Q921" s="39"/>
      <c r="R921" s="39"/>
      <c r="S921" s="39"/>
      <c r="T921" s="39"/>
    </row>
    <row r="922" spans="1:20" x14ac:dyDescent="0.25">
      <c r="A922" t="s">
        <v>452</v>
      </c>
      <c r="B922" s="37">
        <v>20</v>
      </c>
      <c r="C922" t="str">
        <f>_xlfn.XLOOKUP(B922,'Centro de Custo'!A$2:A$45,'Centro de Custo'!B$2:B$45)</f>
        <v>Desp. ADM</v>
      </c>
      <c r="E922" s="39">
        <v>-15896.95</v>
      </c>
      <c r="F922" s="40" t="s">
        <v>10</v>
      </c>
      <c r="G922" s="41">
        <v>45841</v>
      </c>
      <c r="H922" s="42">
        <f>YEAR(Tabela3[[#This Row],[Data]])</f>
        <v>2025</v>
      </c>
      <c r="I922" s="42" t="str">
        <f>_xlfn.XLOOKUP(J922,'Centro de Custo'!J$2:J$13,'Centro de Custo'!K$2:K$13)</f>
        <v>Julho</v>
      </c>
      <c r="J922" s="43">
        <f>MONTH(Tabela3[[#This Row],[Data]])</f>
        <v>7</v>
      </c>
      <c r="K922" s="39">
        <f>SUM(E$3:Tabela3[[#This Row],[Valor]])</f>
        <v>14651.120000000763</v>
      </c>
      <c r="L922" s="40">
        <f t="shared" si="14"/>
        <v>2.22375</v>
      </c>
      <c r="M922" s="40"/>
      <c r="N922" s="40"/>
      <c r="O922" s="40"/>
      <c r="P922" s="39"/>
      <c r="Q922" s="39"/>
      <c r="R922" s="39"/>
      <c r="S922" s="39"/>
      <c r="T922" s="39"/>
    </row>
    <row r="923" spans="1:20" x14ac:dyDescent="0.25">
      <c r="A923" t="s">
        <v>51</v>
      </c>
      <c r="B923" s="37">
        <v>41</v>
      </c>
      <c r="C923" t="str">
        <f>_xlfn.XLOOKUP(B923,'Centro de Custo'!A$2:A$45,'Centro de Custo'!B$2:B$45)</f>
        <v>Resgate Financeiro</v>
      </c>
      <c r="E923" s="39">
        <v>100388.56</v>
      </c>
      <c r="F923" s="40" t="s">
        <v>10</v>
      </c>
      <c r="G923" s="41">
        <v>45842</v>
      </c>
      <c r="H923" s="42">
        <f>YEAR(Tabela3[[#This Row],[Data]])</f>
        <v>2025</v>
      </c>
      <c r="I923" s="42" t="str">
        <f>_xlfn.XLOOKUP(J923,'Centro de Custo'!J$2:J$13,'Centro de Custo'!K$2:K$13)</f>
        <v>Julho</v>
      </c>
      <c r="J923" s="43">
        <f>MONTH(Tabela3[[#This Row],[Data]])</f>
        <v>7</v>
      </c>
      <c r="K923" s="39">
        <f>SUM(E$3:Tabela3[[#This Row],[Valor]])</f>
        <v>115039.68000000076</v>
      </c>
      <c r="L923" s="40">
        <f t="shared" si="14"/>
        <v>2.22375</v>
      </c>
      <c r="M923" s="40"/>
      <c r="N923" s="40"/>
      <c r="O923" s="40"/>
      <c r="P923" s="39"/>
      <c r="Q923" s="39"/>
      <c r="R923" s="39"/>
      <c r="S923" s="39"/>
      <c r="T923" s="39"/>
    </row>
    <row r="924" spans="1:20" x14ac:dyDescent="0.25">
      <c r="A924" t="s">
        <v>505</v>
      </c>
      <c r="B924" s="37">
        <v>5</v>
      </c>
      <c r="C924" t="str">
        <f>_xlfn.XLOOKUP(B924,'Centro de Custo'!A$2:A$45,'Centro de Custo'!B$2:B$45)</f>
        <v>Consultoria</v>
      </c>
      <c r="E924" s="39">
        <v>-850</v>
      </c>
      <c r="F924" s="40" t="s">
        <v>10</v>
      </c>
      <c r="G924" s="41">
        <v>45842</v>
      </c>
      <c r="H924" s="42">
        <f>YEAR(Tabela3[[#This Row],[Data]])</f>
        <v>2025</v>
      </c>
      <c r="I924" s="42" t="str">
        <f>_xlfn.XLOOKUP(J924,'Centro de Custo'!J$2:J$13,'Centro de Custo'!K$2:K$13)</f>
        <v>Julho</v>
      </c>
      <c r="J924" s="43">
        <f>MONTH(Tabela3[[#This Row],[Data]])</f>
        <v>7</v>
      </c>
      <c r="K924" s="39">
        <f>SUM(E$3:Tabela3[[#This Row],[Valor]])</f>
        <v>114189.68000000076</v>
      </c>
      <c r="L924" s="40">
        <f t="shared" si="14"/>
        <v>2.22375</v>
      </c>
      <c r="M924" s="40"/>
      <c r="N924" s="40"/>
      <c r="O924" s="40"/>
      <c r="P924" s="39"/>
      <c r="Q924" s="39"/>
      <c r="R924" s="39"/>
      <c r="S924" s="39"/>
      <c r="T924" s="39"/>
    </row>
    <row r="925" spans="1:20" x14ac:dyDescent="0.25">
      <c r="A925" t="s">
        <v>370</v>
      </c>
      <c r="B925" s="37">
        <v>10</v>
      </c>
      <c r="C925" t="str">
        <f>_xlfn.XLOOKUP(B925,'Centro de Custo'!A$2:A$45,'Centro de Custo'!B$2:B$45)</f>
        <v>Retirada Mensal</v>
      </c>
      <c r="E925" s="39">
        <v>-7000</v>
      </c>
      <c r="F925" s="40" t="s">
        <v>10</v>
      </c>
      <c r="G925" s="41">
        <v>45842</v>
      </c>
      <c r="H925" s="42">
        <f>YEAR(Tabela3[[#This Row],[Data]])</f>
        <v>2025</v>
      </c>
      <c r="I925" s="42" t="str">
        <f>_xlfn.XLOOKUP(J925,'Centro de Custo'!J$2:J$13,'Centro de Custo'!K$2:K$13)</f>
        <v>Julho</v>
      </c>
      <c r="J925" s="43">
        <f>MONTH(Tabela3[[#This Row],[Data]])</f>
        <v>7</v>
      </c>
      <c r="K925" s="39">
        <f>SUM(E$3:Tabela3[[#This Row],[Valor]])</f>
        <v>107189.68000000076</v>
      </c>
      <c r="L925" s="40">
        <f t="shared" si="14"/>
        <v>2.22375</v>
      </c>
      <c r="M925" s="40"/>
      <c r="N925" s="40"/>
      <c r="O925" s="40"/>
      <c r="P925" s="39"/>
      <c r="Q925" s="39"/>
      <c r="R925" s="39"/>
      <c r="S925" s="39"/>
      <c r="T925" s="39"/>
    </row>
    <row r="926" spans="1:20" x14ac:dyDescent="0.25">
      <c r="A926" t="s">
        <v>110</v>
      </c>
      <c r="B926" s="37">
        <v>10</v>
      </c>
      <c r="C926" t="str">
        <f>_xlfn.XLOOKUP(B926,'Centro de Custo'!A$2:A$45,'Centro de Custo'!B$2:B$45)</f>
        <v>Retirada Mensal</v>
      </c>
      <c r="E926" s="39">
        <v>-11650</v>
      </c>
      <c r="F926" s="40" t="s">
        <v>10</v>
      </c>
      <c r="G926" s="41">
        <v>45842</v>
      </c>
      <c r="H926" s="42">
        <f>YEAR(Tabela3[[#This Row],[Data]])</f>
        <v>2025</v>
      </c>
      <c r="I926" s="42" t="str">
        <f>_xlfn.XLOOKUP(J926,'Centro de Custo'!J$2:J$13,'Centro de Custo'!K$2:K$13)</f>
        <v>Julho</v>
      </c>
      <c r="J926" s="43">
        <f>MONTH(Tabela3[[#This Row],[Data]])</f>
        <v>7</v>
      </c>
      <c r="K926" s="39">
        <f>SUM(E$3:Tabela3[[#This Row],[Valor]])</f>
        <v>95539.68000000076</v>
      </c>
      <c r="L926" s="40">
        <f t="shared" si="14"/>
        <v>2.22375</v>
      </c>
      <c r="M926" s="40"/>
      <c r="N926" s="40"/>
      <c r="O926" s="40"/>
      <c r="P926" s="39"/>
      <c r="Q926" s="39"/>
      <c r="R926" s="39"/>
      <c r="S926" s="39"/>
      <c r="T926" s="39"/>
    </row>
    <row r="927" spans="1:20" x14ac:dyDescent="0.25">
      <c r="A927" t="s">
        <v>55</v>
      </c>
      <c r="B927" s="37">
        <v>10</v>
      </c>
      <c r="C927" t="str">
        <f>_xlfn.XLOOKUP(B927,'Centro de Custo'!A$2:A$45,'Centro de Custo'!B$2:B$45)</f>
        <v>Retirada Mensal</v>
      </c>
      <c r="E927" s="39">
        <v>-12000</v>
      </c>
      <c r="F927" s="40" t="s">
        <v>10</v>
      </c>
      <c r="G927" s="41">
        <v>45842</v>
      </c>
      <c r="H927" s="42">
        <f>YEAR(Tabela3[[#This Row],[Data]])</f>
        <v>2025</v>
      </c>
      <c r="I927" s="42" t="str">
        <f>_xlfn.XLOOKUP(J927,'Centro de Custo'!J$2:J$13,'Centro de Custo'!K$2:K$13)</f>
        <v>Julho</v>
      </c>
      <c r="J927" s="43">
        <f>MONTH(Tabela3[[#This Row],[Data]])</f>
        <v>7</v>
      </c>
      <c r="K927" s="39">
        <f>SUM(E$3:Tabela3[[#This Row],[Valor]])</f>
        <v>83539.68000000076</v>
      </c>
      <c r="L927" s="40">
        <f t="shared" si="14"/>
        <v>2.22375</v>
      </c>
      <c r="M927" s="40"/>
      <c r="N927" s="40"/>
      <c r="O927" s="40"/>
      <c r="P927" s="39"/>
      <c r="Q927" s="39"/>
      <c r="R927" s="39"/>
      <c r="S927" s="39"/>
      <c r="T927" s="39"/>
    </row>
    <row r="928" spans="1:20" x14ac:dyDescent="0.25">
      <c r="A928" t="s">
        <v>56</v>
      </c>
      <c r="B928" s="37">
        <v>10</v>
      </c>
      <c r="C928" t="str">
        <f>_xlfn.XLOOKUP(B928,'Centro de Custo'!A$2:A$45,'Centro de Custo'!B$2:B$45)</f>
        <v>Retirada Mensal</v>
      </c>
      <c r="E928" s="39">
        <v>-12700</v>
      </c>
      <c r="F928" s="40" t="s">
        <v>10</v>
      </c>
      <c r="G928" s="41">
        <v>45842</v>
      </c>
      <c r="H928" s="42">
        <f>YEAR(Tabela3[[#This Row],[Data]])</f>
        <v>2025</v>
      </c>
      <c r="I928" s="42" t="str">
        <f>_xlfn.XLOOKUP(J928,'Centro de Custo'!J$2:J$13,'Centro de Custo'!K$2:K$13)</f>
        <v>Julho</v>
      </c>
      <c r="J928" s="43">
        <f>MONTH(Tabela3[[#This Row],[Data]])</f>
        <v>7</v>
      </c>
      <c r="K928" s="39">
        <f>SUM(E$3:Tabela3[[#This Row],[Valor]])</f>
        <v>70839.68000000076</v>
      </c>
      <c r="L928" s="40">
        <f t="shared" si="14"/>
        <v>2.22375</v>
      </c>
      <c r="M928" s="40"/>
      <c r="N928" s="40"/>
      <c r="O928" s="40"/>
      <c r="P928" s="39"/>
      <c r="Q928" s="39"/>
      <c r="R928" s="39"/>
      <c r="S928" s="39"/>
      <c r="T928" s="39"/>
    </row>
    <row r="929" spans="1:20" x14ac:dyDescent="0.25">
      <c r="A929" t="s">
        <v>506</v>
      </c>
      <c r="B929" s="37">
        <v>50</v>
      </c>
      <c r="C929" t="str">
        <f>_xlfn.XLOOKUP(B929,'Centro de Custo'!A$2:A$45,'Centro de Custo'!B$2:B$45)</f>
        <v>Empréstimos</v>
      </c>
      <c r="E929" s="39">
        <v>-40000</v>
      </c>
      <c r="F929" s="40" t="s">
        <v>10</v>
      </c>
      <c r="G929" s="41">
        <v>45842</v>
      </c>
      <c r="H929" s="42">
        <f>YEAR(Tabela3[[#This Row],[Data]])</f>
        <v>2025</v>
      </c>
      <c r="I929" s="42" t="str">
        <f>_xlfn.XLOOKUP(J929,'Centro de Custo'!J$2:J$13,'Centro de Custo'!K$2:K$13)</f>
        <v>Julho</v>
      </c>
      <c r="J929" s="43">
        <f>MONTH(Tabela3[[#This Row],[Data]])</f>
        <v>7</v>
      </c>
      <c r="K929" s="39">
        <f>SUM(E$3:Tabela3[[#This Row],[Valor]])</f>
        <v>30839.680000000764</v>
      </c>
      <c r="L929" s="40">
        <f t="shared" si="14"/>
        <v>2.22375</v>
      </c>
      <c r="M929" s="40"/>
      <c r="N929" s="40"/>
      <c r="O929" s="40"/>
      <c r="P929" s="39"/>
      <c r="Q929" s="39"/>
      <c r="R929" s="39"/>
      <c r="S929" s="39"/>
      <c r="T929" s="39"/>
    </row>
    <row r="930" spans="1:20" x14ac:dyDescent="0.25">
      <c r="A930" t="s">
        <v>507</v>
      </c>
      <c r="B930" s="37">
        <v>50</v>
      </c>
      <c r="C930" t="str">
        <f>_xlfn.XLOOKUP(B930,'Centro de Custo'!A$2:A$45,'Centro de Custo'!B$2:B$45)</f>
        <v>Empréstimos</v>
      </c>
      <c r="E930" s="39">
        <v>385000</v>
      </c>
      <c r="F930" s="40" t="s">
        <v>10</v>
      </c>
      <c r="G930" s="41">
        <v>45845</v>
      </c>
      <c r="H930" s="42">
        <f>YEAR(Tabela3[[#This Row],[Data]])</f>
        <v>2025</v>
      </c>
      <c r="I930" s="42" t="str">
        <f>_xlfn.XLOOKUP(J930,'Centro de Custo'!J$2:J$13,'Centro de Custo'!K$2:K$13)</f>
        <v>Julho</v>
      </c>
      <c r="J930" s="43">
        <f>MONTH(Tabela3[[#This Row],[Data]])</f>
        <v>7</v>
      </c>
      <c r="K930" s="39">
        <f>SUM(E$3:Tabela3[[#This Row],[Valor]])</f>
        <v>415839.68000000075</v>
      </c>
      <c r="L930" s="40">
        <f t="shared" si="14"/>
        <v>2.22375</v>
      </c>
      <c r="M930" s="40"/>
      <c r="N930" s="40"/>
      <c r="O930" s="40"/>
      <c r="P930" s="39"/>
      <c r="Q930" s="39"/>
      <c r="R930" s="39"/>
      <c r="S930" s="39"/>
      <c r="T930" s="39"/>
    </row>
    <row r="931" spans="1:20" x14ac:dyDescent="0.25">
      <c r="A931" t="s">
        <v>178</v>
      </c>
      <c r="B931" s="37">
        <v>20</v>
      </c>
      <c r="C931" t="str">
        <f>_xlfn.XLOOKUP(B931,'Centro de Custo'!A$2:A$45,'Centro de Custo'!B$2:B$45)</f>
        <v>Desp. ADM</v>
      </c>
      <c r="E931" s="39">
        <v>-169.9</v>
      </c>
      <c r="F931" s="40" t="s">
        <v>10</v>
      </c>
      <c r="G931" s="41">
        <v>45845</v>
      </c>
      <c r="H931" s="42">
        <f>YEAR(Tabela3[[#This Row],[Data]])</f>
        <v>2025</v>
      </c>
      <c r="I931" s="42" t="str">
        <f>_xlfn.XLOOKUP(J931,'Centro de Custo'!J$2:J$13,'Centro de Custo'!K$2:K$13)</f>
        <v>Julho</v>
      </c>
      <c r="J931" s="43">
        <f>MONTH(Tabela3[[#This Row],[Data]])</f>
        <v>7</v>
      </c>
      <c r="K931" s="39">
        <f>SUM(E$3:Tabela3[[#This Row],[Valor]])</f>
        <v>415669.7800000007</v>
      </c>
      <c r="L931" s="40">
        <f t="shared" si="14"/>
        <v>2.22375</v>
      </c>
      <c r="M931" s="40"/>
      <c r="N931" s="40"/>
      <c r="O931" s="40"/>
      <c r="P931" s="39"/>
      <c r="Q931" s="39"/>
      <c r="R931" s="39"/>
      <c r="S931" s="39"/>
      <c r="T931" s="39"/>
    </row>
    <row r="932" spans="1:20" x14ac:dyDescent="0.25">
      <c r="A932" t="s">
        <v>508</v>
      </c>
      <c r="B932" s="37">
        <v>10</v>
      </c>
      <c r="C932" t="str">
        <f>_xlfn.XLOOKUP(B932,'Centro de Custo'!A$2:A$45,'Centro de Custo'!B$2:B$45)</f>
        <v>Retirada Mensal</v>
      </c>
      <c r="E932" s="39">
        <v>-317</v>
      </c>
      <c r="F932" s="40" t="s">
        <v>10</v>
      </c>
      <c r="G932" s="41">
        <v>45845</v>
      </c>
      <c r="H932" s="42">
        <f>YEAR(Tabela3[[#This Row],[Data]])</f>
        <v>2025</v>
      </c>
      <c r="I932" s="42" t="str">
        <f>_xlfn.XLOOKUP(J932,'Centro de Custo'!J$2:J$13,'Centro de Custo'!K$2:K$13)</f>
        <v>Julho</v>
      </c>
      <c r="J932" s="43">
        <f>MONTH(Tabela3[[#This Row],[Data]])</f>
        <v>7</v>
      </c>
      <c r="K932" s="39">
        <f>SUM(E$3:Tabela3[[#This Row],[Valor]])</f>
        <v>415352.7800000007</v>
      </c>
      <c r="L932" s="40">
        <f t="shared" si="14"/>
        <v>2.22375</v>
      </c>
      <c r="M932" s="40"/>
      <c r="N932" s="40"/>
      <c r="O932" s="40"/>
      <c r="P932" s="39"/>
      <c r="Q932" s="39"/>
      <c r="R932" s="39"/>
      <c r="S932" s="39"/>
      <c r="T932" s="39"/>
    </row>
    <row r="933" spans="1:20" x14ac:dyDescent="0.25">
      <c r="A933" t="s">
        <v>167</v>
      </c>
      <c r="B933" s="37">
        <v>20</v>
      </c>
      <c r="C933" t="str">
        <f>_xlfn.XLOOKUP(B933,'Centro de Custo'!A$2:A$45,'Centro de Custo'!B$2:B$45)</f>
        <v>Desp. ADM</v>
      </c>
      <c r="E933" s="39">
        <v>-528.11</v>
      </c>
      <c r="F933" s="40" t="s">
        <v>10</v>
      </c>
      <c r="G933" s="41">
        <v>45845</v>
      </c>
      <c r="H933" s="42">
        <f>YEAR(Tabela3[[#This Row],[Data]])</f>
        <v>2025</v>
      </c>
      <c r="I933" s="42" t="str">
        <f>_xlfn.XLOOKUP(J933,'Centro de Custo'!J$2:J$13,'Centro de Custo'!K$2:K$13)</f>
        <v>Julho</v>
      </c>
      <c r="J933" s="43">
        <f>MONTH(Tabela3[[#This Row],[Data]])</f>
        <v>7</v>
      </c>
      <c r="K933" s="39">
        <f>SUM(E$3:Tabela3[[#This Row],[Valor]])</f>
        <v>414824.67000000074</v>
      </c>
      <c r="L933" s="40">
        <f t="shared" si="14"/>
        <v>2.22375</v>
      </c>
      <c r="M933" s="40"/>
      <c r="N933" s="40"/>
      <c r="O933" s="40"/>
      <c r="P933" s="39"/>
      <c r="Q933" s="39"/>
      <c r="R933" s="39"/>
      <c r="S933" s="39"/>
      <c r="T933" s="39"/>
    </row>
    <row r="934" spans="1:20" x14ac:dyDescent="0.25">
      <c r="A934" t="s">
        <v>509</v>
      </c>
      <c r="B934" s="37">
        <v>10</v>
      </c>
      <c r="C934" t="str">
        <f>_xlfn.XLOOKUP(B934,'Centro de Custo'!A$2:A$45,'Centro de Custo'!B$2:B$45)</f>
        <v>Retirada Mensal</v>
      </c>
      <c r="E934" s="39">
        <v>-1685.27</v>
      </c>
      <c r="F934" s="40" t="s">
        <v>10</v>
      </c>
      <c r="G934" s="41">
        <v>45845</v>
      </c>
      <c r="H934" s="42">
        <f>YEAR(Tabela3[[#This Row],[Data]])</f>
        <v>2025</v>
      </c>
      <c r="I934" s="42" t="str">
        <f>_xlfn.XLOOKUP(J934,'Centro de Custo'!J$2:J$13,'Centro de Custo'!K$2:K$13)</f>
        <v>Julho</v>
      </c>
      <c r="J934" s="43">
        <f>MONTH(Tabela3[[#This Row],[Data]])</f>
        <v>7</v>
      </c>
      <c r="K934" s="39">
        <f>SUM(E$3:Tabela3[[#This Row],[Valor]])</f>
        <v>413139.4000000007</v>
      </c>
      <c r="L934" s="40">
        <f t="shared" si="14"/>
        <v>2.22375</v>
      </c>
      <c r="M934" s="40"/>
      <c r="N934" s="40"/>
      <c r="O934" s="40"/>
      <c r="P934" s="39"/>
      <c r="Q934" s="39"/>
      <c r="R934" s="39"/>
      <c r="S934" s="39"/>
      <c r="T934" s="39"/>
    </row>
    <row r="935" spans="1:20" x14ac:dyDescent="0.25">
      <c r="A935" t="s">
        <v>190</v>
      </c>
      <c r="B935" s="37">
        <v>13</v>
      </c>
      <c r="C935" t="str">
        <f>_xlfn.XLOOKUP(B935,'Centro de Custo'!A$2:A$45,'Centro de Custo'!B$2:B$45)</f>
        <v>Terceirizados</v>
      </c>
      <c r="E935" s="39">
        <v>-2099.93</v>
      </c>
      <c r="F935" s="40" t="s">
        <v>10</v>
      </c>
      <c r="G935" s="41">
        <v>45845</v>
      </c>
      <c r="H935" s="42">
        <f>YEAR(Tabela3[[#This Row],[Data]])</f>
        <v>2025</v>
      </c>
      <c r="I935" s="42" t="str">
        <f>_xlfn.XLOOKUP(J935,'Centro de Custo'!J$2:J$13,'Centro de Custo'!K$2:K$13)</f>
        <v>Julho</v>
      </c>
      <c r="J935" s="43">
        <f>MONTH(Tabela3[[#This Row],[Data]])</f>
        <v>7</v>
      </c>
      <c r="K935" s="39">
        <f>SUM(E$3:Tabela3[[#This Row],[Valor]])</f>
        <v>411039.4700000007</v>
      </c>
      <c r="L935" s="40">
        <f t="shared" si="14"/>
        <v>2.22375</v>
      </c>
      <c r="M935" s="40"/>
      <c r="N935" s="40"/>
      <c r="O935" s="40"/>
      <c r="P935" s="39"/>
      <c r="Q935" s="39"/>
      <c r="R935" s="39"/>
      <c r="S935" s="39"/>
      <c r="T935" s="39"/>
    </row>
    <row r="936" spans="1:20" x14ac:dyDescent="0.25">
      <c r="A936" t="s">
        <v>190</v>
      </c>
      <c r="B936" s="37">
        <v>13</v>
      </c>
      <c r="C936" t="str">
        <f>_xlfn.XLOOKUP(B936,'Centro de Custo'!A$2:A$45,'Centro de Custo'!B$2:B$45)</f>
        <v>Terceirizados</v>
      </c>
      <c r="E936" s="39">
        <v>-4886.44</v>
      </c>
      <c r="F936" s="40" t="s">
        <v>10</v>
      </c>
      <c r="G936" s="41">
        <v>45845</v>
      </c>
      <c r="H936" s="42">
        <f>YEAR(Tabela3[[#This Row],[Data]])</f>
        <v>2025</v>
      </c>
      <c r="I936" s="42" t="str">
        <f>_xlfn.XLOOKUP(J936,'Centro de Custo'!J$2:J$13,'Centro de Custo'!K$2:K$13)</f>
        <v>Julho</v>
      </c>
      <c r="J936" s="43">
        <f>MONTH(Tabela3[[#This Row],[Data]])</f>
        <v>7</v>
      </c>
      <c r="K936" s="39">
        <f>SUM(E$3:Tabela3[[#This Row],[Valor]])</f>
        <v>406153.0300000007</v>
      </c>
      <c r="L936" s="40">
        <f t="shared" si="14"/>
        <v>2.22375</v>
      </c>
      <c r="M936" s="40"/>
      <c r="N936" s="40"/>
      <c r="O936" s="40"/>
      <c r="P936" s="39"/>
      <c r="Q936" s="39"/>
      <c r="R936" s="39"/>
      <c r="S936" s="39"/>
      <c r="T936" s="39"/>
    </row>
    <row r="937" spans="1:20" x14ac:dyDescent="0.25">
      <c r="A937" t="s">
        <v>401</v>
      </c>
      <c r="B937" s="37">
        <v>10</v>
      </c>
      <c r="C937" t="str">
        <f>_xlfn.XLOOKUP(B937,'Centro de Custo'!A$2:A$45,'Centro de Custo'!B$2:B$45)</f>
        <v>Retirada Mensal</v>
      </c>
      <c r="E937" s="39">
        <v>-10000</v>
      </c>
      <c r="F937" s="40" t="s">
        <v>10</v>
      </c>
      <c r="G937" s="41">
        <v>45845</v>
      </c>
      <c r="H937" s="42">
        <f>YEAR(Tabela3[[#This Row],[Data]])</f>
        <v>2025</v>
      </c>
      <c r="I937" s="42" t="str">
        <f>_xlfn.XLOOKUP(J937,'Centro de Custo'!J$2:J$13,'Centro de Custo'!K$2:K$13)</f>
        <v>Julho</v>
      </c>
      <c r="J937" s="43">
        <f>MONTH(Tabela3[[#This Row],[Data]])</f>
        <v>7</v>
      </c>
      <c r="K937" s="39">
        <f>SUM(E$3:Tabela3[[#This Row],[Valor]])</f>
        <v>396153.0300000007</v>
      </c>
      <c r="L937" s="40">
        <f t="shared" si="14"/>
        <v>2.22375</v>
      </c>
      <c r="M937" s="40"/>
      <c r="N937" s="40"/>
      <c r="O937" s="40"/>
      <c r="P937" s="39"/>
      <c r="Q937" s="39"/>
      <c r="R937" s="39"/>
      <c r="S937" s="39"/>
      <c r="T937" s="39"/>
    </row>
    <row r="938" spans="1:20" x14ac:dyDescent="0.25">
      <c r="A938" t="s">
        <v>58</v>
      </c>
      <c r="B938" s="37">
        <v>10</v>
      </c>
      <c r="C938" t="str">
        <f>_xlfn.XLOOKUP(B938,'Centro de Custo'!A$2:A$45,'Centro de Custo'!B$2:B$45)</f>
        <v>Retirada Mensal</v>
      </c>
      <c r="E938" s="39">
        <v>-12000</v>
      </c>
      <c r="F938" s="40" t="s">
        <v>10</v>
      </c>
      <c r="G938" s="41">
        <v>45845</v>
      </c>
      <c r="H938" s="42">
        <f>YEAR(Tabela3[[#This Row],[Data]])</f>
        <v>2025</v>
      </c>
      <c r="I938" s="42" t="str">
        <f>_xlfn.XLOOKUP(J938,'Centro de Custo'!J$2:J$13,'Centro de Custo'!K$2:K$13)</f>
        <v>Julho</v>
      </c>
      <c r="J938" s="43">
        <f>MONTH(Tabela3[[#This Row],[Data]])</f>
        <v>7</v>
      </c>
      <c r="K938" s="39">
        <f>SUM(E$3:Tabela3[[#This Row],[Valor]])</f>
        <v>384153.0300000007</v>
      </c>
      <c r="L938" s="40">
        <f t="shared" si="14"/>
        <v>2.22375</v>
      </c>
      <c r="M938" s="40"/>
      <c r="N938" s="40"/>
      <c r="O938" s="40"/>
      <c r="P938" s="39"/>
      <c r="Q938" s="39"/>
      <c r="R938" s="39"/>
      <c r="S938" s="39"/>
      <c r="T938" s="39"/>
    </row>
    <row r="939" spans="1:20" x14ac:dyDescent="0.25">
      <c r="A939" t="s">
        <v>507</v>
      </c>
      <c r="B939" s="37">
        <v>50</v>
      </c>
      <c r="C939" t="str">
        <f>_xlfn.XLOOKUP(B939,'Centro de Custo'!A$2:A$45,'Centro de Custo'!B$2:B$45)</f>
        <v>Empréstimos</v>
      </c>
      <c r="E939" s="39">
        <v>265000</v>
      </c>
      <c r="F939" s="40" t="s">
        <v>10</v>
      </c>
      <c r="G939" s="41">
        <v>45846</v>
      </c>
      <c r="H939" s="42">
        <f>YEAR(Tabela3[[#This Row],[Data]])</f>
        <v>2025</v>
      </c>
      <c r="I939" s="42" t="str">
        <f>_xlfn.XLOOKUP(J939,'Centro de Custo'!J$2:J$13,'Centro de Custo'!K$2:K$13)</f>
        <v>Julho</v>
      </c>
      <c r="J939" s="43">
        <f>MONTH(Tabela3[[#This Row],[Data]])</f>
        <v>7</v>
      </c>
      <c r="K939" s="39">
        <f>SUM(E$3:Tabela3[[#This Row],[Valor]])</f>
        <v>649153.0300000007</v>
      </c>
      <c r="L939" s="40">
        <f t="shared" si="14"/>
        <v>2.22375</v>
      </c>
      <c r="M939" s="40"/>
      <c r="N939" s="40"/>
      <c r="O939" s="40"/>
      <c r="P939" s="39"/>
      <c r="Q939" s="39"/>
      <c r="R939" s="39"/>
      <c r="S939" s="39"/>
      <c r="T939" s="39"/>
    </row>
    <row r="940" spans="1:20" x14ac:dyDescent="0.25">
      <c r="A940" t="s">
        <v>500</v>
      </c>
      <c r="B940" s="37">
        <v>50</v>
      </c>
      <c r="C940" t="str">
        <f>_xlfn.XLOOKUP(B940,'Centro de Custo'!A$2:A$45,'Centro de Custo'!B$2:B$45)</f>
        <v>Empréstimos</v>
      </c>
      <c r="E940" s="39">
        <v>235000</v>
      </c>
      <c r="F940" s="40" t="s">
        <v>10</v>
      </c>
      <c r="G940" s="41">
        <v>45846</v>
      </c>
      <c r="H940" s="42">
        <f>YEAR(Tabela3[[#This Row],[Data]])</f>
        <v>2025</v>
      </c>
      <c r="I940" s="42" t="str">
        <f>_xlfn.XLOOKUP(J940,'Centro de Custo'!J$2:J$13,'Centro de Custo'!K$2:K$13)</f>
        <v>Julho</v>
      </c>
      <c r="J940" s="43">
        <f>MONTH(Tabela3[[#This Row],[Data]])</f>
        <v>7</v>
      </c>
      <c r="K940" s="39">
        <f>SUM(E$3:Tabela3[[#This Row],[Valor]])</f>
        <v>884153.0300000007</v>
      </c>
      <c r="L940" s="40">
        <f t="shared" si="14"/>
        <v>2.22375</v>
      </c>
      <c r="M940" s="40"/>
      <c r="N940" s="40"/>
      <c r="O940" s="40"/>
      <c r="P940" s="39"/>
      <c r="Q940" s="39"/>
      <c r="R940" s="39"/>
      <c r="S940" s="39"/>
      <c r="T940" s="39"/>
    </row>
    <row r="941" spans="1:20" x14ac:dyDescent="0.25">
      <c r="A941" t="s">
        <v>383</v>
      </c>
      <c r="B941" s="37">
        <v>12</v>
      </c>
      <c r="C941" t="str">
        <f>_xlfn.XLOOKUP(B941,'Centro de Custo'!A$2:A$45,'Centro de Custo'!B$2:B$45)</f>
        <v>Direitos Autorais Terceiros</v>
      </c>
      <c r="E941" s="39">
        <v>-5000</v>
      </c>
      <c r="F941" s="40" t="s">
        <v>10</v>
      </c>
      <c r="G941" s="41">
        <v>45846</v>
      </c>
      <c r="H941" s="42">
        <f>YEAR(Tabela3[[#This Row],[Data]])</f>
        <v>2025</v>
      </c>
      <c r="I941" s="42" t="str">
        <f>_xlfn.XLOOKUP(J941,'Centro de Custo'!J$2:J$13,'Centro de Custo'!K$2:K$13)</f>
        <v>Julho</v>
      </c>
      <c r="J941" s="43">
        <f>MONTH(Tabela3[[#This Row],[Data]])</f>
        <v>7</v>
      </c>
      <c r="K941" s="39">
        <f>SUM(E$3:Tabela3[[#This Row],[Valor]])</f>
        <v>879153.0300000007</v>
      </c>
      <c r="L941" s="40">
        <f t="shared" si="14"/>
        <v>2.22375</v>
      </c>
      <c r="M941" s="40"/>
      <c r="N941" s="40"/>
      <c r="O941" s="40"/>
      <c r="P941" s="39"/>
      <c r="Q941" s="39"/>
      <c r="R941" s="39"/>
      <c r="S941" s="39"/>
      <c r="T941" s="39"/>
    </row>
    <row r="942" spans="1:20" x14ac:dyDescent="0.25">
      <c r="A942" t="s">
        <v>111</v>
      </c>
      <c r="B942" s="37">
        <v>10</v>
      </c>
      <c r="C942" t="str">
        <f>_xlfn.XLOOKUP(B942,'Centro de Custo'!A$2:A$45,'Centro de Custo'!B$2:B$45)</f>
        <v>Retirada Mensal</v>
      </c>
      <c r="E942" s="39">
        <v>-12000</v>
      </c>
      <c r="F942" s="40" t="s">
        <v>10</v>
      </c>
      <c r="G942" s="41">
        <v>45846</v>
      </c>
      <c r="H942" s="42">
        <f>YEAR(Tabela3[[#This Row],[Data]])</f>
        <v>2025</v>
      </c>
      <c r="I942" s="42" t="str">
        <f>_xlfn.XLOOKUP(J942,'Centro de Custo'!J$2:J$13,'Centro de Custo'!K$2:K$13)</f>
        <v>Julho</v>
      </c>
      <c r="J942" s="43">
        <f>MONTH(Tabela3[[#This Row],[Data]])</f>
        <v>7</v>
      </c>
      <c r="K942" s="39">
        <f>SUM(E$3:Tabela3[[#This Row],[Valor]])</f>
        <v>867153.0300000007</v>
      </c>
      <c r="L942" s="40">
        <f t="shared" si="14"/>
        <v>2.22375</v>
      </c>
      <c r="M942" s="40"/>
      <c r="N942" s="40"/>
      <c r="O942" s="40"/>
      <c r="P942" s="39"/>
      <c r="Q942" s="39"/>
      <c r="R942" s="39"/>
      <c r="S942" s="39"/>
      <c r="T942" s="39"/>
    </row>
    <row r="943" spans="1:20" x14ac:dyDescent="0.25">
      <c r="A943" t="s">
        <v>510</v>
      </c>
      <c r="B943" s="37">
        <v>22</v>
      </c>
      <c r="C943" t="str">
        <f>_xlfn.XLOOKUP(B943,'Centro de Custo'!A$2:A$45,'Centro de Custo'!B$2:B$45)</f>
        <v>Doação</v>
      </c>
      <c r="E943" s="39">
        <v>-13000</v>
      </c>
      <c r="F943" s="40" t="s">
        <v>10</v>
      </c>
      <c r="G943" s="41">
        <v>45846</v>
      </c>
      <c r="H943" s="42">
        <f>YEAR(Tabela3[[#This Row],[Data]])</f>
        <v>2025</v>
      </c>
      <c r="I943" s="42" t="str">
        <f>_xlfn.XLOOKUP(J943,'Centro de Custo'!J$2:J$13,'Centro de Custo'!K$2:K$13)</f>
        <v>Julho</v>
      </c>
      <c r="J943" s="43">
        <f>MONTH(Tabela3[[#This Row],[Data]])</f>
        <v>7</v>
      </c>
      <c r="K943" s="39">
        <f>SUM(E$3:Tabela3[[#This Row],[Valor]])</f>
        <v>854153.0300000007</v>
      </c>
      <c r="L943" s="40">
        <f t="shared" si="14"/>
        <v>2.22375</v>
      </c>
      <c r="M943" s="40"/>
      <c r="N943" s="40"/>
      <c r="O943" s="40"/>
      <c r="P943" s="39"/>
      <c r="Q943" s="39"/>
      <c r="R943" s="39"/>
      <c r="S943" s="39"/>
      <c r="T943" s="39"/>
    </row>
    <row r="944" spans="1:20" x14ac:dyDescent="0.25">
      <c r="A944" t="s">
        <v>510</v>
      </c>
      <c r="B944" s="37">
        <v>22</v>
      </c>
      <c r="C944" t="str">
        <f>_xlfn.XLOOKUP(B944,'Centro de Custo'!A$2:A$45,'Centro de Custo'!B$2:B$45)</f>
        <v>Doação</v>
      </c>
      <c r="E944" s="39">
        <v>-15000</v>
      </c>
      <c r="F944" s="40" t="s">
        <v>10</v>
      </c>
      <c r="G944" s="41">
        <v>45846</v>
      </c>
      <c r="H944" s="42">
        <f>YEAR(Tabela3[[#This Row],[Data]])</f>
        <v>2025</v>
      </c>
      <c r="I944" s="42" t="str">
        <f>_xlfn.XLOOKUP(J944,'Centro de Custo'!J$2:J$13,'Centro de Custo'!K$2:K$13)</f>
        <v>Julho</v>
      </c>
      <c r="J944" s="43">
        <f>MONTH(Tabela3[[#This Row],[Data]])</f>
        <v>7</v>
      </c>
      <c r="K944" s="39">
        <f>SUM(E$3:Tabela3[[#This Row],[Valor]])</f>
        <v>839153.0300000007</v>
      </c>
      <c r="L944" s="40">
        <f t="shared" si="14"/>
        <v>2.22375</v>
      </c>
      <c r="M944" s="40"/>
      <c r="N944" s="40"/>
      <c r="O944" s="40"/>
      <c r="P944" s="39"/>
      <c r="Q944" s="39"/>
      <c r="R944" s="39"/>
      <c r="S944" s="39"/>
      <c r="T944" s="39"/>
    </row>
    <row r="945" spans="1:20" x14ac:dyDescent="0.25">
      <c r="A945" t="s">
        <v>511</v>
      </c>
      <c r="B945" s="37">
        <v>50</v>
      </c>
      <c r="C945" t="str">
        <f>_xlfn.XLOOKUP(B945,'Centro de Custo'!A$2:A$45,'Centro de Custo'!B$2:B$45)</f>
        <v>Empréstimos</v>
      </c>
      <c r="E945" s="39">
        <v>-250000</v>
      </c>
      <c r="F945" s="40" t="s">
        <v>10</v>
      </c>
      <c r="G945" s="41">
        <v>45846</v>
      </c>
      <c r="H945" s="42">
        <f>YEAR(Tabela3[[#This Row],[Data]])</f>
        <v>2025</v>
      </c>
      <c r="I945" s="42" t="str">
        <f>_xlfn.XLOOKUP(J945,'Centro de Custo'!J$2:J$13,'Centro de Custo'!K$2:K$13)</f>
        <v>Julho</v>
      </c>
      <c r="J945" s="43">
        <f>MONTH(Tabela3[[#This Row],[Data]])</f>
        <v>7</v>
      </c>
      <c r="K945" s="39">
        <f>SUM(E$3:Tabela3[[#This Row],[Valor]])</f>
        <v>589153.0300000007</v>
      </c>
      <c r="L945" s="40">
        <f t="shared" si="14"/>
        <v>2.22375</v>
      </c>
      <c r="M945" s="40"/>
      <c r="N945" s="40"/>
      <c r="O945" s="40"/>
      <c r="P945" s="39"/>
      <c r="Q945" s="39"/>
      <c r="R945" s="39"/>
      <c r="S945" s="39"/>
      <c r="T945" s="39"/>
    </row>
    <row r="946" spans="1:20" x14ac:dyDescent="0.25">
      <c r="A946" t="s">
        <v>500</v>
      </c>
      <c r="B946" s="37">
        <v>50</v>
      </c>
      <c r="C946" t="str">
        <f>_xlfn.XLOOKUP(B946,'Centro de Custo'!A$2:A$45,'Centro de Custo'!B$2:B$45)</f>
        <v>Empréstimos</v>
      </c>
      <c r="E946" s="39">
        <v>15000</v>
      </c>
      <c r="F946" s="40" t="s">
        <v>10</v>
      </c>
      <c r="G946" s="41">
        <v>45847</v>
      </c>
      <c r="H946" s="42">
        <f>YEAR(Tabela3[[#This Row],[Data]])</f>
        <v>2025</v>
      </c>
      <c r="I946" s="42" t="str">
        <f>_xlfn.XLOOKUP(J946,'Centro de Custo'!J$2:J$13,'Centro de Custo'!K$2:K$13)</f>
        <v>Julho</v>
      </c>
      <c r="J946" s="43">
        <f>MONTH(Tabela3[[#This Row],[Data]])</f>
        <v>7</v>
      </c>
      <c r="K946" s="39">
        <f>SUM(E$3:Tabela3[[#This Row],[Valor]])</f>
        <v>604153.0300000007</v>
      </c>
      <c r="L946" s="40">
        <f t="shared" si="14"/>
        <v>2.22375</v>
      </c>
      <c r="M946" s="40"/>
      <c r="N946" s="40"/>
      <c r="O946" s="40"/>
      <c r="P946" s="39"/>
      <c r="Q946" s="39"/>
      <c r="R946" s="39"/>
      <c r="S946" s="39"/>
      <c r="T946" s="39"/>
    </row>
    <row r="947" spans="1:20" x14ac:dyDescent="0.25">
      <c r="A947" t="s">
        <v>486</v>
      </c>
      <c r="B947" s="37">
        <v>20</v>
      </c>
      <c r="C947" t="str">
        <f>_xlfn.XLOOKUP(B947,'Centro de Custo'!A$2:A$45,'Centro de Custo'!B$2:B$45)</f>
        <v>Desp. ADM</v>
      </c>
      <c r="E947" s="39">
        <v>-27.4</v>
      </c>
      <c r="F947" s="40" t="s">
        <v>10</v>
      </c>
      <c r="G947" s="41">
        <v>45847</v>
      </c>
      <c r="H947" s="42">
        <f>YEAR(Tabela3[[#This Row],[Data]])</f>
        <v>2025</v>
      </c>
      <c r="I947" s="42" t="str">
        <f>_xlfn.XLOOKUP(J947,'Centro de Custo'!J$2:J$13,'Centro de Custo'!K$2:K$13)</f>
        <v>Julho</v>
      </c>
      <c r="J947" s="43">
        <f>MONTH(Tabela3[[#This Row],[Data]])</f>
        <v>7</v>
      </c>
      <c r="K947" s="39">
        <f>SUM(E$3:Tabela3[[#This Row],[Valor]])</f>
        <v>604125.6300000007</v>
      </c>
      <c r="L947" s="40">
        <f t="shared" si="14"/>
        <v>2.22375</v>
      </c>
      <c r="M947" s="40"/>
      <c r="N947" s="40"/>
      <c r="O947" s="40"/>
      <c r="P947" s="39"/>
      <c r="Q947" s="39"/>
      <c r="R947" s="39"/>
      <c r="S947" s="39"/>
      <c r="T947" s="39"/>
    </row>
    <row r="948" spans="1:20" x14ac:dyDescent="0.25">
      <c r="A948" t="s">
        <v>486</v>
      </c>
      <c r="B948" s="37">
        <v>14</v>
      </c>
      <c r="C948" t="str">
        <f>_xlfn.XLOOKUP(B948,'Centro de Custo'!A$2:A$45,'Centro de Custo'!B$2:B$45)</f>
        <v>Outros</v>
      </c>
      <c r="E948" s="39">
        <v>-76</v>
      </c>
      <c r="F948" s="40" t="s">
        <v>10</v>
      </c>
      <c r="G948" s="41">
        <v>45847</v>
      </c>
      <c r="H948" s="42">
        <f>YEAR(Tabela3[[#This Row],[Data]])</f>
        <v>2025</v>
      </c>
      <c r="I948" s="42" t="str">
        <f>_xlfn.XLOOKUP(J948,'Centro de Custo'!J$2:J$13,'Centro de Custo'!K$2:K$13)</f>
        <v>Julho</v>
      </c>
      <c r="J948" s="43">
        <f>MONTH(Tabela3[[#This Row],[Data]])</f>
        <v>7</v>
      </c>
      <c r="K948" s="39">
        <f>SUM(E$3:Tabela3[[#This Row],[Valor]])</f>
        <v>604049.6300000007</v>
      </c>
      <c r="L948" s="40">
        <f t="shared" si="14"/>
        <v>2.22375</v>
      </c>
      <c r="M948" s="40"/>
      <c r="N948" s="40"/>
      <c r="O948" s="40"/>
      <c r="P948" s="39"/>
      <c r="Q948" s="39"/>
      <c r="R948" s="39"/>
      <c r="S948" s="39"/>
      <c r="T948" s="39"/>
    </row>
    <row r="949" spans="1:20" x14ac:dyDescent="0.25">
      <c r="A949" t="s">
        <v>484</v>
      </c>
      <c r="B949" s="37">
        <v>43</v>
      </c>
      <c r="C949" t="str">
        <f>_xlfn.XLOOKUP(B949,'Centro de Custo'!A$2:A$45,'Centro de Custo'!B$2:B$45)</f>
        <v>Setor Privado</v>
      </c>
      <c r="E949" s="39">
        <v>-15000</v>
      </c>
      <c r="F949" s="40" t="s">
        <v>10</v>
      </c>
      <c r="G949" s="41">
        <v>45847</v>
      </c>
      <c r="H949" s="42">
        <f>YEAR(Tabela3[[#This Row],[Data]])</f>
        <v>2025</v>
      </c>
      <c r="I949" s="42" t="str">
        <f>_xlfn.XLOOKUP(J949,'Centro de Custo'!J$2:J$13,'Centro de Custo'!K$2:K$13)</f>
        <v>Julho</v>
      </c>
      <c r="J949" s="43">
        <f>MONTH(Tabela3[[#This Row],[Data]])</f>
        <v>7</v>
      </c>
      <c r="K949" s="39">
        <f>SUM(E$3:Tabela3[[#This Row],[Valor]])</f>
        <v>589049.6300000007</v>
      </c>
      <c r="L949" s="40">
        <f t="shared" si="14"/>
        <v>2.22375</v>
      </c>
      <c r="M949" s="40"/>
      <c r="N949" s="40"/>
      <c r="O949" s="40"/>
      <c r="P949" s="39"/>
      <c r="Q949" s="39"/>
      <c r="R949" s="39"/>
      <c r="S949" s="39"/>
      <c r="T949" s="39"/>
    </row>
    <row r="950" spans="1:20" x14ac:dyDescent="0.25">
      <c r="A950" t="s">
        <v>512</v>
      </c>
      <c r="B950" s="37">
        <v>20</v>
      </c>
      <c r="C950" t="str">
        <f>_xlfn.XLOOKUP(B950,'Centro de Custo'!A$2:A$45,'Centro de Custo'!B$2:B$45)</f>
        <v>Desp. ADM</v>
      </c>
      <c r="E950" s="39">
        <v>-2600</v>
      </c>
      <c r="F950" s="40" t="s">
        <v>10</v>
      </c>
      <c r="G950" s="41">
        <v>45848</v>
      </c>
      <c r="H950" s="42">
        <f>YEAR(Tabela3[[#This Row],[Data]])</f>
        <v>2025</v>
      </c>
      <c r="I950" s="42" t="str">
        <f>_xlfn.XLOOKUP(J950,'Centro de Custo'!J$2:J$13,'Centro de Custo'!K$2:K$13)</f>
        <v>Julho</v>
      </c>
      <c r="J950" s="43">
        <f>MONTH(Tabela3[[#This Row],[Data]])</f>
        <v>7</v>
      </c>
      <c r="K950" s="39">
        <f>SUM(E$3:Tabela3[[#This Row],[Valor]])</f>
        <v>586449.6300000007</v>
      </c>
      <c r="L950" s="40">
        <f t="shared" si="14"/>
        <v>2.22375</v>
      </c>
      <c r="M950" s="40"/>
      <c r="N950" s="40"/>
      <c r="O950" s="40"/>
      <c r="P950" s="39"/>
      <c r="Q950" s="39"/>
      <c r="R950" s="39"/>
      <c r="S950" s="39"/>
      <c r="T950" s="39"/>
    </row>
    <row r="951" spans="1:20" x14ac:dyDescent="0.25">
      <c r="A951" t="s">
        <v>244</v>
      </c>
      <c r="B951" s="37">
        <v>13</v>
      </c>
      <c r="C951" t="str">
        <f>_xlfn.XLOOKUP(B951,'Centro de Custo'!A$2:A$45,'Centro de Custo'!B$2:B$45)</f>
        <v>Terceirizados</v>
      </c>
      <c r="E951" s="39">
        <v>-550</v>
      </c>
      <c r="F951" s="40" t="s">
        <v>10</v>
      </c>
      <c r="G951" s="41">
        <v>45849</v>
      </c>
      <c r="H951" s="42">
        <f>YEAR(Tabela3[[#This Row],[Data]])</f>
        <v>2025</v>
      </c>
      <c r="I951" s="42" t="str">
        <f>_xlfn.XLOOKUP(J951,'Centro de Custo'!J$2:J$13,'Centro de Custo'!K$2:K$13)</f>
        <v>Julho</v>
      </c>
      <c r="J951" s="43">
        <f>MONTH(Tabela3[[#This Row],[Data]])</f>
        <v>7</v>
      </c>
      <c r="K951" s="39">
        <f>SUM(E$3:Tabela3[[#This Row],[Valor]])</f>
        <v>585899.6300000007</v>
      </c>
      <c r="L951" s="40">
        <f t="shared" si="14"/>
        <v>2.22375</v>
      </c>
      <c r="M951" s="40"/>
      <c r="N951" s="40"/>
      <c r="O951" s="40"/>
      <c r="P951" s="39"/>
      <c r="Q951" s="39"/>
      <c r="R951" s="39"/>
      <c r="S951" s="39"/>
      <c r="T951" s="39"/>
    </row>
    <row r="952" spans="1:20" x14ac:dyDescent="0.25">
      <c r="A952" t="s">
        <v>513</v>
      </c>
      <c r="B952" s="37">
        <v>20</v>
      </c>
      <c r="C952" t="str">
        <f>_xlfn.XLOOKUP(B952,'Centro de Custo'!A$2:A$45,'Centro de Custo'!B$2:B$45)</f>
        <v>Desp. ADM</v>
      </c>
      <c r="E952" s="39">
        <v>-320</v>
      </c>
      <c r="F952" s="40" t="s">
        <v>10</v>
      </c>
      <c r="G952" s="41">
        <v>45852</v>
      </c>
      <c r="H952" s="42">
        <f>YEAR(Tabela3[[#This Row],[Data]])</f>
        <v>2025</v>
      </c>
      <c r="I952" s="42" t="str">
        <f>_xlfn.XLOOKUP(J952,'Centro de Custo'!J$2:J$13,'Centro de Custo'!K$2:K$13)</f>
        <v>Julho</v>
      </c>
      <c r="J952" s="43">
        <f>MONTH(Tabela3[[#This Row],[Data]])</f>
        <v>7</v>
      </c>
      <c r="K952" s="39">
        <f>SUM(E$3:Tabela3[[#This Row],[Valor]])</f>
        <v>585579.6300000007</v>
      </c>
      <c r="L952" s="40">
        <f t="shared" si="14"/>
        <v>2.22375</v>
      </c>
      <c r="M952" s="40"/>
      <c r="N952" s="40"/>
      <c r="O952" s="40"/>
      <c r="P952" s="39"/>
      <c r="Q952" s="39"/>
      <c r="R952" s="39"/>
      <c r="S952" s="39"/>
      <c r="T952" s="39"/>
    </row>
    <row r="953" spans="1:20" x14ac:dyDescent="0.25">
      <c r="A953" t="s">
        <v>514</v>
      </c>
      <c r="B953" s="37">
        <v>20</v>
      </c>
      <c r="C953" t="str">
        <f>_xlfn.XLOOKUP(B953,'Centro de Custo'!A$2:A$45,'Centro de Custo'!B$2:B$45)</f>
        <v>Desp. ADM</v>
      </c>
      <c r="E953" s="39">
        <v>-1020</v>
      </c>
      <c r="F953" s="40" t="s">
        <v>10</v>
      </c>
      <c r="G953" s="41">
        <v>45853</v>
      </c>
      <c r="H953" s="42">
        <f>YEAR(Tabela3[[#This Row],[Data]])</f>
        <v>2025</v>
      </c>
      <c r="I953" s="42" t="str">
        <f>_xlfn.XLOOKUP(J953,'Centro de Custo'!J$2:J$13,'Centro de Custo'!K$2:K$13)</f>
        <v>Julho</v>
      </c>
      <c r="J953" s="43">
        <f>MONTH(Tabela3[[#This Row],[Data]])</f>
        <v>7</v>
      </c>
      <c r="K953" s="39">
        <f>SUM(E$3:Tabela3[[#This Row],[Valor]])</f>
        <v>584559.6300000007</v>
      </c>
      <c r="L953" s="40">
        <f t="shared" si="14"/>
        <v>2.22375</v>
      </c>
      <c r="M953" s="40"/>
      <c r="N953" s="40"/>
      <c r="O953" s="40"/>
      <c r="P953" s="39"/>
      <c r="Q953" s="39"/>
      <c r="R953" s="39"/>
      <c r="S953" s="39"/>
      <c r="T953" s="39"/>
    </row>
    <row r="954" spans="1:20" x14ac:dyDescent="0.25">
      <c r="A954" t="s">
        <v>389</v>
      </c>
      <c r="B954" s="37">
        <v>30</v>
      </c>
      <c r="C954" t="str">
        <f>_xlfn.XLOOKUP(B954,'Centro de Custo'!A$2:A$45,'Centro de Custo'!B$2:B$45)</f>
        <v>Impostos</v>
      </c>
      <c r="E954" s="39">
        <v>-1657.74</v>
      </c>
      <c r="F954" s="40" t="s">
        <v>10</v>
      </c>
      <c r="G954" s="41">
        <v>45853</v>
      </c>
      <c r="H954" s="42">
        <f>YEAR(Tabela3[[#This Row],[Data]])</f>
        <v>2025</v>
      </c>
      <c r="I954" s="42" t="str">
        <f>_xlfn.XLOOKUP(J954,'Centro de Custo'!J$2:J$13,'Centro de Custo'!K$2:K$13)</f>
        <v>Julho</v>
      </c>
      <c r="J954" s="43">
        <f>MONTH(Tabela3[[#This Row],[Data]])</f>
        <v>7</v>
      </c>
      <c r="K954" s="39">
        <f>SUM(E$3:Tabela3[[#This Row],[Valor]])</f>
        <v>582901.8900000007</v>
      </c>
      <c r="L954" s="40">
        <f t="shared" si="14"/>
        <v>2.22375</v>
      </c>
      <c r="M954" s="40"/>
      <c r="N954" s="40"/>
      <c r="O954" s="40"/>
      <c r="P954" s="39"/>
      <c r="Q954" s="39"/>
      <c r="R954" s="39">
        <v>7600</v>
      </c>
      <c r="S954" s="39"/>
      <c r="T954" s="39"/>
    </row>
    <row r="955" spans="1:20" x14ac:dyDescent="0.25">
      <c r="A955" t="s">
        <v>515</v>
      </c>
      <c r="B955" s="37">
        <v>20</v>
      </c>
      <c r="C955" t="str">
        <f>_xlfn.XLOOKUP(B955,'Centro de Custo'!A$2:A$45,'Centro de Custo'!B$2:B$45)</f>
        <v>Desp. ADM</v>
      </c>
      <c r="E955" s="39">
        <v>-1989</v>
      </c>
      <c r="F955" s="40" t="s">
        <v>10</v>
      </c>
      <c r="G955" s="41">
        <v>45853</v>
      </c>
      <c r="H955" s="42">
        <f>YEAR(Tabela3[[#This Row],[Data]])</f>
        <v>2025</v>
      </c>
      <c r="I955" s="42" t="str">
        <f>_xlfn.XLOOKUP(J955,'Centro de Custo'!J$2:J$13,'Centro de Custo'!K$2:K$13)</f>
        <v>Julho</v>
      </c>
      <c r="J955" s="43">
        <f>MONTH(Tabela3[[#This Row],[Data]])</f>
        <v>7</v>
      </c>
      <c r="K955" s="39">
        <f>SUM(E$3:Tabela3[[#This Row],[Valor]])</f>
        <v>580912.8900000007</v>
      </c>
      <c r="L955" s="40">
        <f t="shared" si="14"/>
        <v>2.22375</v>
      </c>
      <c r="M955" s="40"/>
      <c r="N955" s="40"/>
      <c r="O955" s="40"/>
      <c r="P955" s="39"/>
      <c r="Q955" s="39"/>
      <c r="R955" s="39"/>
      <c r="S955" s="39"/>
      <c r="T955" s="39"/>
    </row>
    <row r="956" spans="1:20" x14ac:dyDescent="0.25">
      <c r="A956" t="s">
        <v>459</v>
      </c>
      <c r="B956" s="37">
        <v>5</v>
      </c>
      <c r="C956" t="str">
        <f>_xlfn.XLOOKUP(B956,'Centro de Custo'!A$2:A$45,'Centro de Custo'!B$2:B$45)</f>
        <v>Consultoria</v>
      </c>
      <c r="E956" s="39">
        <v>-192000</v>
      </c>
      <c r="F956" s="40" t="s">
        <v>10</v>
      </c>
      <c r="G956" s="41">
        <v>45853</v>
      </c>
      <c r="H956" s="42">
        <f>YEAR(Tabela3[[#This Row],[Data]])</f>
        <v>2025</v>
      </c>
      <c r="I956" s="42" t="str">
        <f>_xlfn.XLOOKUP(J956,'Centro de Custo'!J$2:J$13,'Centro de Custo'!K$2:K$13)</f>
        <v>Julho</v>
      </c>
      <c r="J956" s="43">
        <f>MONTH(Tabela3[[#This Row],[Data]])</f>
        <v>7</v>
      </c>
      <c r="K956" s="39">
        <f>SUM(E$3:Tabela3[[#This Row],[Valor]])</f>
        <v>388912.8900000007</v>
      </c>
      <c r="L956" s="40">
        <f t="shared" si="14"/>
        <v>2.22375</v>
      </c>
      <c r="M956" s="40"/>
      <c r="N956" s="40"/>
      <c r="O956" s="40"/>
      <c r="P956" s="39"/>
      <c r="Q956" s="39"/>
      <c r="R956" s="39"/>
      <c r="S956" s="39"/>
      <c r="T956" s="39"/>
    </row>
    <row r="957" spans="1:20" x14ac:dyDescent="0.25">
      <c r="A957" t="s">
        <v>516</v>
      </c>
      <c r="B957" s="37">
        <v>20</v>
      </c>
      <c r="C957" t="str">
        <f>_xlfn.XLOOKUP(B957,'Centro de Custo'!A$2:A$45,'Centro de Custo'!B$2:B$45)</f>
        <v>Desp. ADM</v>
      </c>
      <c r="E957" s="39">
        <v>-355.35</v>
      </c>
      <c r="F957" s="40" t="s">
        <v>10</v>
      </c>
      <c r="G957" s="41">
        <v>45854</v>
      </c>
      <c r="H957" s="42">
        <f>YEAR(Tabela3[[#This Row],[Data]])</f>
        <v>2025</v>
      </c>
      <c r="I957" s="42" t="str">
        <f>_xlfn.XLOOKUP(J957,'Centro de Custo'!J$2:J$13,'Centro de Custo'!K$2:K$13)</f>
        <v>Julho</v>
      </c>
      <c r="J957" s="43">
        <f>MONTH(Tabela3[[#This Row],[Data]])</f>
        <v>7</v>
      </c>
      <c r="K957" s="39">
        <f>SUM(E$3:Tabela3[[#This Row],[Valor]])</f>
        <v>388557.54000000074</v>
      </c>
      <c r="L957" s="40">
        <f t="shared" si="14"/>
        <v>2.22375</v>
      </c>
      <c r="M957" s="40"/>
      <c r="N957" s="40"/>
      <c r="O957" s="40"/>
      <c r="P957" s="39"/>
      <c r="Q957" s="39"/>
      <c r="R957" s="39"/>
      <c r="S957" s="39"/>
      <c r="T957" s="39"/>
    </row>
    <row r="958" ht="18" customHeight="1" spans="1:20" x14ac:dyDescent="0.25">
      <c r="A958" t="s">
        <v>517</v>
      </c>
      <c r="B958" s="37">
        <v>20</v>
      </c>
      <c r="C958" t="str">
        <f>_xlfn.XLOOKUP(B958,'Centro de Custo'!A$2:A$45,'Centro de Custo'!B$2:B$45)</f>
        <v>Desp. ADM</v>
      </c>
      <c r="E958" s="39">
        <v>-755.98</v>
      </c>
      <c r="F958" s="40" t="s">
        <v>10</v>
      </c>
      <c r="G958" s="41">
        <v>45854</v>
      </c>
      <c r="H958" s="42">
        <f>YEAR(Tabela3[[#This Row],[Data]])</f>
        <v>2025</v>
      </c>
      <c r="I958" s="42" t="str">
        <f>_xlfn.XLOOKUP(J958,'Centro de Custo'!J$2:J$13,'Centro de Custo'!K$2:K$13)</f>
        <v>Julho</v>
      </c>
      <c r="J958" s="43">
        <f>MONTH(Tabela3[[#This Row],[Data]])</f>
        <v>7</v>
      </c>
      <c r="K958" s="39">
        <f>SUM(E$3:Tabela3[[#This Row],[Valor]])</f>
        <v>387801.56000000075</v>
      </c>
      <c r="L958" s="40">
        <f t="shared" si="14"/>
        <v>2.22375</v>
      </c>
      <c r="M958" s="57"/>
      <c r="N958" s="40"/>
      <c r="O958" s="40"/>
      <c r="P958" s="39"/>
      <c r="Q958" s="39"/>
      <c r="R958" s="39"/>
      <c r="S958" s="39"/>
      <c r="T958" s="39"/>
    </row>
    <row r="959" spans="1:20" x14ac:dyDescent="0.25">
      <c r="A959" t="s">
        <v>424</v>
      </c>
      <c r="B959" s="37">
        <v>40</v>
      </c>
      <c r="C959" t="str">
        <f>_xlfn.XLOOKUP(B959,'Centro de Custo'!A$2:A$45,'Centro de Custo'!B$2:B$45)</f>
        <v>Aplicação Financeira</v>
      </c>
      <c r="E959" s="39">
        <v>-350000</v>
      </c>
      <c r="F959" s="40" t="s">
        <v>10</v>
      </c>
      <c r="G959" s="41">
        <v>45854</v>
      </c>
      <c r="H959" s="42">
        <f>YEAR(Tabela3[[#This Row],[Data]])</f>
        <v>2025</v>
      </c>
      <c r="I959" s="42" t="str">
        <f>_xlfn.XLOOKUP(J959,'Centro de Custo'!J$2:J$13,'Centro de Custo'!K$2:K$13)</f>
        <v>Julho</v>
      </c>
      <c r="J959" s="43">
        <f>MONTH(Tabela3[[#This Row],[Data]])</f>
        <v>7</v>
      </c>
      <c r="K959" s="39">
        <f>SUM(E$3:Tabela3[[#This Row],[Valor]])</f>
        <v>37801.560000000754</v>
      </c>
      <c r="L959" s="40">
        <f t="shared" si="14"/>
        <v>2.22375</v>
      </c>
      <c r="M959" s="40"/>
      <c r="N959" s="40"/>
      <c r="O959" s="40"/>
      <c r="P959" s="39"/>
      <c r="Q959" s="39"/>
      <c r="R959" s="39"/>
      <c r="S959" s="39"/>
      <c r="T959" s="39"/>
    </row>
    <row r="960" spans="1:20" x14ac:dyDescent="0.25">
      <c r="A960" t="s">
        <v>518</v>
      </c>
      <c r="B960" s="37">
        <v>20</v>
      </c>
      <c r="C960" t="str">
        <f>_xlfn.XLOOKUP(B960,'Centro de Custo'!A$2:A$45,'Centro de Custo'!B$2:B$45)</f>
        <v>Desp. ADM</v>
      </c>
      <c r="E960" s="39">
        <v>-1990</v>
      </c>
      <c r="F960" s="40" t="s">
        <v>10</v>
      </c>
      <c r="G960" s="41">
        <v>45856</v>
      </c>
      <c r="H960" s="42">
        <f>YEAR(Tabela3[[#This Row],[Data]])</f>
        <v>2025</v>
      </c>
      <c r="I960" s="42" t="str">
        <f>_xlfn.XLOOKUP(J960,'Centro de Custo'!J$2:J$13,'Centro de Custo'!K$2:K$13)</f>
        <v>Julho</v>
      </c>
      <c r="J960" s="43">
        <f>MONTH(Tabela3[[#This Row],[Data]])</f>
        <v>7</v>
      </c>
      <c r="K960" s="39">
        <f>SUM(E$3:Tabela3[[#This Row],[Valor]])</f>
        <v>35811.560000000754</v>
      </c>
      <c r="L960" s="40">
        <f t="shared" si="14"/>
        <v>2.22375</v>
      </c>
      <c r="M960" s="40"/>
      <c r="N960" s="40"/>
      <c r="O960" s="40"/>
      <c r="P960" s="39"/>
      <c r="Q960" s="39"/>
      <c r="R960" s="39"/>
      <c r="S960" s="39"/>
      <c r="T960" s="39"/>
    </row>
    <row r="961" spans="1:20" x14ac:dyDescent="0.25">
      <c r="A961" t="s">
        <v>344</v>
      </c>
      <c r="B961" s="37">
        <v>41</v>
      </c>
      <c r="C961" t="str">
        <f>_xlfn.XLOOKUP(B961,'Centro de Custo'!A$2:A$45,'Centro de Custo'!B$2:B$45)</f>
        <v>Resgate Financeiro</v>
      </c>
      <c r="E961" s="39">
        <v>350000</v>
      </c>
      <c r="F961" s="40" t="s">
        <v>10</v>
      </c>
      <c r="G961" s="41">
        <v>45862</v>
      </c>
      <c r="H961" s="42">
        <f>YEAR(Tabela3[[#This Row],[Data]])</f>
        <v>2025</v>
      </c>
      <c r="I961" s="42" t="str">
        <f>_xlfn.XLOOKUP(J961,'Centro de Custo'!J$2:J$13,'Centro de Custo'!K$2:K$13)</f>
        <v>Julho</v>
      </c>
      <c r="J961" s="43">
        <f>MONTH(Tabela3[[#This Row],[Data]])</f>
        <v>7</v>
      </c>
      <c r="K961" s="39">
        <f>SUM(E$3:Tabela3[[#This Row],[Valor]])</f>
        <v>385811.56000000075</v>
      </c>
      <c r="L961" s="40">
        <f t="shared" si="14"/>
        <v>2.22375</v>
      </c>
      <c r="M961" s="40"/>
      <c r="N961" s="40"/>
      <c r="O961" s="40"/>
      <c r="P961" s="39"/>
      <c r="Q961" s="39"/>
      <c r="R961" s="39"/>
      <c r="S961" s="39"/>
      <c r="T961" s="39"/>
    </row>
    <row r="962" spans="1:20" x14ac:dyDescent="0.25">
      <c r="A962" t="s">
        <v>519</v>
      </c>
      <c r="B962" s="37">
        <v>20</v>
      </c>
      <c r="C962" t="str">
        <f>_xlfn.XLOOKUP(B962,'Centro de Custo'!A$2:A$45,'Centro de Custo'!B$2:B$45)</f>
        <v>Desp. ADM</v>
      </c>
      <c r="E962" s="39">
        <v>-1037</v>
      </c>
      <c r="F962" s="40" t="s">
        <v>10</v>
      </c>
      <c r="G962" s="41">
        <v>45862</v>
      </c>
      <c r="H962" s="42">
        <f>YEAR(Tabela3[[#This Row],[Data]])</f>
        <v>2025</v>
      </c>
      <c r="I962" s="42" t="str">
        <f>_xlfn.XLOOKUP(J962,'Centro de Custo'!J$2:J$13,'Centro de Custo'!K$2:K$13)</f>
        <v>Julho</v>
      </c>
      <c r="J962" s="43">
        <f>MONTH(Tabela3[[#This Row],[Data]])</f>
        <v>7</v>
      </c>
      <c r="K962" s="39">
        <f>SUM(E$3:Tabela3[[#This Row],[Valor]])</f>
        <v>384774.56000000075</v>
      </c>
      <c r="L962" s="40">
        <f t="shared" si="14"/>
        <v>2.22375</v>
      </c>
      <c r="M962" s="40"/>
      <c r="N962" s="40"/>
      <c r="O962" s="40"/>
      <c r="P962" s="39"/>
      <c r="Q962" s="39"/>
      <c r="R962" s="39"/>
      <c r="S962" s="39"/>
      <c r="T962" s="39"/>
    </row>
    <row r="963" spans="1:20" x14ac:dyDescent="0.25">
      <c r="A963" t="s">
        <v>520</v>
      </c>
      <c r="B963" s="37">
        <v>22</v>
      </c>
      <c r="C963" t="str">
        <f>_xlfn.XLOOKUP(B963,'Centro de Custo'!A$2:A$45,'Centro de Custo'!B$2:B$45)</f>
        <v>Doação</v>
      </c>
      <c r="E963" s="39">
        <v>-5000</v>
      </c>
      <c r="F963" s="40" t="s">
        <v>10</v>
      </c>
      <c r="G963" s="41">
        <v>45862</v>
      </c>
      <c r="H963" s="42">
        <f>YEAR(Tabela3[[#This Row],[Data]])</f>
        <v>2025</v>
      </c>
      <c r="I963" s="42" t="str">
        <f>_xlfn.XLOOKUP(J963,'Centro de Custo'!J$2:J$13,'Centro de Custo'!K$2:K$13)</f>
        <v>Julho</v>
      </c>
      <c r="J963" s="43">
        <f>MONTH(Tabela3[[#This Row],[Data]])</f>
        <v>7</v>
      </c>
      <c r="K963" s="39">
        <f>SUM(E$3:Tabela3[[#This Row],[Valor]])</f>
        <v>379774.56000000075</v>
      </c>
      <c r="L963" s="40">
        <f t="shared" ref="L963:L1026" si="15">17.79/8</f>
        <v>2.22375</v>
      </c>
      <c r="M963" s="40"/>
      <c r="N963" s="40"/>
      <c r="O963" s="40"/>
      <c r="P963" s="39"/>
      <c r="Q963" s="39"/>
      <c r="R963" s="39"/>
      <c r="S963" s="39"/>
      <c r="T963" s="39"/>
    </row>
    <row r="964" spans="1:20" x14ac:dyDescent="0.25">
      <c r="A964" t="s">
        <v>521</v>
      </c>
      <c r="B964" s="37">
        <v>50</v>
      </c>
      <c r="C964" t="str">
        <f>_xlfn.XLOOKUP(B964,'Centro de Custo'!A$2:A$45,'Centro de Custo'!B$2:B$45)</f>
        <v>Empréstimos</v>
      </c>
      <c r="E964" s="39">
        <v>-10000</v>
      </c>
      <c r="F964" s="40" t="s">
        <v>10</v>
      </c>
      <c r="G964" s="41">
        <v>45862</v>
      </c>
      <c r="H964" s="42">
        <f>YEAR(Tabela3[[#This Row],[Data]])</f>
        <v>2025</v>
      </c>
      <c r="I964" s="42" t="str">
        <f>_xlfn.XLOOKUP(J964,'Centro de Custo'!J$2:J$13,'Centro de Custo'!K$2:K$13)</f>
        <v>Julho</v>
      </c>
      <c r="J964" s="43">
        <f>MONTH(Tabela3[[#This Row],[Data]])</f>
        <v>7</v>
      </c>
      <c r="K964" s="39">
        <f>SUM(E$3:Tabela3[[#This Row],[Valor]])</f>
        <v>369774.56000000075</v>
      </c>
      <c r="L964" s="40">
        <f t="shared" si="15"/>
        <v>2.22375</v>
      </c>
      <c r="M964" s="40"/>
      <c r="N964" s="40"/>
      <c r="O964" s="40"/>
      <c r="P964" s="39"/>
      <c r="Q964" s="39"/>
      <c r="R964" s="39"/>
      <c r="S964" s="39"/>
      <c r="T964" s="39"/>
    </row>
    <row r="965" spans="1:20" x14ac:dyDescent="0.25">
      <c r="A965" t="s">
        <v>522</v>
      </c>
      <c r="B965" s="37">
        <v>50</v>
      </c>
      <c r="C965" t="str">
        <f>_xlfn.XLOOKUP(B965,'Centro de Custo'!A$2:A$45,'Centro de Custo'!B$2:B$45)</f>
        <v>Empréstimos</v>
      </c>
      <c r="E965" s="39">
        <v>-45000</v>
      </c>
      <c r="F965" s="40" t="s">
        <v>10</v>
      </c>
      <c r="G965" s="41">
        <v>45862</v>
      </c>
      <c r="H965" s="42">
        <f>YEAR(Tabela3[[#This Row],[Data]])</f>
        <v>2025</v>
      </c>
      <c r="I965" s="42" t="str">
        <f>_xlfn.XLOOKUP(J965,'Centro de Custo'!J$2:J$13,'Centro de Custo'!K$2:K$13)</f>
        <v>Julho</v>
      </c>
      <c r="J965" s="43">
        <f>MONTH(Tabela3[[#This Row],[Data]])</f>
        <v>7</v>
      </c>
      <c r="K965" s="39">
        <f>SUM(E$3:Tabela3[[#This Row],[Valor]])</f>
        <v>324774.56000000075</v>
      </c>
      <c r="L965" s="40">
        <f t="shared" si="15"/>
        <v>2.22375</v>
      </c>
      <c r="M965" s="40"/>
      <c r="N965" s="40"/>
      <c r="O965" s="40"/>
      <c r="P965" s="39"/>
      <c r="Q965" s="39"/>
      <c r="R965" s="39"/>
      <c r="S965" s="39"/>
      <c r="T965" s="39"/>
    </row>
    <row r="966" spans="1:20" x14ac:dyDescent="0.25">
      <c r="A966" t="s">
        <v>521</v>
      </c>
      <c r="B966" s="37">
        <v>50</v>
      </c>
      <c r="C966" t="str">
        <f>_xlfn.XLOOKUP(B966,'Centro de Custo'!A$2:A$45,'Centro de Custo'!B$2:B$45)</f>
        <v>Empréstimos</v>
      </c>
      <c r="E966" s="39">
        <v>-90000</v>
      </c>
      <c r="F966" s="40" t="s">
        <v>10</v>
      </c>
      <c r="G966" s="41">
        <v>45862</v>
      </c>
      <c r="H966" s="42">
        <f>YEAR(Tabela3[[#This Row],[Data]])</f>
        <v>2025</v>
      </c>
      <c r="I966" s="42" t="str">
        <f>_xlfn.XLOOKUP(J966,'Centro de Custo'!J$2:J$13,'Centro de Custo'!K$2:K$13)</f>
        <v>Julho</v>
      </c>
      <c r="J966" s="43">
        <f>MONTH(Tabela3[[#This Row],[Data]])</f>
        <v>7</v>
      </c>
      <c r="K966" s="39">
        <f>SUM(E$3:Tabela3[[#This Row],[Valor]])</f>
        <v>234774.56000000075</v>
      </c>
      <c r="L966" s="40">
        <f t="shared" si="15"/>
        <v>2.22375</v>
      </c>
      <c r="M966" s="40"/>
      <c r="N966" s="40"/>
      <c r="O966" s="40"/>
      <c r="P966" s="39"/>
      <c r="Q966" s="39"/>
      <c r="R966" s="39"/>
      <c r="S966" s="39"/>
      <c r="T966" s="39"/>
    </row>
    <row r="967" spans="1:20" x14ac:dyDescent="0.25">
      <c r="A967" t="s">
        <v>344</v>
      </c>
      <c r="B967" s="37">
        <v>41</v>
      </c>
      <c r="C967" t="str">
        <f>_xlfn.XLOOKUP(B967,'Centro de Custo'!A$2:A$45,'Centro de Custo'!B$2:B$45)</f>
        <v>Resgate Financeiro</v>
      </c>
      <c r="E967" s="39">
        <v>10021.01</v>
      </c>
      <c r="F967" s="40" t="s">
        <v>10</v>
      </c>
      <c r="G967" s="41">
        <v>45863</v>
      </c>
      <c r="H967" s="42">
        <f>YEAR(Tabela3[[#This Row],[Data]])</f>
        <v>2025</v>
      </c>
      <c r="I967" s="42" t="str">
        <f>_xlfn.XLOOKUP(J967,'Centro de Custo'!J$2:J$13,'Centro de Custo'!K$2:K$13)</f>
        <v>Julho</v>
      </c>
      <c r="J967" s="43">
        <f>MONTH(Tabela3[[#This Row],[Data]])</f>
        <v>7</v>
      </c>
      <c r="K967" s="39">
        <f>SUM(E$3:Tabela3[[#This Row],[Valor]])</f>
        <v>244795.57000000076</v>
      </c>
      <c r="L967" s="40">
        <f t="shared" si="15"/>
        <v>2.22375</v>
      </c>
      <c r="M967" s="40"/>
      <c r="N967" s="40"/>
      <c r="O967" s="40"/>
      <c r="P967" s="39"/>
      <c r="Q967" s="39"/>
      <c r="R967" s="39"/>
      <c r="S967" s="39"/>
      <c r="T967" s="39"/>
    </row>
    <row r="968" spans="1:20" x14ac:dyDescent="0.25">
      <c r="A968" t="s">
        <v>45</v>
      </c>
      <c r="B968" s="37">
        <v>20</v>
      </c>
      <c r="C968" t="str">
        <f>_xlfn.XLOOKUP(B968,'Centro de Custo'!A$2:A$45,'Centro de Custo'!B$2:B$45)</f>
        <v>Desp. ADM</v>
      </c>
      <c r="E968" s="39">
        <v>-30.85</v>
      </c>
      <c r="F968" s="40" t="s">
        <v>10</v>
      </c>
      <c r="G968" s="41">
        <v>45863</v>
      </c>
      <c r="H968" s="42">
        <f>YEAR(Tabela3[[#This Row],[Data]])</f>
        <v>2025</v>
      </c>
      <c r="I968" s="42" t="str">
        <f>_xlfn.XLOOKUP(J968,'Centro de Custo'!J$2:J$13,'Centro de Custo'!K$2:K$13)</f>
        <v>Julho</v>
      </c>
      <c r="J968" s="43">
        <f>MONTH(Tabela3[[#This Row],[Data]])</f>
        <v>7</v>
      </c>
      <c r="K968" s="39">
        <f>SUM(E$3:Tabela3[[#This Row],[Valor]])</f>
        <v>244764.72000000076</v>
      </c>
      <c r="L968" s="40">
        <f t="shared" si="15"/>
        <v>2.22375</v>
      </c>
      <c r="M968" s="40"/>
      <c r="N968" s="40"/>
      <c r="O968" s="40"/>
      <c r="P968" s="39"/>
      <c r="Q968" s="39"/>
      <c r="R968" s="39"/>
      <c r="S968" s="39"/>
      <c r="T968" s="39"/>
    </row>
    <row r="969" spans="1:20" x14ac:dyDescent="0.25">
      <c r="A969" t="s">
        <v>523</v>
      </c>
      <c r="B969" s="37">
        <v>5</v>
      </c>
      <c r="C969" t="str">
        <f>_xlfn.XLOOKUP(B969,'Centro de Custo'!A$2:A$45,'Centro de Custo'!B$2:B$45)</f>
        <v>Consultoria</v>
      </c>
      <c r="E969" s="39">
        <v>-3408.08</v>
      </c>
      <c r="F969" s="40" t="s">
        <v>10</v>
      </c>
      <c r="G969" s="41">
        <v>45863</v>
      </c>
      <c r="H969" s="42">
        <f>YEAR(Tabela3[[#This Row],[Data]])</f>
        <v>2025</v>
      </c>
      <c r="I969" s="42" t="str">
        <f>_xlfn.XLOOKUP(J969,'Centro de Custo'!J$2:J$13,'Centro de Custo'!K$2:K$13)</f>
        <v>Julho</v>
      </c>
      <c r="J969" s="43">
        <f>MONTH(Tabela3[[#This Row],[Data]])</f>
        <v>7</v>
      </c>
      <c r="K969" s="39">
        <f>SUM(E$3:Tabela3[[#This Row],[Valor]])</f>
        <v>241356.64000000077</v>
      </c>
      <c r="L969" s="40">
        <f t="shared" si="15"/>
        <v>2.22375</v>
      </c>
      <c r="M969" s="40"/>
      <c r="N969" s="40"/>
      <c r="O969" s="40"/>
      <c r="P969" s="39"/>
      <c r="Q969" s="39"/>
      <c r="R969" s="39"/>
      <c r="S969" s="39"/>
      <c r="T969" s="39"/>
    </row>
    <row r="970" spans="1:20" x14ac:dyDescent="0.25">
      <c r="A970" t="s">
        <v>492</v>
      </c>
      <c r="B970" s="37">
        <v>5</v>
      </c>
      <c r="C970" t="str">
        <f>_xlfn.XLOOKUP(B970,'Centro de Custo'!A$2:A$45,'Centro de Custo'!B$2:B$45)</f>
        <v>Consultoria</v>
      </c>
      <c r="E970" s="39">
        <v>-35000</v>
      </c>
      <c r="F970" s="40" t="s">
        <v>10</v>
      </c>
      <c r="G970" s="41">
        <v>45863</v>
      </c>
      <c r="H970" s="42">
        <f>YEAR(Tabela3[[#This Row],[Data]])</f>
        <v>2025</v>
      </c>
      <c r="I970" s="42" t="str">
        <f>_xlfn.XLOOKUP(J970,'Centro de Custo'!J$2:J$13,'Centro de Custo'!K$2:K$13)</f>
        <v>Julho</v>
      </c>
      <c r="J970" s="43">
        <f>MONTH(Tabela3[[#This Row],[Data]])</f>
        <v>7</v>
      </c>
      <c r="K970" s="39">
        <f>SUM(E$3:Tabela3[[#This Row],[Valor]])</f>
        <v>206356.64000000077</v>
      </c>
      <c r="L970" s="40">
        <f t="shared" si="15"/>
        <v>2.22375</v>
      </c>
      <c r="M970" s="40"/>
      <c r="N970" s="40"/>
      <c r="O970" s="40"/>
      <c r="P970" s="39"/>
      <c r="Q970" s="39"/>
      <c r="R970" s="39"/>
      <c r="S970" s="39"/>
      <c r="T970" s="39"/>
    </row>
    <row r="971" spans="1:20" x14ac:dyDescent="0.25">
      <c r="A971" t="s">
        <v>524</v>
      </c>
      <c r="B971" s="37">
        <v>11</v>
      </c>
      <c r="C971" t="str">
        <f>_xlfn.XLOOKUP(B971,'Centro de Custo'!A$2:A$45,'Centro de Custo'!B$2:B$45)</f>
        <v>Distribuição de Lucro</v>
      </c>
      <c r="E971" s="39">
        <v>-80000</v>
      </c>
      <c r="F971" s="40" t="s">
        <v>10</v>
      </c>
      <c r="G971" s="41">
        <v>45863</v>
      </c>
      <c r="H971" s="42">
        <f>YEAR(Tabela3[[#This Row],[Data]])</f>
        <v>2025</v>
      </c>
      <c r="I971" s="42" t="str">
        <f>_xlfn.XLOOKUP(J971,'Centro de Custo'!J$2:J$13,'Centro de Custo'!K$2:K$13)</f>
        <v>Julho</v>
      </c>
      <c r="J971" s="43">
        <f>MONTH(Tabela3[[#This Row],[Data]])</f>
        <v>7</v>
      </c>
      <c r="K971" s="39">
        <f>SUM(E$3:Tabela3[[#This Row],[Valor]])</f>
        <v>126356.64000000077</v>
      </c>
      <c r="L971" s="40">
        <f t="shared" si="15"/>
        <v>2.22375</v>
      </c>
      <c r="M971" s="40"/>
      <c r="N971" s="40"/>
      <c r="O971" s="40"/>
      <c r="P971" s="39"/>
      <c r="Q971" s="39"/>
      <c r="R971" s="39"/>
      <c r="S971" s="39"/>
      <c r="T971" s="39"/>
    </row>
    <row r="972" spans="1:20" x14ac:dyDescent="0.25">
      <c r="A972" t="s">
        <v>525</v>
      </c>
      <c r="B972" s="37">
        <v>5</v>
      </c>
      <c r="C972" t="str">
        <f>_xlfn.XLOOKUP(B972,'Centro de Custo'!A$2:A$45,'Centro de Custo'!B$2:B$45)</f>
        <v>Consultoria</v>
      </c>
      <c r="E972" s="39">
        <v>-121592</v>
      </c>
      <c r="F972" s="40" t="s">
        <v>10</v>
      </c>
      <c r="G972" s="41">
        <v>45863</v>
      </c>
      <c r="H972" s="42">
        <f>YEAR(Tabela3[[#This Row],[Data]])</f>
        <v>2025</v>
      </c>
      <c r="I972" s="42" t="str">
        <f>_xlfn.XLOOKUP(J972,'Centro de Custo'!J$2:J$13,'Centro de Custo'!K$2:K$13)</f>
        <v>Julho</v>
      </c>
      <c r="J972" s="43">
        <f>MONTH(Tabela3[[#This Row],[Data]])</f>
        <v>7</v>
      </c>
      <c r="K972" s="39">
        <f>SUM(E$3:Tabela3[[#This Row],[Valor]])</f>
        <v>4764.640000000771</v>
      </c>
      <c r="L972" s="40">
        <f t="shared" si="15"/>
        <v>2.22375</v>
      </c>
      <c r="M972" s="40"/>
      <c r="N972" s="40"/>
      <c r="O972" s="40"/>
      <c r="P972" s="39"/>
      <c r="Q972" s="39"/>
      <c r="R972" s="39"/>
      <c r="S972" s="39"/>
      <c r="T972" s="39"/>
    </row>
    <row r="973" spans="1:20" x14ac:dyDescent="0.25">
      <c r="A973" t="s">
        <v>526</v>
      </c>
      <c r="B973" s="37">
        <v>30</v>
      </c>
      <c r="C973" t="str">
        <f>_xlfn.XLOOKUP(B973,'Centro de Custo'!A$2:A$45,'Centro de Custo'!B$2:B$45)</f>
        <v>Impostos</v>
      </c>
      <c r="E973" s="39">
        <v>-6000</v>
      </c>
      <c r="F973" s="40" t="s">
        <v>10</v>
      </c>
      <c r="G973" s="41">
        <v>45866</v>
      </c>
      <c r="H973" s="42">
        <f>YEAR(Tabela3[[#This Row],[Data]])</f>
        <v>2025</v>
      </c>
      <c r="I973" s="42" t="str">
        <f>_xlfn.XLOOKUP(J973,'Centro de Custo'!J$2:J$13,'Centro de Custo'!K$2:K$13)</f>
        <v>Julho</v>
      </c>
      <c r="J973" s="43">
        <f>MONTH(Tabela3[[#This Row],[Data]])</f>
        <v>7</v>
      </c>
      <c r="K973" s="39">
        <f>SUM(E$3:Tabela3[[#This Row],[Valor]])</f>
        <v>-1235.3599999992293</v>
      </c>
      <c r="L973" s="40">
        <f t="shared" si="15"/>
        <v>2.22375</v>
      </c>
      <c r="M973" s="40"/>
      <c r="N973" s="40"/>
      <c r="O973" s="40"/>
      <c r="P973" s="39"/>
      <c r="Q973" s="39"/>
      <c r="R973" s="39"/>
      <c r="S973" s="39"/>
      <c r="T973" s="39"/>
    </row>
    <row r="974" spans="1:20" x14ac:dyDescent="0.25">
      <c r="A974" t="s">
        <v>51</v>
      </c>
      <c r="B974" s="37">
        <v>41</v>
      </c>
      <c r="C974" t="str">
        <f>_xlfn.XLOOKUP(B974,'Centro de Custo'!A$2:A$45,'Centro de Custo'!B$2:B$45)</f>
        <v>Resgate Financeiro</v>
      </c>
      <c r="E974" s="39">
        <v>100342.85</v>
      </c>
      <c r="F974" s="40" t="s">
        <v>10</v>
      </c>
      <c r="G974" s="41">
        <v>45867</v>
      </c>
      <c r="H974" s="42">
        <f>YEAR(Tabela3[[#This Row],[Data]])</f>
        <v>2025</v>
      </c>
      <c r="I974" s="42" t="str">
        <f>_xlfn.XLOOKUP(J974,'Centro de Custo'!J$2:J$13,'Centro de Custo'!K$2:K$13)</f>
        <v>Julho</v>
      </c>
      <c r="J974" s="43">
        <f>MONTH(Tabela3[[#This Row],[Data]])</f>
        <v>7</v>
      </c>
      <c r="K974" s="39">
        <f>SUM(E$3:Tabela3[[#This Row],[Valor]])</f>
        <v>99107.49000000078</v>
      </c>
      <c r="L974" s="40">
        <f t="shared" si="15"/>
        <v>2.22375</v>
      </c>
      <c r="M974" s="40"/>
      <c r="N974" s="40"/>
      <c r="O974" s="40"/>
      <c r="P974" s="39"/>
      <c r="Q974" s="39"/>
      <c r="R974" s="39"/>
      <c r="S974" s="39"/>
      <c r="T974" s="39"/>
    </row>
    <row r="975" spans="1:20" x14ac:dyDescent="0.25">
      <c r="A975" t="s">
        <v>527</v>
      </c>
      <c r="B975" s="37">
        <v>15</v>
      </c>
      <c r="C975" t="str">
        <f>_xlfn.XLOOKUP(B975,'Centro de Custo'!A$2:A$45,'Centro de Custo'!B$2:B$45)</f>
        <v>Viagens</v>
      </c>
      <c r="E975" s="39">
        <v>-5000</v>
      </c>
      <c r="F975" s="40" t="s">
        <v>10</v>
      </c>
      <c r="G975" s="41">
        <v>45867</v>
      </c>
      <c r="H975" s="42">
        <f>YEAR(Tabela3[[#This Row],[Data]])</f>
        <v>2025</v>
      </c>
      <c r="I975" s="42" t="str">
        <f>_xlfn.XLOOKUP(J975,'Centro de Custo'!J$2:J$13,'Centro de Custo'!K$2:K$13)</f>
        <v>Julho</v>
      </c>
      <c r="J975" s="43">
        <f>MONTH(Tabela3[[#This Row],[Data]])</f>
        <v>7</v>
      </c>
      <c r="K975" s="39">
        <f>SUM(E$3:Tabela3[[#This Row],[Valor]])</f>
        <v>94107.49000000078</v>
      </c>
      <c r="L975" s="40">
        <f t="shared" si="15"/>
        <v>2.22375</v>
      </c>
      <c r="M975" s="40"/>
      <c r="N975" s="40"/>
      <c r="O975" s="40"/>
      <c r="P975" s="39"/>
      <c r="Q975" s="39"/>
      <c r="R975" s="39"/>
      <c r="S975" s="39"/>
      <c r="T975" s="39"/>
    </row>
    <row r="976" spans="1:20" x14ac:dyDescent="0.25">
      <c r="A976" t="s">
        <v>528</v>
      </c>
      <c r="B976" s="37">
        <v>22</v>
      </c>
      <c r="C976" t="str">
        <f>_xlfn.XLOOKUP(B976,'Centro de Custo'!A$2:A$45,'Centro de Custo'!B$2:B$45)</f>
        <v>Doação</v>
      </c>
      <c r="E976" s="39">
        <v>-10000</v>
      </c>
      <c r="F976" s="40" t="s">
        <v>10</v>
      </c>
      <c r="G976" s="41">
        <v>45867</v>
      </c>
      <c r="H976" s="42">
        <f>YEAR(Tabela3[[#This Row],[Data]])</f>
        <v>2025</v>
      </c>
      <c r="I976" s="42" t="str">
        <f>_xlfn.XLOOKUP(J976,'Centro de Custo'!J$2:J$13,'Centro de Custo'!K$2:K$13)</f>
        <v>Julho</v>
      </c>
      <c r="J976" s="43">
        <f>MONTH(Tabela3[[#This Row],[Data]])</f>
        <v>7</v>
      </c>
      <c r="K976" s="39">
        <f>SUM(E$3:Tabela3[[#This Row],[Valor]])</f>
        <v>84107.49000000078</v>
      </c>
      <c r="L976" s="40">
        <f t="shared" si="15"/>
        <v>2.22375</v>
      </c>
      <c r="M976" s="40"/>
      <c r="N976" s="40"/>
      <c r="O976" s="40"/>
      <c r="P976" s="39"/>
      <c r="Q976" s="39"/>
      <c r="R976" s="39"/>
      <c r="S976" s="39"/>
      <c r="T976" s="39"/>
    </row>
    <row r="977" spans="1:20" x14ac:dyDescent="0.25">
      <c r="A977" t="s">
        <v>529</v>
      </c>
      <c r="B977" s="37">
        <v>13</v>
      </c>
      <c r="C977" t="str">
        <f>_xlfn.XLOOKUP(B977,'Centro de Custo'!A$2:A$45,'Centro de Custo'!B$2:B$45)</f>
        <v>Terceirizados</v>
      </c>
      <c r="E977" s="39">
        <v>-20000</v>
      </c>
      <c r="F977" s="40" t="s">
        <v>10</v>
      </c>
      <c r="G977" s="41">
        <v>45867</v>
      </c>
      <c r="H977" s="42">
        <f>YEAR(Tabela3[[#This Row],[Data]])</f>
        <v>2025</v>
      </c>
      <c r="I977" s="42" t="str">
        <f>_xlfn.XLOOKUP(J977,'Centro de Custo'!J$2:J$13,'Centro de Custo'!K$2:K$13)</f>
        <v>Julho</v>
      </c>
      <c r="J977" s="43">
        <f>MONTH(Tabela3[[#This Row],[Data]])</f>
        <v>7</v>
      </c>
      <c r="K977" s="39">
        <f>SUM(E$3:Tabela3[[#This Row],[Valor]])</f>
        <v>64107.49000000078</v>
      </c>
      <c r="L977" s="40">
        <f t="shared" si="15"/>
        <v>2.22375</v>
      </c>
      <c r="M977" s="40"/>
      <c r="N977" s="40"/>
      <c r="O977" s="40"/>
      <c r="P977" s="39"/>
      <c r="Q977" s="39"/>
      <c r="R977" s="39"/>
      <c r="S977" s="39"/>
      <c r="T977" s="39"/>
    </row>
    <row r="978" spans="1:20" x14ac:dyDescent="0.25">
      <c r="A978" t="s">
        <v>530</v>
      </c>
      <c r="B978" s="37">
        <v>30</v>
      </c>
      <c r="C978" t="str">
        <f>_xlfn.XLOOKUP(B978,'Centro de Custo'!A$2:A$45,'Centro de Custo'!B$2:B$45)</f>
        <v>Impostos</v>
      </c>
      <c r="E978" s="39">
        <v>-12655.73</v>
      </c>
      <c r="F978" s="40" t="s">
        <v>10</v>
      </c>
      <c r="G978" s="41">
        <v>45868</v>
      </c>
      <c r="H978" s="42">
        <f>YEAR(Tabela3[[#This Row],[Data]])</f>
        <v>2025</v>
      </c>
      <c r="I978" s="42" t="str">
        <f>_xlfn.XLOOKUP(J978,'Centro de Custo'!J$2:J$13,'Centro de Custo'!K$2:K$13)</f>
        <v>Julho</v>
      </c>
      <c r="J978" s="43">
        <f>MONTH(Tabela3[[#This Row],[Data]])</f>
        <v>7</v>
      </c>
      <c r="K978" s="39">
        <f>SUM(E$3:Tabela3[[#This Row],[Valor]])</f>
        <v>51451.76000000078</v>
      </c>
      <c r="L978" s="40">
        <f t="shared" si="15"/>
        <v>2.22375</v>
      </c>
      <c r="M978" s="40"/>
      <c r="N978" s="40"/>
      <c r="O978" s="40"/>
      <c r="P978" s="39"/>
      <c r="Q978" s="39"/>
      <c r="R978" s="39"/>
      <c r="S978" s="39"/>
      <c r="T978" s="39"/>
    </row>
    <row r="979" spans="1:20" x14ac:dyDescent="0.25">
      <c r="A979" s="46" t="s">
        <v>531</v>
      </c>
      <c r="B979" s="37">
        <v>30</v>
      </c>
      <c r="C979" t="str">
        <f>_xlfn.XLOOKUP(B979,'Centro de Custo'!A$2:A$45,'Centro de Custo'!B$2:B$45)</f>
        <v>Impostos</v>
      </c>
      <c r="E979" s="39">
        <v>-18059.1</v>
      </c>
      <c r="F979" s="40" t="s">
        <v>10</v>
      </c>
      <c r="G979" s="41">
        <v>45868</v>
      </c>
      <c r="H979" s="42">
        <f>YEAR(Tabela3[[#This Row],[Data]])</f>
        <v>2025</v>
      </c>
      <c r="I979" s="42" t="str">
        <f>_xlfn.XLOOKUP(J979,'Centro de Custo'!J$2:J$13,'Centro de Custo'!K$2:K$13)</f>
        <v>Julho</v>
      </c>
      <c r="J979" s="43">
        <f>MONTH(Tabela3[[#This Row],[Data]])</f>
        <v>7</v>
      </c>
      <c r="K979" s="39">
        <f>SUM(E$3:Tabela3[[#This Row],[Valor]])</f>
        <v>33392.66000000078</v>
      </c>
      <c r="L979" s="40">
        <f t="shared" si="15"/>
        <v>2.22375</v>
      </c>
      <c r="M979" s="40"/>
      <c r="N979" s="40"/>
      <c r="O979" s="40"/>
      <c r="P979" s="39"/>
      <c r="Q979" s="39"/>
      <c r="R979" s="39"/>
      <c r="S979" s="39"/>
      <c r="T979" s="39"/>
    </row>
    <row r="980" spans="1:20" x14ac:dyDescent="0.25">
      <c r="A980" t="s">
        <v>51</v>
      </c>
      <c r="B980" s="37">
        <v>41</v>
      </c>
      <c r="C980" t="str">
        <f>_xlfn.XLOOKUP(B980,'Centro de Custo'!A$2:A$45,'Centro de Custo'!B$2:B$45)</f>
        <v>Resgate Financeiro</v>
      </c>
      <c r="D980">
        <v>0</v>
      </c>
      <c r="E980" s="39">
        <v>208545</v>
      </c>
      <c r="F980" s="40" t="s">
        <v>10</v>
      </c>
      <c r="G980" s="41">
        <v>45873</v>
      </c>
      <c r="H980" s="42">
        <f>YEAR(Tabela3[[#This Row],[Data]])</f>
        <v>2025</v>
      </c>
      <c r="I980" s="42" t="str">
        <f>_xlfn.XLOOKUP(J980,'Centro de Custo'!J$2:J$13,'Centro de Custo'!K$2:K$13)</f>
        <v>Agosto</v>
      </c>
      <c r="J980" s="43">
        <f>MONTH(Tabela3[[#This Row],[Data]])</f>
        <v>8</v>
      </c>
      <c r="K980" s="39">
        <f>SUM(E$3:Tabela3[[#This Row],[Valor]])</f>
        <v>241937.6600000008</v>
      </c>
      <c r="L980" s="40">
        <f t="shared" si="15"/>
        <v>2.22375</v>
      </c>
      <c r="M980" s="40"/>
      <c r="N980" s="40"/>
      <c r="O980" s="40"/>
      <c r="P980" s="39"/>
      <c r="Q980" s="39"/>
      <c r="R980" s="39"/>
      <c r="S980" s="39"/>
      <c r="T980" s="39"/>
    </row>
    <row r="981" spans="1:20" x14ac:dyDescent="0.25">
      <c r="A981" t="s">
        <v>532</v>
      </c>
      <c r="B981" s="37">
        <v>20</v>
      </c>
      <c r="C981" t="str">
        <f>_xlfn.XLOOKUP(B981,'Centro de Custo'!A$2:A$45,'Centro de Custo'!B$2:B$45)</f>
        <v>Desp. ADM</v>
      </c>
      <c r="E981" s="39">
        <v>-20026.81</v>
      </c>
      <c r="F981" s="40" t="s">
        <v>10</v>
      </c>
      <c r="G981" s="41">
        <v>45873</v>
      </c>
      <c r="H981" s="42">
        <f>YEAR(Tabela3[[#This Row],[Data]])</f>
        <v>2025</v>
      </c>
      <c r="I981" s="42" t="str">
        <f>_xlfn.XLOOKUP(J981,'Centro de Custo'!J$2:J$13,'Centro de Custo'!K$2:K$13)</f>
        <v>Agosto</v>
      </c>
      <c r="J981" s="43">
        <f>MONTH(Tabela3[[#This Row],[Data]])</f>
        <v>8</v>
      </c>
      <c r="K981" s="39">
        <f>SUM(E$3:Tabela3[[#This Row],[Valor]])</f>
        <v>221910.8500000008</v>
      </c>
      <c r="L981" s="40">
        <f t="shared" si="15"/>
        <v>2.22375</v>
      </c>
      <c r="M981" s="40"/>
      <c r="N981" s="40"/>
      <c r="O981" s="40"/>
      <c r="P981" s="39"/>
      <c r="Q981" s="39"/>
      <c r="R981" s="39"/>
      <c r="S981" s="39"/>
      <c r="T981" s="39"/>
    </row>
    <row r="982" spans="1:20" x14ac:dyDescent="0.25">
      <c r="A982" t="s">
        <v>533</v>
      </c>
      <c r="B982" s="37">
        <v>50</v>
      </c>
      <c r="C982" t="str">
        <f>_xlfn.XLOOKUP(B982,'Centro de Custo'!A$2:A$45,'Centro de Custo'!B$2:B$45)</f>
        <v>Empréstimos</v>
      </c>
      <c r="E982" s="39">
        <v>45000</v>
      </c>
      <c r="F982" s="40" t="s">
        <v>10</v>
      </c>
      <c r="G982" s="41">
        <v>45874</v>
      </c>
      <c r="H982" s="42">
        <f>YEAR(Tabela3[[#This Row],[Data]])</f>
        <v>2025</v>
      </c>
      <c r="I982" s="42" t="str">
        <f>_xlfn.XLOOKUP(J982,'Centro de Custo'!J$2:J$13,'Centro de Custo'!K$2:K$13)</f>
        <v>Agosto</v>
      </c>
      <c r="J982" s="43">
        <f>MONTH(Tabela3[[#This Row],[Data]])</f>
        <v>8</v>
      </c>
      <c r="K982" s="39">
        <f>SUM(E$3:Tabela3[[#This Row],[Valor]])</f>
        <v>266910.8500000008</v>
      </c>
      <c r="L982" s="40">
        <f t="shared" si="15"/>
        <v>2.22375</v>
      </c>
      <c r="M982" s="40"/>
      <c r="N982" s="40"/>
      <c r="O982" s="40"/>
      <c r="P982" s="39"/>
      <c r="Q982" s="39"/>
      <c r="R982" s="39"/>
      <c r="S982" s="39"/>
      <c r="T982" s="39"/>
    </row>
    <row r="983" spans="1:20" x14ac:dyDescent="0.25">
      <c r="A983" t="s">
        <v>534</v>
      </c>
      <c r="B983" s="37">
        <v>10</v>
      </c>
      <c r="C983" t="str">
        <f>_xlfn.XLOOKUP(B983,'Centro de Custo'!A$2:A$45,'Centro de Custo'!B$2:B$45)</f>
        <v>Retirada Mensal</v>
      </c>
      <c r="E983" s="39">
        <v>-32.07</v>
      </c>
      <c r="F983" s="40" t="s">
        <v>10</v>
      </c>
      <c r="G983" s="41">
        <v>45874</v>
      </c>
      <c r="H983" s="42">
        <f>YEAR(Tabela3[[#This Row],[Data]])</f>
        <v>2025</v>
      </c>
      <c r="I983" s="42" t="str">
        <f>_xlfn.XLOOKUP(J983,'Centro de Custo'!J$2:J$13,'Centro de Custo'!K$2:K$13)</f>
        <v>Agosto</v>
      </c>
      <c r="J983" s="43">
        <f>MONTH(Tabela3[[#This Row],[Data]])</f>
        <v>8</v>
      </c>
      <c r="K983" s="39">
        <f>SUM(E$3:Tabela3[[#This Row],[Valor]])</f>
        <v>266878.7800000008</v>
      </c>
      <c r="L983" s="40">
        <f t="shared" si="15"/>
        <v>2.22375</v>
      </c>
      <c r="M983" s="40"/>
      <c r="N983" s="40"/>
      <c r="O983" s="40"/>
      <c r="P983" s="39"/>
      <c r="Q983" s="39"/>
      <c r="R983" s="39"/>
      <c r="S983" s="39"/>
      <c r="T983" s="39"/>
    </row>
    <row r="984" spans="1:20" x14ac:dyDescent="0.25">
      <c r="A984" t="s">
        <v>426</v>
      </c>
      <c r="B984" s="37">
        <v>5</v>
      </c>
      <c r="C984" t="str">
        <f>_xlfn.XLOOKUP(B984,'Centro de Custo'!A$2:A$45,'Centro de Custo'!B$2:B$45)</f>
        <v>Consultoria</v>
      </c>
      <c r="E984" s="39">
        <v>-850</v>
      </c>
      <c r="F984" s="40" t="s">
        <v>10</v>
      </c>
      <c r="G984" s="41">
        <v>45874</v>
      </c>
      <c r="H984" s="42">
        <f>YEAR(Tabela3[[#This Row],[Data]])</f>
        <v>2025</v>
      </c>
      <c r="I984" s="42" t="str">
        <f>_xlfn.XLOOKUP(J984,'Centro de Custo'!J$2:J$13,'Centro de Custo'!K$2:K$13)</f>
        <v>Agosto</v>
      </c>
      <c r="J984" s="43">
        <f>MONTH(Tabela3[[#This Row],[Data]])</f>
        <v>8</v>
      </c>
      <c r="K984" s="39">
        <f>SUM(E$3:Tabela3[[#This Row],[Valor]])</f>
        <v>266028.7800000008</v>
      </c>
      <c r="L984" s="40">
        <f t="shared" si="15"/>
        <v>2.22375</v>
      </c>
      <c r="M984" s="40"/>
      <c r="N984" s="40"/>
      <c r="O984" s="40"/>
      <c r="P984" s="39"/>
      <c r="Q984" s="39"/>
      <c r="R984" s="39"/>
      <c r="S984" s="39"/>
      <c r="T984" s="39"/>
    </row>
    <row r="985" spans="1:20" x14ac:dyDescent="0.25">
      <c r="A985" t="s">
        <v>535</v>
      </c>
      <c r="B985" s="37">
        <v>10</v>
      </c>
      <c r="C985" t="str">
        <f>_xlfn.XLOOKUP(B985,'Centro de Custo'!A$2:A$45,'Centro de Custo'!B$2:B$45)</f>
        <v>Retirada Mensal</v>
      </c>
      <c r="E985" s="39">
        <v>-2456.9</v>
      </c>
      <c r="F985" s="40" t="s">
        <v>10</v>
      </c>
      <c r="G985" s="41">
        <v>45874</v>
      </c>
      <c r="H985" s="42">
        <f>YEAR(Tabela3[[#This Row],[Data]])</f>
        <v>2025</v>
      </c>
      <c r="I985" s="42" t="str">
        <f>_xlfn.XLOOKUP(J985,'Centro de Custo'!J$2:J$13,'Centro de Custo'!K$2:K$13)</f>
        <v>Agosto</v>
      </c>
      <c r="J985" s="43">
        <f>MONTH(Tabela3[[#This Row],[Data]])</f>
        <v>8</v>
      </c>
      <c r="K985" s="39">
        <f>SUM(E$3:Tabela3[[#This Row],[Valor]])</f>
        <v>263571.88000000076</v>
      </c>
      <c r="L985" s="40">
        <f t="shared" si="15"/>
        <v>2.22375</v>
      </c>
      <c r="M985" s="40"/>
      <c r="N985" s="40"/>
      <c r="O985" s="40"/>
      <c r="P985" s="39"/>
      <c r="Q985" s="39"/>
      <c r="R985" s="39"/>
      <c r="S985" s="39"/>
      <c r="T985" s="39"/>
    </row>
    <row r="986" spans="1:20" x14ac:dyDescent="0.25">
      <c r="A986" t="s">
        <v>512</v>
      </c>
      <c r="B986" s="37">
        <v>20</v>
      </c>
      <c r="C986" t="str">
        <f>_xlfn.XLOOKUP(B986,'Centro de Custo'!A$2:A$45,'Centro de Custo'!B$2:B$45)</f>
        <v>Desp. ADM</v>
      </c>
      <c r="E986" s="39">
        <v>-2600</v>
      </c>
      <c r="F986" s="40" t="s">
        <v>10</v>
      </c>
      <c r="G986" s="41">
        <v>45874</v>
      </c>
      <c r="H986" s="42">
        <f>YEAR(Tabela3[[#This Row],[Data]])</f>
        <v>2025</v>
      </c>
      <c r="I986" s="42" t="str">
        <f>_xlfn.XLOOKUP(J986,'Centro de Custo'!J$2:J$13,'Centro de Custo'!K$2:K$13)</f>
        <v>Agosto</v>
      </c>
      <c r="J986" s="43">
        <f>MONTH(Tabela3[[#This Row],[Data]])</f>
        <v>8</v>
      </c>
      <c r="K986" s="39">
        <f>SUM(E$3:Tabela3[[#This Row],[Valor]])</f>
        <v>260971.88000000076</v>
      </c>
      <c r="L986" s="40">
        <f t="shared" si="15"/>
        <v>2.22375</v>
      </c>
      <c r="M986" s="40"/>
      <c r="N986" s="40"/>
      <c r="O986" s="40"/>
      <c r="P986" s="39"/>
      <c r="Q986" s="39"/>
      <c r="R986" s="39"/>
      <c r="S986" s="39"/>
      <c r="T986" s="39"/>
    </row>
    <row r="987" spans="1:20" x14ac:dyDescent="0.25">
      <c r="A987" t="s">
        <v>536</v>
      </c>
      <c r="B987" s="37">
        <v>20</v>
      </c>
      <c r="C987" t="str">
        <f>_xlfn.XLOOKUP(B987,'Centro de Custo'!A$2:A$45,'Centro de Custo'!B$2:B$45)</f>
        <v>Desp. ADM</v>
      </c>
      <c r="E987" s="39">
        <v>-3754</v>
      </c>
      <c r="F987" s="40" t="s">
        <v>10</v>
      </c>
      <c r="G987" s="41">
        <v>45874</v>
      </c>
      <c r="H987" s="42">
        <f>YEAR(Tabela3[[#This Row],[Data]])</f>
        <v>2025</v>
      </c>
      <c r="I987" s="42" t="str">
        <f>_xlfn.XLOOKUP(J987,'Centro de Custo'!J$2:J$13,'Centro de Custo'!K$2:K$13)</f>
        <v>Agosto</v>
      </c>
      <c r="J987" s="43">
        <f>MONTH(Tabela3[[#This Row],[Data]])</f>
        <v>8</v>
      </c>
      <c r="K987" s="39">
        <f>SUM(E$3:Tabela3[[#This Row],[Valor]])</f>
        <v>257217.88000000076</v>
      </c>
      <c r="L987" s="40">
        <f t="shared" si="15"/>
        <v>2.22375</v>
      </c>
      <c r="M987" s="40"/>
      <c r="N987" s="40"/>
      <c r="O987" s="40"/>
      <c r="P987" s="39"/>
      <c r="Q987" s="39"/>
      <c r="R987" s="39"/>
      <c r="S987" s="39"/>
      <c r="T987" s="39"/>
    </row>
    <row r="988" spans="1:20" x14ac:dyDescent="0.25">
      <c r="A988" t="s">
        <v>537</v>
      </c>
      <c r="B988" s="37">
        <v>22</v>
      </c>
      <c r="C988" t="str">
        <f>_xlfn.XLOOKUP(B988,'Centro de Custo'!A$2:A$45,'Centro de Custo'!B$2:B$45)</f>
        <v>Doação</v>
      </c>
      <c r="E988" s="39">
        <v>-6000</v>
      </c>
      <c r="F988" s="40" t="s">
        <v>10</v>
      </c>
      <c r="G988" s="41">
        <v>45874</v>
      </c>
      <c r="H988" s="42">
        <f>YEAR(Tabela3[[#This Row],[Data]])</f>
        <v>2025</v>
      </c>
      <c r="I988" s="42" t="str">
        <f>_xlfn.XLOOKUP(J988,'Centro de Custo'!J$2:J$13,'Centro de Custo'!K$2:K$13)</f>
        <v>Agosto</v>
      </c>
      <c r="J988" s="43">
        <f>MONTH(Tabela3[[#This Row],[Data]])</f>
        <v>8</v>
      </c>
      <c r="K988" s="39">
        <f>SUM(E$3:Tabela3[[#This Row],[Valor]])</f>
        <v>251217.88000000076</v>
      </c>
      <c r="L988" s="40">
        <f t="shared" si="15"/>
        <v>2.22375</v>
      </c>
      <c r="M988" s="40"/>
      <c r="N988" s="40"/>
      <c r="O988" s="40"/>
      <c r="P988" s="39"/>
      <c r="Q988" s="39"/>
      <c r="R988" s="39"/>
      <c r="S988" s="39"/>
      <c r="T988" s="39"/>
    </row>
    <row r="989" spans="1:20" x14ac:dyDescent="0.25">
      <c r="A989" t="s">
        <v>399</v>
      </c>
      <c r="B989" s="37">
        <v>10</v>
      </c>
      <c r="C989" t="str">
        <f>_xlfn.XLOOKUP(B989,'Centro de Custo'!A$2:A$45,'Centro de Custo'!B$2:B$45)</f>
        <v>Retirada Mensal</v>
      </c>
      <c r="E989" s="39">
        <v>-7000</v>
      </c>
      <c r="F989" s="40" t="s">
        <v>10</v>
      </c>
      <c r="G989" s="41">
        <v>45874</v>
      </c>
      <c r="H989" s="42">
        <f>YEAR(Tabela3[[#This Row],[Data]])</f>
        <v>2025</v>
      </c>
      <c r="I989" s="42" t="str">
        <f>_xlfn.XLOOKUP(J989,'Centro de Custo'!J$2:J$13,'Centro de Custo'!K$2:K$13)</f>
        <v>Agosto</v>
      </c>
      <c r="J989" s="43">
        <f>MONTH(Tabela3[[#This Row],[Data]])</f>
        <v>8</v>
      </c>
      <c r="K989" s="39">
        <f>SUM(E$3:Tabela3[[#This Row],[Valor]])</f>
        <v>244217.88000000076</v>
      </c>
      <c r="L989" s="40">
        <f t="shared" si="15"/>
        <v>2.22375</v>
      </c>
      <c r="M989" s="40"/>
      <c r="N989" s="40"/>
      <c r="O989" s="40"/>
      <c r="P989" s="39"/>
      <c r="Q989" s="39"/>
      <c r="R989" s="39"/>
      <c r="S989" s="39"/>
      <c r="T989" s="39"/>
    </row>
    <row r="990" spans="1:20" x14ac:dyDescent="0.25">
      <c r="A990" t="s">
        <v>538</v>
      </c>
      <c r="B990" s="37">
        <v>10</v>
      </c>
      <c r="C990" t="str">
        <f>_xlfn.XLOOKUP(B990,'Centro de Custo'!A$2:A$45,'Centro de Custo'!B$2:B$45)</f>
        <v>Retirada Mensal</v>
      </c>
      <c r="E990" s="39">
        <v>-12450</v>
      </c>
      <c r="F990" s="40" t="s">
        <v>10</v>
      </c>
      <c r="G990" s="41">
        <v>45874</v>
      </c>
      <c r="H990" s="42">
        <f>YEAR(Tabela3[[#This Row],[Data]])</f>
        <v>2025</v>
      </c>
      <c r="I990" s="42" t="str">
        <f>_xlfn.XLOOKUP(J990,'Centro de Custo'!J$2:J$13,'Centro de Custo'!K$2:K$13)</f>
        <v>Agosto</v>
      </c>
      <c r="J990" s="43">
        <f>MONTH(Tabela3[[#This Row],[Data]])</f>
        <v>8</v>
      </c>
      <c r="K990" s="39">
        <f>SUM(E$3:Tabela3[[#This Row],[Valor]])</f>
        <v>231767.88000000076</v>
      </c>
      <c r="L990" s="40">
        <f t="shared" si="15"/>
        <v>2.22375</v>
      </c>
      <c r="M990" s="40"/>
      <c r="N990" s="40"/>
      <c r="O990" s="40"/>
      <c r="P990" s="39"/>
      <c r="Q990" s="39"/>
      <c r="R990" s="39"/>
      <c r="S990" s="39"/>
      <c r="T990" s="39"/>
    </row>
    <row r="991" spans="1:20" x14ac:dyDescent="0.25">
      <c r="A991" t="s">
        <v>539</v>
      </c>
      <c r="B991" s="37">
        <v>52</v>
      </c>
      <c r="C991" t="str">
        <f>_xlfn.XLOOKUP(B991,'Centro de Custo'!A$2:A$45,'Centro de Custo'!B$2:B$45)</f>
        <v>Guardião Escolar</v>
      </c>
      <c r="E991" s="39">
        <v>-1689</v>
      </c>
      <c r="F991" s="40" t="s">
        <v>10</v>
      </c>
      <c r="G991" s="41">
        <v>45874.480831134264</v>
      </c>
      <c r="H991" s="42">
        <f>YEAR(Tabela3[[#This Row],[Data]])</f>
        <v>2025</v>
      </c>
      <c r="I991" s="42" t="str">
        <f>_xlfn.XLOOKUP(J991,'Centro de Custo'!J$2:J$13,'Centro de Custo'!K$2:K$13)</f>
        <v>Agosto</v>
      </c>
      <c r="J991" s="43">
        <f>MONTH(Tabela3[[#This Row],[Data]])</f>
        <v>8</v>
      </c>
      <c r="K991" s="39">
        <f>SUM(E$3:Tabela3[[#This Row],[Valor]])</f>
        <v>230078.88000000076</v>
      </c>
      <c r="L991" s="40">
        <f t="shared" si="15"/>
        <v>2.22375</v>
      </c>
      <c r="M991" s="40"/>
      <c r="N991" s="40"/>
      <c r="O991" s="40"/>
      <c r="P991" s="39"/>
      <c r="Q991" s="39"/>
      <c r="R991" s="39"/>
      <c r="S991" s="39"/>
      <c r="T991" s="39"/>
    </row>
    <row r="992" spans="1:20" x14ac:dyDescent="0.25">
      <c r="A992" t="s">
        <v>540</v>
      </c>
      <c r="B992" s="37">
        <v>52</v>
      </c>
      <c r="C992" t="str">
        <f>_xlfn.XLOOKUP(B992,'Centro de Custo'!A$2:A$45,'Centro de Custo'!B$2:B$45)</f>
        <v>Guardião Escolar</v>
      </c>
      <c r="E992" s="39">
        <v>-1995</v>
      </c>
      <c r="F992" s="40" t="s">
        <v>10</v>
      </c>
      <c r="G992" s="41">
        <v>45874.480831134264</v>
      </c>
      <c r="H992" s="42">
        <f>YEAR(Tabela3[[#This Row],[Data]])</f>
        <v>2025</v>
      </c>
      <c r="I992" s="42" t="str">
        <f>_xlfn.XLOOKUP(J992,'Centro de Custo'!J$2:J$13,'Centro de Custo'!K$2:K$13)</f>
        <v>Agosto</v>
      </c>
      <c r="J992" s="43">
        <f>MONTH(Tabela3[[#This Row],[Data]])</f>
        <v>8</v>
      </c>
      <c r="K992" s="39">
        <f>SUM(E$3:Tabela3[[#This Row],[Valor]])</f>
        <v>228083.88000000076</v>
      </c>
      <c r="L992" s="40">
        <f t="shared" si="15"/>
        <v>2.22375</v>
      </c>
      <c r="M992" s="40"/>
      <c r="N992" s="40"/>
      <c r="O992" s="40"/>
      <c r="P992" s="39"/>
      <c r="Q992" s="39"/>
      <c r="R992" s="39"/>
      <c r="S992" s="39"/>
      <c r="T992" s="39"/>
    </row>
    <row r="993" spans="1:20" x14ac:dyDescent="0.25">
      <c r="A993" t="s">
        <v>541</v>
      </c>
      <c r="B993" s="37">
        <v>52</v>
      </c>
      <c r="C993" t="str">
        <f>_xlfn.XLOOKUP(B993,'Centro de Custo'!A$2:A$45,'Centro de Custo'!B$2:B$45)</f>
        <v>Guardião Escolar</v>
      </c>
      <c r="E993" s="39">
        <v>-58311</v>
      </c>
      <c r="F993" s="40" t="s">
        <v>10</v>
      </c>
      <c r="G993" s="41">
        <v>45874.480831134264</v>
      </c>
      <c r="H993" s="42">
        <f>YEAR(Tabela3[[#This Row],[Data]])</f>
        <v>2025</v>
      </c>
      <c r="I993" s="42" t="str">
        <f>_xlfn.XLOOKUP(J993,'Centro de Custo'!J$2:J$13,'Centro de Custo'!K$2:K$13)</f>
        <v>Agosto</v>
      </c>
      <c r="J993" s="43">
        <f>MONTH(Tabela3[[#This Row],[Data]])</f>
        <v>8</v>
      </c>
      <c r="K993" s="39">
        <f>SUM(E$3:Tabela3[[#This Row],[Valor]])</f>
        <v>169772.88000000076</v>
      </c>
      <c r="L993" s="40">
        <f t="shared" si="15"/>
        <v>2.22375</v>
      </c>
      <c r="M993" s="40"/>
      <c r="N993" s="40"/>
      <c r="O993" s="40"/>
      <c r="P993" s="39"/>
      <c r="Q993" s="39"/>
      <c r="R993" s="39"/>
      <c r="S993" s="39"/>
      <c r="T993" s="39"/>
    </row>
    <row r="994" spans="1:20" x14ac:dyDescent="0.25">
      <c r="A994" t="s">
        <v>542</v>
      </c>
      <c r="B994" s="37">
        <v>52</v>
      </c>
      <c r="C994" t="str">
        <f>_xlfn.XLOOKUP(B994,'Centro de Custo'!A$2:A$45,'Centro de Custo'!B$2:B$45)</f>
        <v>Guardião Escolar</v>
      </c>
      <c r="E994" s="39">
        <v>-73005</v>
      </c>
      <c r="F994" s="40" t="s">
        <v>10</v>
      </c>
      <c r="G994" s="41">
        <v>45874.480831134264</v>
      </c>
      <c r="H994" s="42">
        <f>YEAR(Tabela3[[#This Row],[Data]])</f>
        <v>2025</v>
      </c>
      <c r="I994" s="42" t="str">
        <f>_xlfn.XLOOKUP(J994,'Centro de Custo'!J$2:J$13,'Centro de Custo'!K$2:K$13)</f>
        <v>Agosto</v>
      </c>
      <c r="J994" s="43">
        <f>MONTH(Tabela3[[#This Row],[Data]])</f>
        <v>8</v>
      </c>
      <c r="K994" s="39">
        <f>SUM(E$3:Tabela3[[#This Row],[Valor]])</f>
        <v>96767.88000000076</v>
      </c>
      <c r="L994" s="40">
        <f t="shared" si="15"/>
        <v>2.22375</v>
      </c>
      <c r="M994" s="40"/>
      <c r="N994" s="40"/>
      <c r="O994" s="40"/>
      <c r="P994" s="39"/>
      <c r="Q994" s="39"/>
      <c r="R994" s="39"/>
      <c r="S994" s="39"/>
      <c r="T994" s="39"/>
    </row>
    <row r="995" spans="1:20" x14ac:dyDescent="0.25">
      <c r="A995" t="s">
        <v>60</v>
      </c>
      <c r="B995" s="37">
        <v>20</v>
      </c>
      <c r="C995" t="str">
        <f>_xlfn.XLOOKUP(B995,'Centro de Custo'!A$2:A$45,'Centro de Custo'!B$2:B$45)</f>
        <v>Desp. ADM</v>
      </c>
      <c r="E995" s="39">
        <v>-541.13</v>
      </c>
      <c r="F995" s="40" t="s">
        <v>10</v>
      </c>
      <c r="G995" s="41">
        <v>45875</v>
      </c>
      <c r="H995" s="42">
        <f>YEAR(Tabela3[[#This Row],[Data]])</f>
        <v>2025</v>
      </c>
      <c r="I995" s="42" t="str">
        <f>_xlfn.XLOOKUP(J995,'Centro de Custo'!J$2:J$13,'Centro de Custo'!K$2:K$13)</f>
        <v>Agosto</v>
      </c>
      <c r="J995" s="43">
        <f>MONTH(Tabela3[[#This Row],[Data]])</f>
        <v>8</v>
      </c>
      <c r="K995" s="39">
        <f>SUM(E$3:Tabela3[[#This Row],[Valor]])</f>
        <v>96226.75000000076</v>
      </c>
      <c r="L995" s="40">
        <f t="shared" si="15"/>
        <v>2.22375</v>
      </c>
      <c r="M995" s="40"/>
      <c r="N995" s="40"/>
      <c r="O995" s="40"/>
      <c r="P995" s="39"/>
      <c r="Q995" s="39"/>
      <c r="R995" s="39"/>
      <c r="S995" s="39"/>
      <c r="T995" s="39"/>
    </row>
    <row r="996" spans="1:20" x14ac:dyDescent="0.25">
      <c r="A996" t="s">
        <v>401</v>
      </c>
      <c r="B996" s="37">
        <v>10</v>
      </c>
      <c r="C996" t="str">
        <f>_xlfn.XLOOKUP(B996,'Centro de Custo'!A$2:A$45,'Centro de Custo'!B$2:B$45)</f>
        <v>Retirada Mensal</v>
      </c>
      <c r="E996" s="39">
        <v>-10000</v>
      </c>
      <c r="F996" s="40" t="s">
        <v>10</v>
      </c>
      <c r="G996" s="41">
        <v>45875</v>
      </c>
      <c r="H996" s="42">
        <f>YEAR(Tabela3[[#This Row],[Data]])</f>
        <v>2025</v>
      </c>
      <c r="I996" s="42" t="str">
        <f>_xlfn.XLOOKUP(J996,'Centro de Custo'!J$2:J$13,'Centro de Custo'!K$2:K$13)</f>
        <v>Agosto</v>
      </c>
      <c r="J996" s="43">
        <f>MONTH(Tabela3[[#This Row],[Data]])</f>
        <v>8</v>
      </c>
      <c r="K996" s="39">
        <f>SUM(E$3:Tabela3[[#This Row],[Valor]])</f>
        <v>86226.75000000076</v>
      </c>
      <c r="L996" s="40">
        <f t="shared" si="15"/>
        <v>2.22375</v>
      </c>
      <c r="M996" s="40"/>
      <c r="N996" s="40"/>
      <c r="O996" s="40"/>
      <c r="P996" s="39"/>
      <c r="Q996" s="39"/>
      <c r="R996" s="39"/>
      <c r="S996" s="39"/>
      <c r="T996" s="39"/>
    </row>
    <row r="997" spans="1:20" x14ac:dyDescent="0.25">
      <c r="A997" t="s">
        <v>55</v>
      </c>
      <c r="B997" s="37">
        <v>10</v>
      </c>
      <c r="C997" t="str">
        <f>_xlfn.XLOOKUP(B997,'Centro de Custo'!A$2:A$45,'Centro de Custo'!B$2:B$45)</f>
        <v>Retirada Mensal</v>
      </c>
      <c r="E997" s="39">
        <v>-10500</v>
      </c>
      <c r="F997" s="40" t="s">
        <v>10</v>
      </c>
      <c r="G997" s="41">
        <v>45875</v>
      </c>
      <c r="H997" s="42">
        <f>YEAR(Tabela3[[#This Row],[Data]])</f>
        <v>2025</v>
      </c>
      <c r="I997" s="42" t="str">
        <f>_xlfn.XLOOKUP(J997,'Centro de Custo'!J$2:J$13,'Centro de Custo'!K$2:K$13)</f>
        <v>Agosto</v>
      </c>
      <c r="J997" s="43">
        <f>MONTH(Tabela3[[#This Row],[Data]])</f>
        <v>8</v>
      </c>
      <c r="K997" s="39">
        <f>SUM(E$3:Tabela3[[#This Row],[Valor]])</f>
        <v>75726.75000000076</v>
      </c>
      <c r="L997" s="40">
        <f t="shared" si="15"/>
        <v>2.22375</v>
      </c>
      <c r="M997" s="40"/>
      <c r="N997" s="40"/>
      <c r="O997" s="40"/>
      <c r="P997" s="39"/>
      <c r="Q997" s="39"/>
      <c r="R997" s="39"/>
      <c r="S997" s="39"/>
      <c r="T997" s="39"/>
    </row>
    <row r="998" spans="1:20" x14ac:dyDescent="0.25">
      <c r="A998" t="s">
        <v>58</v>
      </c>
      <c r="B998" s="37">
        <v>10</v>
      </c>
      <c r="C998" t="str">
        <f>_xlfn.XLOOKUP(B998,'Centro de Custo'!A$2:A$45,'Centro de Custo'!B$2:B$45)</f>
        <v>Retirada Mensal</v>
      </c>
      <c r="E998" s="39">
        <v>-11200</v>
      </c>
      <c r="F998" s="40" t="s">
        <v>10</v>
      </c>
      <c r="G998" s="41">
        <v>45875</v>
      </c>
      <c r="H998" s="42">
        <f>YEAR(Tabela3[[#This Row],[Data]])</f>
        <v>2025</v>
      </c>
      <c r="I998" s="42" t="str">
        <f>_xlfn.XLOOKUP(J998,'Centro de Custo'!J$2:J$13,'Centro de Custo'!K$2:K$13)</f>
        <v>Agosto</v>
      </c>
      <c r="J998" s="43">
        <f>MONTH(Tabela3[[#This Row],[Data]])</f>
        <v>8</v>
      </c>
      <c r="K998" s="39">
        <f>SUM(E$3:Tabela3[[#This Row],[Valor]])</f>
        <v>64526.75000000076</v>
      </c>
      <c r="L998" s="40">
        <f t="shared" si="15"/>
        <v>2.22375</v>
      </c>
      <c r="M998" s="40"/>
      <c r="N998" s="40"/>
      <c r="O998" s="40"/>
      <c r="P998" s="39"/>
      <c r="Q998" s="39"/>
      <c r="R998" s="39"/>
      <c r="S998" s="39"/>
      <c r="T998" s="39"/>
    </row>
    <row r="999" spans="1:20" x14ac:dyDescent="0.25">
      <c r="A999" t="s">
        <v>56</v>
      </c>
      <c r="B999" s="37">
        <v>10</v>
      </c>
      <c r="C999" t="str">
        <f>_xlfn.XLOOKUP(B999,'Centro de Custo'!A$2:A$45,'Centro de Custo'!B$2:B$45)</f>
        <v>Retirada Mensal</v>
      </c>
      <c r="E999" s="39">
        <v>-11500</v>
      </c>
      <c r="F999" s="40" t="s">
        <v>10</v>
      </c>
      <c r="G999" s="41">
        <v>45875</v>
      </c>
      <c r="H999" s="42">
        <f>YEAR(Tabela3[[#This Row],[Data]])</f>
        <v>2025</v>
      </c>
      <c r="I999" s="42" t="str">
        <f>_xlfn.XLOOKUP(J999,'Centro de Custo'!J$2:J$13,'Centro de Custo'!K$2:K$13)</f>
        <v>Agosto</v>
      </c>
      <c r="J999" s="43">
        <f>MONTH(Tabela3[[#This Row],[Data]])</f>
        <v>8</v>
      </c>
      <c r="K999" s="39">
        <f>SUM(E$3:Tabela3[[#This Row],[Valor]])</f>
        <v>53026.75000000076</v>
      </c>
      <c r="L999" s="40">
        <f t="shared" si="15"/>
        <v>2.22375</v>
      </c>
      <c r="M999" s="40"/>
      <c r="N999" s="40"/>
      <c r="O999" s="40"/>
      <c r="P999" s="39"/>
      <c r="Q999" s="39"/>
      <c r="R999" s="39"/>
      <c r="S999" s="39"/>
      <c r="T999" s="39"/>
    </row>
    <row r="1000" spans="1:20" x14ac:dyDescent="0.25">
      <c r="A1000" t="s">
        <v>178</v>
      </c>
      <c r="B1000" s="37">
        <v>20</v>
      </c>
      <c r="C1000" t="str">
        <f>_xlfn.XLOOKUP(B1000,'Centro de Custo'!A$2:A$45,'Centro de Custo'!B$2:B$45)</f>
        <v>Desp. ADM</v>
      </c>
      <c r="E1000" s="39">
        <v>-169.9</v>
      </c>
      <c r="F1000" s="40" t="s">
        <v>10</v>
      </c>
      <c r="G1000" s="41">
        <v>45876</v>
      </c>
      <c r="H1000" s="42">
        <f>YEAR(Tabela3[[#This Row],[Data]])</f>
        <v>2025</v>
      </c>
      <c r="I1000" s="42" t="str">
        <f>_xlfn.XLOOKUP(J1000,'Centro de Custo'!J$2:J$13,'Centro de Custo'!K$2:K$13)</f>
        <v>Agosto</v>
      </c>
      <c r="J1000" s="43">
        <f>MONTH(Tabela3[[#This Row],[Data]])</f>
        <v>8</v>
      </c>
      <c r="K1000" s="39">
        <f>SUM(E$3:Tabela3[[#This Row],[Valor]])</f>
        <v>52856.850000000755</v>
      </c>
      <c r="L1000" s="40">
        <f t="shared" si="15"/>
        <v>2.22375</v>
      </c>
      <c r="M1000" s="40"/>
      <c r="N1000" s="40"/>
      <c r="O1000" s="40"/>
      <c r="P1000" s="39"/>
      <c r="Q1000" s="39"/>
      <c r="R1000" s="39"/>
      <c r="S1000" s="39"/>
      <c r="T1000" s="39"/>
    </row>
    <row r="1001" spans="1:20" x14ac:dyDescent="0.25">
      <c r="A1001" t="s">
        <v>543</v>
      </c>
      <c r="B1001" s="37">
        <v>43</v>
      </c>
      <c r="C1001" t="str">
        <f>_xlfn.XLOOKUP(B1001,'Centro de Custo'!A$2:A$45,'Centro de Custo'!B$2:B$45)</f>
        <v>Setor Privado</v>
      </c>
      <c r="E1001" s="39">
        <v>-733.2</v>
      </c>
      <c r="F1001" s="40" t="s">
        <v>10</v>
      </c>
      <c r="G1001" s="41">
        <v>45876</v>
      </c>
      <c r="H1001" s="42">
        <f>YEAR(Tabela3[[#This Row],[Data]])</f>
        <v>2025</v>
      </c>
      <c r="I1001" s="42" t="str">
        <f>_xlfn.XLOOKUP(J1001,'Centro de Custo'!J$2:J$13,'Centro de Custo'!K$2:K$13)</f>
        <v>Agosto</v>
      </c>
      <c r="J1001" s="43">
        <f>MONTH(Tabela3[[#This Row],[Data]])</f>
        <v>8</v>
      </c>
      <c r="K1001" s="39">
        <f>SUM(E$3:Tabela3[[#This Row],[Valor]])</f>
        <v>52123.65000000076</v>
      </c>
      <c r="L1001" s="40">
        <f t="shared" si="15"/>
        <v>2.22375</v>
      </c>
      <c r="M1001" s="40"/>
      <c r="N1001" s="40"/>
      <c r="O1001" s="40"/>
      <c r="P1001" s="39"/>
      <c r="Q1001" s="39"/>
      <c r="R1001" s="39"/>
      <c r="S1001" s="39"/>
      <c r="T1001" s="39"/>
    </row>
    <row r="1002" spans="1:20" x14ac:dyDescent="0.25">
      <c r="A1002" t="s">
        <v>190</v>
      </c>
      <c r="B1002" s="37">
        <v>20</v>
      </c>
      <c r="C1002" t="str">
        <f>_xlfn.XLOOKUP(B1002,'Centro de Custo'!A$2:A$45,'Centro de Custo'!B$2:B$45)</f>
        <v>Desp. ADM</v>
      </c>
      <c r="E1002" s="39">
        <v>-2099.93</v>
      </c>
      <c r="F1002" s="40" t="s">
        <v>10</v>
      </c>
      <c r="G1002" s="41">
        <v>45876</v>
      </c>
      <c r="H1002" s="42">
        <f>YEAR(Tabela3[[#This Row],[Data]])</f>
        <v>2025</v>
      </c>
      <c r="I1002" s="42" t="str">
        <f>_xlfn.XLOOKUP(J1002,'Centro de Custo'!J$2:J$13,'Centro de Custo'!K$2:K$13)</f>
        <v>Agosto</v>
      </c>
      <c r="J1002" s="43">
        <f>MONTH(Tabela3[[#This Row],[Data]])</f>
        <v>8</v>
      </c>
      <c r="K1002" s="39">
        <f>SUM(E$3:Tabela3[[#This Row],[Valor]])</f>
        <v>50023.72000000076</v>
      </c>
      <c r="L1002" s="40">
        <f t="shared" si="15"/>
        <v>2.22375</v>
      </c>
      <c r="M1002" s="40"/>
      <c r="N1002" s="40"/>
      <c r="O1002" s="40"/>
      <c r="P1002" s="39"/>
      <c r="Q1002" s="39"/>
      <c r="R1002" s="39"/>
      <c r="S1002" s="39"/>
      <c r="T1002" s="39"/>
    </row>
    <row r="1003" spans="1:20" x14ac:dyDescent="0.25">
      <c r="A1003" t="s">
        <v>190</v>
      </c>
      <c r="B1003" s="37">
        <v>20</v>
      </c>
      <c r="C1003" t="str">
        <f>_xlfn.XLOOKUP(B1003,'Centro de Custo'!A$2:A$45,'Centro de Custo'!B$2:B$45)</f>
        <v>Desp. ADM</v>
      </c>
      <c r="E1003" s="39">
        <v>-4886.44</v>
      </c>
      <c r="F1003" s="40" t="s">
        <v>10</v>
      </c>
      <c r="G1003" s="41">
        <v>45876</v>
      </c>
      <c r="H1003" s="42">
        <f>YEAR(Tabela3[[#This Row],[Data]])</f>
        <v>2025</v>
      </c>
      <c r="I1003" s="42" t="str">
        <f>_xlfn.XLOOKUP(J1003,'Centro de Custo'!J$2:J$13,'Centro de Custo'!K$2:K$13)</f>
        <v>Agosto</v>
      </c>
      <c r="J1003" s="43">
        <f>MONTH(Tabela3[[#This Row],[Data]])</f>
        <v>8</v>
      </c>
      <c r="K1003" s="39">
        <f>SUM(E$3:Tabela3[[#This Row],[Valor]])</f>
        <v>45137.280000000756</v>
      </c>
      <c r="L1003" s="40">
        <f t="shared" si="15"/>
        <v>2.22375</v>
      </c>
      <c r="M1003" s="40"/>
      <c r="N1003" s="40"/>
      <c r="O1003" s="40"/>
      <c r="P1003" s="39"/>
      <c r="Q1003" s="39"/>
      <c r="R1003" s="39"/>
      <c r="S1003" s="39"/>
      <c r="T1003" s="39"/>
    </row>
    <row r="1004" spans="1:20" x14ac:dyDescent="0.25">
      <c r="A1004" t="s">
        <v>544</v>
      </c>
      <c r="B1004" s="37">
        <v>10</v>
      </c>
      <c r="C1004" t="str">
        <f>_xlfn.XLOOKUP(B1004,'Centro de Custo'!A$2:A$45,'Centro de Custo'!B$2:B$45)</f>
        <v>Retirada Mensal</v>
      </c>
      <c r="E1004" s="39">
        <v>-10430</v>
      </c>
      <c r="F1004" s="40" t="s">
        <v>10</v>
      </c>
      <c r="G1004" s="41">
        <v>45876</v>
      </c>
      <c r="H1004" s="42">
        <f>YEAR(Tabela3[[#This Row],[Data]])</f>
        <v>2025</v>
      </c>
      <c r="I1004" s="42" t="str">
        <f>_xlfn.XLOOKUP(J1004,'Centro de Custo'!J$2:J$13,'Centro de Custo'!K$2:K$13)</f>
        <v>Agosto</v>
      </c>
      <c r="J1004" s="43">
        <f>MONTH(Tabela3[[#This Row],[Data]])</f>
        <v>8</v>
      </c>
      <c r="K1004" s="39">
        <f>SUM(E$3:Tabela3[[#This Row],[Valor]])</f>
        <v>34707.280000000756</v>
      </c>
      <c r="L1004" s="40">
        <f t="shared" si="15"/>
        <v>2.22375</v>
      </c>
      <c r="M1004" s="40"/>
      <c r="N1004" s="40"/>
      <c r="O1004" s="40"/>
      <c r="P1004" s="39"/>
      <c r="Q1004" s="39"/>
      <c r="R1004" s="39"/>
      <c r="S1004" s="39"/>
      <c r="T1004" s="39"/>
    </row>
    <row r="1005" spans="1:20" x14ac:dyDescent="0.25">
      <c r="A1005" t="s">
        <v>545</v>
      </c>
      <c r="B1005" s="37">
        <v>15</v>
      </c>
      <c r="C1005" t="str">
        <f>_xlfn.XLOOKUP(B1005,'Centro de Custo'!A$2:A$45,'Centro de Custo'!B$2:B$45)</f>
        <v>Viagens</v>
      </c>
      <c r="E1005" s="39">
        <v>-11435</v>
      </c>
      <c r="F1005" s="40" t="s">
        <v>10</v>
      </c>
      <c r="G1005" s="41">
        <v>45876</v>
      </c>
      <c r="H1005" s="42">
        <f>YEAR(Tabela3[[#This Row],[Data]])</f>
        <v>2025</v>
      </c>
      <c r="I1005" s="42" t="str">
        <f>_xlfn.XLOOKUP(J1005,'Centro de Custo'!J$2:J$13,'Centro de Custo'!K$2:K$13)</f>
        <v>Agosto</v>
      </c>
      <c r="J1005" s="43">
        <f>MONTH(Tabela3[[#This Row],[Data]])</f>
        <v>8</v>
      </c>
      <c r="K1005" s="39">
        <f>SUM(E$3:Tabela3[[#This Row],[Valor]])</f>
        <v>23272.280000000756</v>
      </c>
      <c r="L1005" s="40">
        <f t="shared" si="15"/>
        <v>2.22375</v>
      </c>
      <c r="M1005" s="40"/>
      <c r="N1005" s="40"/>
      <c r="O1005" s="40"/>
      <c r="P1005" s="39"/>
      <c r="Q1005" s="39"/>
      <c r="R1005" s="39"/>
      <c r="S1005" s="39"/>
      <c r="T1005" s="39"/>
    </row>
    <row r="1006" spans="1:20" x14ac:dyDescent="0.25">
      <c r="A1006" t="s">
        <v>546</v>
      </c>
      <c r="B1006" s="37">
        <v>22</v>
      </c>
      <c r="C1006" t="str">
        <f>_xlfn.XLOOKUP(B1006,'Centro de Custo'!A$2:A$45,'Centro de Custo'!B$2:B$45)</f>
        <v>Doação</v>
      </c>
      <c r="E1006" s="39">
        <v>-18135</v>
      </c>
      <c r="F1006" s="40" t="s">
        <v>10</v>
      </c>
      <c r="G1006" s="41">
        <v>45876</v>
      </c>
      <c r="H1006" s="42">
        <f>YEAR(Tabela3[[#This Row],[Data]])</f>
        <v>2025</v>
      </c>
      <c r="I1006" s="42" t="str">
        <f>_xlfn.XLOOKUP(J1006,'Centro de Custo'!J$2:J$13,'Centro de Custo'!K$2:K$13)</f>
        <v>Agosto</v>
      </c>
      <c r="J1006" s="43">
        <f>MONTH(Tabela3[[#This Row],[Data]])</f>
        <v>8</v>
      </c>
      <c r="K1006" s="39">
        <f>SUM(E$3:Tabela3[[#This Row],[Valor]])</f>
        <v>5137.2800000007555</v>
      </c>
      <c r="L1006" s="40">
        <f t="shared" si="15"/>
        <v>2.22375</v>
      </c>
      <c r="M1006" s="40"/>
      <c r="N1006" s="40"/>
      <c r="O1006" s="40"/>
      <c r="P1006" s="39"/>
      <c r="Q1006" s="39"/>
      <c r="R1006" s="39"/>
      <c r="S1006" s="39"/>
      <c r="T1006" s="39"/>
    </row>
    <row r="1007" spans="1:20" x14ac:dyDescent="0.25">
      <c r="A1007" t="s">
        <v>430</v>
      </c>
      <c r="B1007" s="37">
        <v>41</v>
      </c>
      <c r="C1007" t="str">
        <f>_xlfn.XLOOKUP(B1007,'Centro de Custo'!A$2:A$45,'Centro de Custo'!B$2:B$45)</f>
        <v>Resgate Financeiro</v>
      </c>
      <c r="E1007" s="39">
        <v>69974.57</v>
      </c>
      <c r="F1007" s="40" t="s">
        <v>10</v>
      </c>
      <c r="G1007" s="41">
        <v>45880</v>
      </c>
      <c r="H1007" s="42">
        <f>YEAR(Tabela3[[#This Row],[Data]])</f>
        <v>2025</v>
      </c>
      <c r="I1007" s="42" t="str">
        <f>_xlfn.XLOOKUP(J1007,'Centro de Custo'!J$2:J$13,'Centro de Custo'!K$2:K$13)</f>
        <v>Agosto</v>
      </c>
      <c r="J1007" s="43">
        <f>MONTH(Tabela3[[#This Row],[Data]])</f>
        <v>8</v>
      </c>
      <c r="K1007" s="39">
        <f>SUM(E$3:Tabela3[[#This Row],[Valor]])</f>
        <v>75111.85000000076</v>
      </c>
      <c r="L1007" s="40">
        <f t="shared" si="15"/>
        <v>2.22375</v>
      </c>
      <c r="M1007" s="40"/>
      <c r="N1007" s="40"/>
      <c r="O1007" s="40"/>
      <c r="P1007" s="39"/>
      <c r="Q1007" s="39"/>
      <c r="R1007" s="39"/>
      <c r="S1007" s="39"/>
      <c r="T1007" s="39"/>
    </row>
    <row r="1008" spans="1:20" x14ac:dyDescent="0.25">
      <c r="A1008" t="s">
        <v>244</v>
      </c>
      <c r="B1008" s="37">
        <v>13</v>
      </c>
      <c r="C1008" t="str">
        <f>_xlfn.XLOOKUP(B1008,'Centro de Custo'!A$2:A$45,'Centro de Custo'!B$2:B$45)</f>
        <v>Terceirizados</v>
      </c>
      <c r="E1008" s="39">
        <v>-550</v>
      </c>
      <c r="F1008" s="40" t="s">
        <v>10</v>
      </c>
      <c r="G1008" s="41">
        <v>45880</v>
      </c>
      <c r="H1008" s="42">
        <f>YEAR(Tabela3[[#This Row],[Data]])</f>
        <v>2025</v>
      </c>
      <c r="I1008" s="42" t="str">
        <f>_xlfn.XLOOKUP(J1008,'Centro de Custo'!J$2:J$13,'Centro de Custo'!K$2:K$13)</f>
        <v>Agosto</v>
      </c>
      <c r="J1008" s="43">
        <f>MONTH(Tabela3[[#This Row],[Data]])</f>
        <v>8</v>
      </c>
      <c r="K1008" s="39">
        <f>SUM(E$3:Tabela3[[#This Row],[Valor]])</f>
        <v>74561.85000000076</v>
      </c>
      <c r="L1008" s="40">
        <f t="shared" si="15"/>
        <v>2.22375</v>
      </c>
      <c r="M1008" s="40"/>
      <c r="N1008" s="40"/>
      <c r="O1008" s="40"/>
      <c r="P1008" s="39"/>
      <c r="Q1008" s="39"/>
      <c r="R1008" s="39"/>
      <c r="S1008" s="39"/>
      <c r="T1008" s="39"/>
    </row>
    <row r="1009" spans="1:20" x14ac:dyDescent="0.25">
      <c r="A1009" t="s">
        <v>547</v>
      </c>
      <c r="B1009" s="37">
        <v>31</v>
      </c>
      <c r="C1009" t="str">
        <f>_xlfn.XLOOKUP(B1009,'Centro de Custo'!A$2:A$45,'Centro de Custo'!B$2:B$45)</f>
        <v>Marketing</v>
      </c>
      <c r="E1009" s="39">
        <v>-4500</v>
      </c>
      <c r="F1009" s="40" t="s">
        <v>10</v>
      </c>
      <c r="G1009" s="41">
        <v>45880</v>
      </c>
      <c r="H1009" s="42">
        <f>YEAR(Tabela3[[#This Row],[Data]])</f>
        <v>2025</v>
      </c>
      <c r="I1009" s="42" t="str">
        <f>_xlfn.XLOOKUP(J1009,'Centro de Custo'!J$2:J$13,'Centro de Custo'!K$2:K$13)</f>
        <v>Agosto</v>
      </c>
      <c r="J1009" s="43">
        <f>MONTH(Tabela3[[#This Row],[Data]])</f>
        <v>8</v>
      </c>
      <c r="K1009" s="39">
        <f>SUM(E$3:Tabela3[[#This Row],[Valor]])</f>
        <v>70061.85000000076</v>
      </c>
      <c r="L1009" s="40">
        <f t="shared" si="15"/>
        <v>2.22375</v>
      </c>
      <c r="M1009" s="40"/>
      <c r="N1009" s="40"/>
      <c r="O1009" s="40"/>
      <c r="P1009" s="39"/>
      <c r="Q1009" s="39"/>
      <c r="R1009" s="39"/>
      <c r="S1009" s="39"/>
      <c r="T1009" s="39"/>
    </row>
    <row r="1010" spans="1:20" x14ac:dyDescent="0.25">
      <c r="A1010" t="s">
        <v>548</v>
      </c>
      <c r="B1010" s="37">
        <v>43</v>
      </c>
      <c r="C1010" t="str">
        <f>_xlfn.XLOOKUP(B1010,'Centro de Custo'!A$2:A$45,'Centro de Custo'!B$2:B$45)</f>
        <v>Setor Privado</v>
      </c>
      <c r="E1010" s="39">
        <v>-15000</v>
      </c>
      <c r="F1010" s="40" t="s">
        <v>10</v>
      </c>
      <c r="G1010" s="41">
        <v>45880</v>
      </c>
      <c r="H1010" s="42">
        <f>YEAR(Tabela3[[#This Row],[Data]])</f>
        <v>2025</v>
      </c>
      <c r="I1010" s="42" t="str">
        <f>_xlfn.XLOOKUP(J1010,'Centro de Custo'!J$2:J$13,'Centro de Custo'!K$2:K$13)</f>
        <v>Agosto</v>
      </c>
      <c r="J1010" s="43">
        <f>MONTH(Tabela3[[#This Row],[Data]])</f>
        <v>8</v>
      </c>
      <c r="K1010" s="39">
        <f>SUM(E$3:Tabela3[[#This Row],[Valor]])</f>
        <v>55061.85000000076</v>
      </c>
      <c r="L1010" s="40">
        <f t="shared" si="15"/>
        <v>2.22375</v>
      </c>
      <c r="M1010" s="40"/>
      <c r="N1010" s="40"/>
      <c r="O1010" s="40"/>
      <c r="P1010" s="39"/>
      <c r="Q1010" s="39"/>
      <c r="R1010" s="39"/>
      <c r="S1010" s="39"/>
      <c r="T1010" s="39"/>
    </row>
    <row r="1011" spans="1:20" x14ac:dyDescent="0.25">
      <c r="A1011" t="s">
        <v>111</v>
      </c>
      <c r="B1011" s="37">
        <v>14</v>
      </c>
      <c r="C1011" t="str">
        <f>_xlfn.XLOOKUP(B1011,'Centro de Custo'!A$2:A$45,'Centro de Custo'!B$2:B$45)</f>
        <v>Outros</v>
      </c>
      <c r="E1011" s="39">
        <v>-5000</v>
      </c>
      <c r="F1011" s="40" t="s">
        <v>10</v>
      </c>
      <c r="G1011" s="41">
        <v>45881</v>
      </c>
      <c r="H1011" s="42">
        <f>YEAR(Tabela3[[#This Row],[Data]])</f>
        <v>2025</v>
      </c>
      <c r="I1011" s="42" t="str">
        <f>_xlfn.XLOOKUP(J1011,'Centro de Custo'!J$2:J$13,'Centro de Custo'!K$2:K$13)</f>
        <v>Agosto</v>
      </c>
      <c r="J1011" s="43">
        <f>MONTH(Tabela3[[#This Row],[Data]])</f>
        <v>8</v>
      </c>
      <c r="K1011" s="39">
        <f>SUM(E$3:Tabela3[[#This Row],[Valor]])</f>
        <v>50061.85000000076</v>
      </c>
      <c r="L1011" s="40">
        <f t="shared" si="15"/>
        <v>2.22375</v>
      </c>
      <c r="M1011" s="40"/>
      <c r="N1011" s="40"/>
      <c r="O1011" s="40"/>
      <c r="P1011" s="39"/>
      <c r="Q1011" s="39"/>
      <c r="R1011" s="39"/>
      <c r="S1011" s="39"/>
      <c r="T1011" s="39"/>
    </row>
    <row r="1012" spans="1:20" x14ac:dyDescent="0.25">
      <c r="A1012" t="s">
        <v>549</v>
      </c>
      <c r="B1012" s="37">
        <v>12</v>
      </c>
      <c r="C1012" t="str">
        <f>_xlfn.XLOOKUP(B1012,'Centro de Custo'!A$2:A$45,'Centro de Custo'!B$2:B$45)</f>
        <v>Direitos Autorais Terceiros</v>
      </c>
      <c r="E1012" s="39">
        <v>-10000</v>
      </c>
      <c r="F1012" s="40" t="s">
        <v>10</v>
      </c>
      <c r="G1012" s="41">
        <v>45881</v>
      </c>
      <c r="H1012" s="42">
        <f>YEAR(Tabela3[[#This Row],[Data]])</f>
        <v>2025</v>
      </c>
      <c r="I1012" s="42" t="str">
        <f>_xlfn.XLOOKUP(J1012,'Centro de Custo'!J$2:J$13,'Centro de Custo'!K$2:K$13)</f>
        <v>Agosto</v>
      </c>
      <c r="J1012" s="43">
        <f>MONTH(Tabela3[[#This Row],[Data]])</f>
        <v>8</v>
      </c>
      <c r="K1012" s="39">
        <f>SUM(E$3:Tabela3[[#This Row],[Valor]])</f>
        <v>40061.85000000076</v>
      </c>
      <c r="L1012" s="40">
        <f t="shared" si="15"/>
        <v>2.22375</v>
      </c>
      <c r="M1012" s="40"/>
      <c r="N1012" s="40"/>
      <c r="O1012" s="40"/>
      <c r="P1012" s="39"/>
      <c r="Q1012" s="39"/>
      <c r="R1012" s="39"/>
      <c r="S1012" s="39"/>
      <c r="T1012" s="39"/>
    </row>
    <row r="1013" spans="1:20" x14ac:dyDescent="0.25">
      <c r="A1013" t="s">
        <v>550</v>
      </c>
      <c r="B1013" s="37">
        <v>14</v>
      </c>
      <c r="C1013" t="str">
        <f>_xlfn.XLOOKUP(B1013,'Centro de Custo'!A$2:A$45,'Centro de Custo'!B$2:B$45)</f>
        <v>Outros</v>
      </c>
      <c r="E1013" s="39">
        <v>-10000</v>
      </c>
      <c r="F1013" s="40" t="s">
        <v>10</v>
      </c>
      <c r="G1013" s="41">
        <v>45881</v>
      </c>
      <c r="H1013" s="42">
        <f>YEAR(Tabela3[[#This Row],[Data]])</f>
        <v>2025</v>
      </c>
      <c r="I1013" s="42" t="str">
        <f>_xlfn.XLOOKUP(J1013,'Centro de Custo'!J$2:J$13,'Centro de Custo'!K$2:K$13)</f>
        <v>Agosto</v>
      </c>
      <c r="J1013" s="43">
        <f>MONTH(Tabela3[[#This Row],[Data]])</f>
        <v>8</v>
      </c>
      <c r="K1013" s="39">
        <f>SUM(E$3:Tabela3[[#This Row],[Valor]])</f>
        <v>30061.850000000763</v>
      </c>
      <c r="L1013" s="40">
        <f t="shared" si="15"/>
        <v>2.22375</v>
      </c>
      <c r="M1013" s="40"/>
      <c r="N1013" s="40"/>
      <c r="O1013" s="40"/>
      <c r="P1013" s="39"/>
      <c r="Q1013" s="39"/>
      <c r="R1013" s="39"/>
      <c r="S1013" s="39"/>
      <c r="T1013" s="39"/>
    </row>
    <row r="1014" spans="1:20" x14ac:dyDescent="0.25">
      <c r="A1014" t="s">
        <v>476</v>
      </c>
      <c r="B1014" s="37">
        <v>15</v>
      </c>
      <c r="C1014" t="str">
        <f>_xlfn.XLOOKUP(B1014,'Centro de Custo'!A$2:A$45,'Centro de Custo'!B$2:B$45)</f>
        <v>Viagens</v>
      </c>
      <c r="E1014" s="39">
        <v>-300</v>
      </c>
      <c r="F1014" s="40" t="s">
        <v>10</v>
      </c>
      <c r="G1014" s="41">
        <v>45882</v>
      </c>
      <c r="H1014" s="42">
        <f>YEAR(Tabela3[[#This Row],[Data]])</f>
        <v>2025</v>
      </c>
      <c r="I1014" s="42" t="str">
        <f>_xlfn.XLOOKUP(J1014,'Centro de Custo'!J$2:J$13,'Centro de Custo'!K$2:K$13)</f>
        <v>Agosto</v>
      </c>
      <c r="J1014" s="43">
        <f>MONTH(Tabela3[[#This Row],[Data]])</f>
        <v>8</v>
      </c>
      <c r="K1014" s="39">
        <f>SUM(E$3:Tabela3[[#This Row],[Valor]])</f>
        <v>29761.850000000763</v>
      </c>
      <c r="L1014" s="40">
        <f t="shared" si="15"/>
        <v>2.22375</v>
      </c>
      <c r="M1014" s="40"/>
      <c r="N1014" s="40"/>
      <c r="O1014" s="40"/>
      <c r="P1014" s="39"/>
      <c r="Q1014" s="39"/>
      <c r="R1014" s="39"/>
      <c r="S1014" s="39"/>
      <c r="T1014" s="39"/>
    </row>
    <row r="1015" spans="1:20" x14ac:dyDescent="0.25">
      <c r="A1015" t="s">
        <v>551</v>
      </c>
      <c r="B1015" s="37">
        <v>14</v>
      </c>
      <c r="C1015" t="str">
        <f>_xlfn.XLOOKUP(B1015,'Centro de Custo'!A$2:A$45,'Centro de Custo'!B$2:B$45)</f>
        <v>Outros</v>
      </c>
      <c r="E1015" s="39">
        <v>-372.8</v>
      </c>
      <c r="F1015" s="40" t="s">
        <v>10</v>
      </c>
      <c r="G1015" s="41">
        <v>45882</v>
      </c>
      <c r="H1015" s="42">
        <f>YEAR(Tabela3[[#This Row],[Data]])</f>
        <v>2025</v>
      </c>
      <c r="I1015" s="42" t="str">
        <f>_xlfn.XLOOKUP(J1015,'Centro de Custo'!J$2:J$13,'Centro de Custo'!K$2:K$13)</f>
        <v>Agosto</v>
      </c>
      <c r="J1015" s="43">
        <f>MONTH(Tabela3[[#This Row],[Data]])</f>
        <v>8</v>
      </c>
      <c r="K1015" s="39">
        <f>SUM(E$3:Tabela3[[#This Row],[Valor]])</f>
        <v>29389.050000000763</v>
      </c>
      <c r="L1015" s="40">
        <f t="shared" si="15"/>
        <v>2.22375</v>
      </c>
      <c r="M1015" s="40"/>
      <c r="N1015" s="40"/>
      <c r="O1015" s="40"/>
      <c r="P1015" s="39"/>
      <c r="Q1015" s="39"/>
      <c r="R1015" s="39"/>
      <c r="S1015" s="39"/>
      <c r="T1015" s="39"/>
    </row>
    <row r="1016" spans="1:20" x14ac:dyDescent="0.25">
      <c r="A1016" t="s">
        <v>389</v>
      </c>
      <c r="B1016" s="37">
        <v>30</v>
      </c>
      <c r="C1016" t="str">
        <f>_xlfn.XLOOKUP(B1016,'Centro de Custo'!A$2:A$45,'Centro de Custo'!B$2:B$45)</f>
        <v>Impostos</v>
      </c>
      <c r="E1016" s="39">
        <v>-1800</v>
      </c>
      <c r="F1016" s="40" t="s">
        <v>10</v>
      </c>
      <c r="G1016" s="41">
        <v>45882</v>
      </c>
      <c r="H1016" s="42">
        <f>YEAR(Tabela3[[#This Row],[Data]])</f>
        <v>2025</v>
      </c>
      <c r="I1016" s="42" t="str">
        <f>_xlfn.XLOOKUP(J1016,'Centro de Custo'!J$2:J$13,'Centro de Custo'!K$2:K$13)</f>
        <v>Agosto</v>
      </c>
      <c r="J1016" s="43">
        <f>MONTH(Tabela3[[#This Row],[Data]])</f>
        <v>8</v>
      </c>
      <c r="K1016" s="39">
        <f>SUM(E$3:Tabela3[[#This Row],[Valor]])</f>
        <v>27589.050000000763</v>
      </c>
      <c r="L1016" s="40">
        <f t="shared" si="15"/>
        <v>2.22375</v>
      </c>
      <c r="M1016" s="40"/>
      <c r="N1016" s="40"/>
      <c r="O1016" s="40"/>
      <c r="P1016" s="39"/>
      <c r="Q1016" s="39"/>
      <c r="R1016" s="39"/>
      <c r="S1016" s="39"/>
      <c r="T1016" s="39"/>
    </row>
    <row r="1017" spans="1:20" x14ac:dyDescent="0.25">
      <c r="A1017" t="s">
        <v>552</v>
      </c>
      <c r="B1017" s="37">
        <v>14</v>
      </c>
      <c r="C1017" t="str">
        <f>_xlfn.XLOOKUP(B1017,'Centro de Custo'!A$2:A$45,'Centro de Custo'!B$2:B$45)</f>
        <v>Outros</v>
      </c>
      <c r="E1017" s="39">
        <v>-140</v>
      </c>
      <c r="F1017" s="40" t="s">
        <v>10</v>
      </c>
      <c r="G1017" s="41">
        <v>45887</v>
      </c>
      <c r="H1017" s="42">
        <f>YEAR(Tabela3[[#This Row],[Data]])</f>
        <v>2025</v>
      </c>
      <c r="I1017" s="42" t="str">
        <f>_xlfn.XLOOKUP(J1017,'Centro de Custo'!J$2:J$13,'Centro de Custo'!K$2:K$13)</f>
        <v>Agosto</v>
      </c>
      <c r="J1017" s="43">
        <f>MONTH(Tabela3[[#This Row],[Data]])</f>
        <v>8</v>
      </c>
      <c r="K1017" s="39">
        <f>SUM(E$3:Tabela3[[#This Row],[Valor]])</f>
        <v>27449.050000000763</v>
      </c>
      <c r="L1017" s="40">
        <f t="shared" si="15"/>
        <v>2.22375</v>
      </c>
      <c r="M1017" s="40"/>
      <c r="N1017" s="40"/>
      <c r="O1017" s="40"/>
      <c r="P1017" s="39"/>
      <c r="Q1017" s="39"/>
      <c r="R1017" s="39"/>
      <c r="S1017" s="39"/>
      <c r="T1017" s="39"/>
    </row>
    <row r="1018" spans="1:20" x14ac:dyDescent="0.25">
      <c r="A1018" t="s">
        <v>552</v>
      </c>
      <c r="B1018" s="37">
        <v>14</v>
      </c>
      <c r="C1018" t="str">
        <f>_xlfn.XLOOKUP(B1018,'Centro de Custo'!A$2:A$45,'Centro de Custo'!B$2:B$45)</f>
        <v>Outros</v>
      </c>
      <c r="E1018" s="39">
        <v>-324.77</v>
      </c>
      <c r="F1018" s="40" t="s">
        <v>10</v>
      </c>
      <c r="G1018" s="41">
        <v>45887</v>
      </c>
      <c r="H1018" s="42">
        <f>YEAR(Tabela3[[#This Row],[Data]])</f>
        <v>2025</v>
      </c>
      <c r="I1018" s="42" t="str">
        <f>_xlfn.XLOOKUP(J1018,'Centro de Custo'!J$2:J$13,'Centro de Custo'!K$2:K$13)</f>
        <v>Agosto</v>
      </c>
      <c r="J1018" s="43">
        <f>MONTH(Tabela3[[#This Row],[Data]])</f>
        <v>8</v>
      </c>
      <c r="K1018" s="39">
        <f>SUM(E$3:Tabela3[[#This Row],[Valor]])</f>
        <v>27124.280000000763</v>
      </c>
      <c r="L1018" s="40">
        <f t="shared" si="15"/>
        <v>2.22375</v>
      </c>
      <c r="M1018" s="40"/>
      <c r="N1018" s="40"/>
      <c r="O1018" s="40"/>
      <c r="P1018" s="39"/>
      <c r="Q1018" s="39"/>
      <c r="R1018" s="39"/>
      <c r="S1018" s="39"/>
      <c r="T1018" s="39"/>
    </row>
    <row r="1019" spans="1:20" x14ac:dyDescent="0.25">
      <c r="A1019" t="s">
        <v>553</v>
      </c>
      <c r="B1019" s="37">
        <v>20</v>
      </c>
      <c r="C1019" t="str">
        <f>_xlfn.XLOOKUP(B1019,'Centro de Custo'!A$2:A$45,'Centro de Custo'!B$2:B$45)</f>
        <v>Desp. ADM</v>
      </c>
      <c r="E1019" s="39">
        <v>-283.35</v>
      </c>
      <c r="F1019" s="40" t="s">
        <v>10</v>
      </c>
      <c r="G1019" s="41">
        <v>45888</v>
      </c>
      <c r="H1019" s="42">
        <f>YEAR(Tabela3[[#This Row],[Data]])</f>
        <v>2025</v>
      </c>
      <c r="I1019" s="42" t="str">
        <f>_xlfn.XLOOKUP(J1019,'Centro de Custo'!J$2:J$13,'Centro de Custo'!K$2:K$13)</f>
        <v>Agosto</v>
      </c>
      <c r="J1019" s="43">
        <f>MONTH(Tabela3[[#This Row],[Data]])</f>
        <v>8</v>
      </c>
      <c r="K1019" s="39">
        <f>SUM(E$3:Tabela3[[#This Row],[Valor]])</f>
        <v>26840.930000000764</v>
      </c>
      <c r="L1019" s="40">
        <f t="shared" si="15"/>
        <v>2.22375</v>
      </c>
      <c r="M1019" s="40"/>
      <c r="N1019" s="40"/>
      <c r="O1019" s="40"/>
      <c r="P1019" s="39"/>
      <c r="Q1019" s="39"/>
      <c r="R1019" s="39"/>
      <c r="S1019" s="39"/>
      <c r="T1019" s="39"/>
    </row>
    <row r="1020" spans="1:20" x14ac:dyDescent="0.25">
      <c r="A1020" t="s">
        <v>554</v>
      </c>
      <c r="B1020" s="37">
        <v>20</v>
      </c>
      <c r="C1020" t="str">
        <f>_xlfn.XLOOKUP(B1020,'Centro de Custo'!A$2:A$45,'Centro de Custo'!B$2:B$45)</f>
        <v>Desp. ADM</v>
      </c>
      <c r="E1020" s="39">
        <v>-725.33</v>
      </c>
      <c r="F1020" s="40" t="s">
        <v>10</v>
      </c>
      <c r="G1020" s="41">
        <v>45888</v>
      </c>
      <c r="H1020" s="42">
        <f>YEAR(Tabela3[[#This Row],[Data]])</f>
        <v>2025</v>
      </c>
      <c r="I1020" s="42" t="str">
        <f>_xlfn.XLOOKUP(J1020,'Centro de Custo'!J$2:J$13,'Centro de Custo'!K$2:K$13)</f>
        <v>Agosto</v>
      </c>
      <c r="J1020" s="43">
        <f>MONTH(Tabela3[[#This Row],[Data]])</f>
        <v>8</v>
      </c>
      <c r="K1020" s="39">
        <f>SUM(E$3:Tabela3[[#This Row],[Valor]])</f>
        <v>26115.600000000763</v>
      </c>
      <c r="L1020" s="40">
        <f t="shared" si="15"/>
        <v>2.22375</v>
      </c>
      <c r="M1020" s="40"/>
      <c r="N1020" s="40"/>
      <c r="O1020" s="40"/>
      <c r="P1020" s="39"/>
      <c r="Q1020" s="39"/>
      <c r="R1020" s="39"/>
      <c r="S1020" s="39"/>
      <c r="T1020" s="39"/>
    </row>
    <row r="1021" spans="1:20" x14ac:dyDescent="0.25">
      <c r="A1021" t="s">
        <v>555</v>
      </c>
      <c r="B1021" s="37">
        <v>14</v>
      </c>
      <c r="C1021" t="str">
        <f>_xlfn.XLOOKUP(B1021,'Centro de Custo'!A$2:A$45,'Centro de Custo'!B$2:B$45)</f>
        <v>Outros</v>
      </c>
      <c r="E1021" s="39">
        <v>-783.56</v>
      </c>
      <c r="F1021" s="40" t="s">
        <v>10</v>
      </c>
      <c r="G1021" s="41">
        <v>45888</v>
      </c>
      <c r="H1021" s="42">
        <f>YEAR(Tabela3[[#This Row],[Data]])</f>
        <v>2025</v>
      </c>
      <c r="I1021" s="42" t="str">
        <f>_xlfn.XLOOKUP(J1021,'Centro de Custo'!J$2:J$13,'Centro de Custo'!K$2:K$13)</f>
        <v>Agosto</v>
      </c>
      <c r="J1021" s="43">
        <f>MONTH(Tabela3[[#This Row],[Data]])</f>
        <v>8</v>
      </c>
      <c r="K1021" s="39">
        <f>SUM(E$3:Tabela3[[#This Row],[Valor]])</f>
        <v>25332.04000000076</v>
      </c>
      <c r="L1021" s="40">
        <f t="shared" si="15"/>
        <v>2.22375</v>
      </c>
      <c r="M1021" s="40"/>
      <c r="N1021" s="40"/>
      <c r="O1021" s="40"/>
      <c r="P1021" s="39"/>
      <c r="Q1021" s="39"/>
      <c r="R1021" s="39"/>
      <c r="S1021" s="39"/>
      <c r="T1021" s="39"/>
    </row>
    <row r="1022" spans="1:20" x14ac:dyDescent="0.25">
      <c r="A1022" t="s">
        <v>555</v>
      </c>
      <c r="B1022" s="37">
        <v>14</v>
      </c>
      <c r="C1022" t="str">
        <f>_xlfn.XLOOKUP(B1022,'Centro de Custo'!A$2:A$45,'Centro de Custo'!B$2:B$45)</f>
        <v>Outros</v>
      </c>
      <c r="E1022" s="39">
        <v>-975.68</v>
      </c>
      <c r="F1022" s="40" t="s">
        <v>10</v>
      </c>
      <c r="G1022" s="41">
        <v>45888</v>
      </c>
      <c r="H1022" s="42">
        <f>YEAR(Tabela3[[#This Row],[Data]])</f>
        <v>2025</v>
      </c>
      <c r="I1022" s="42" t="str">
        <f>_xlfn.XLOOKUP(J1022,'Centro de Custo'!J$2:J$13,'Centro de Custo'!K$2:K$13)</f>
        <v>Agosto</v>
      </c>
      <c r="J1022" s="43">
        <f>MONTH(Tabela3[[#This Row],[Data]])</f>
        <v>8</v>
      </c>
      <c r="K1022" s="39">
        <f>SUM(E$3:Tabela3[[#This Row],[Valor]])</f>
        <v>24356.36000000076</v>
      </c>
      <c r="L1022" s="40">
        <f t="shared" si="15"/>
        <v>2.22375</v>
      </c>
      <c r="M1022" s="40"/>
      <c r="N1022" s="40"/>
      <c r="O1022" s="40"/>
      <c r="P1022" s="39"/>
      <c r="Q1022" s="39"/>
      <c r="R1022" s="39"/>
      <c r="S1022" s="39"/>
      <c r="T1022" s="39"/>
    </row>
    <row r="1023" spans="1:20" x14ac:dyDescent="0.25">
      <c r="A1023" t="s">
        <v>556</v>
      </c>
      <c r="B1023" s="37">
        <v>20</v>
      </c>
      <c r="C1023" t="str">
        <f>_xlfn.XLOOKUP(B1023,'Centro de Custo'!A$2:A$45,'Centro de Custo'!B$2:B$45)</f>
        <v>Desp. ADM</v>
      </c>
      <c r="E1023" s="39">
        <v>-30.85</v>
      </c>
      <c r="F1023" s="40" t="s">
        <v>10</v>
      </c>
      <c r="G1023" s="41">
        <v>45894</v>
      </c>
      <c r="H1023" s="42">
        <f>YEAR(Tabela3[[#This Row],[Data]])</f>
        <v>2025</v>
      </c>
      <c r="I1023" s="42" t="str">
        <f>_xlfn.XLOOKUP(J1023,'Centro de Custo'!J$2:J$13,'Centro de Custo'!K$2:K$13)</f>
        <v>Agosto</v>
      </c>
      <c r="J1023" s="43">
        <f>MONTH(Tabela3[[#This Row],[Data]])</f>
        <v>8</v>
      </c>
      <c r="K1023" s="39">
        <f>SUM(E$3:Tabela3[[#This Row],[Valor]])</f>
        <v>24325.510000000762</v>
      </c>
      <c r="L1023" s="40">
        <f t="shared" si="15"/>
        <v>2.22375</v>
      </c>
      <c r="M1023" s="40"/>
      <c r="N1023" s="40"/>
      <c r="O1023" s="40"/>
      <c r="P1023" s="39"/>
      <c r="Q1023" s="39"/>
      <c r="R1023" s="39"/>
      <c r="S1023" s="39"/>
      <c r="T1023" s="39"/>
    </row>
    <row r="1024" spans="1:20" x14ac:dyDescent="0.25">
      <c r="A1024" t="s">
        <v>557</v>
      </c>
      <c r="B1024" s="37">
        <v>14</v>
      </c>
      <c r="C1024" t="str">
        <f>_xlfn.XLOOKUP(B1024,'Centro de Custo'!A$2:A$45,'Centro de Custo'!B$2:B$45)</f>
        <v>Outros</v>
      </c>
      <c r="E1024" s="39">
        <v>-350</v>
      </c>
      <c r="F1024" s="40" t="s">
        <v>10</v>
      </c>
      <c r="G1024" s="41">
        <v>45894</v>
      </c>
      <c r="H1024" s="42">
        <f>YEAR(Tabela3[[#This Row],[Data]])</f>
        <v>2025</v>
      </c>
      <c r="I1024" s="42" t="str">
        <f>_xlfn.XLOOKUP(J1024,'Centro de Custo'!J$2:J$13,'Centro de Custo'!K$2:K$13)</f>
        <v>Agosto</v>
      </c>
      <c r="J1024" s="43">
        <f>MONTH(Tabela3[[#This Row],[Data]])</f>
        <v>8</v>
      </c>
      <c r="K1024" s="39">
        <f>SUM(E$3:Tabela3[[#This Row],[Valor]])</f>
        <v>23975.510000000762</v>
      </c>
      <c r="L1024" s="40">
        <f t="shared" si="15"/>
        <v>2.22375</v>
      </c>
      <c r="M1024" s="40"/>
      <c r="N1024" s="40"/>
      <c r="O1024" s="40"/>
      <c r="P1024" s="39"/>
      <c r="Q1024" s="39"/>
      <c r="R1024" s="39"/>
      <c r="S1024" s="39"/>
      <c r="T1024" s="39"/>
    </row>
    <row r="1025" spans="1:20" x14ac:dyDescent="0.25">
      <c r="A1025" t="s">
        <v>430</v>
      </c>
      <c r="B1025" s="37">
        <v>41</v>
      </c>
      <c r="C1025" t="str">
        <f>_xlfn.XLOOKUP(B1025,'Centro de Custo'!A$2:A$45,'Centro de Custo'!B$2:B$45)</f>
        <v>Resgate Financeiro</v>
      </c>
      <c r="E1025" s="39">
        <v>50000</v>
      </c>
      <c r="F1025" s="40" t="s">
        <v>10</v>
      </c>
      <c r="G1025" s="41">
        <v>45896</v>
      </c>
      <c r="H1025" s="42">
        <f>YEAR(Tabela3[[#This Row],[Data]])</f>
        <v>2025</v>
      </c>
      <c r="I1025" s="42" t="str">
        <f>_xlfn.XLOOKUP(J1025,'Centro de Custo'!J$2:J$13,'Centro de Custo'!K$2:K$13)</f>
        <v>Agosto</v>
      </c>
      <c r="J1025" s="43">
        <f>MONTH(Tabela3[[#This Row],[Data]])</f>
        <v>8</v>
      </c>
      <c r="K1025" s="39">
        <f>SUM(E$3:Tabela3[[#This Row],[Valor]])</f>
        <v>73975.51000000077</v>
      </c>
      <c r="L1025" s="40">
        <f t="shared" si="15"/>
        <v>2.22375</v>
      </c>
      <c r="M1025" s="40"/>
      <c r="N1025" s="40"/>
      <c r="O1025" s="40"/>
      <c r="P1025" s="39"/>
      <c r="Q1025" s="39"/>
      <c r="R1025" s="39"/>
      <c r="S1025" s="39"/>
      <c r="T1025" s="39"/>
    </row>
    <row r="1026" spans="1:20" x14ac:dyDescent="0.25">
      <c r="A1026" t="s">
        <v>492</v>
      </c>
      <c r="B1026" s="37">
        <v>51</v>
      </c>
      <c r="C1026" t="str">
        <f>_xlfn.XLOOKUP(B1026,'Centro de Custo'!A$2:A$45,'Centro de Custo'!B$2:B$45)</f>
        <v>Invoke</v>
      </c>
      <c r="E1026" s="39">
        <v>-35000</v>
      </c>
      <c r="F1026" s="40" t="s">
        <v>10</v>
      </c>
      <c r="G1026" s="41">
        <v>45896</v>
      </c>
      <c r="H1026" s="42">
        <f>YEAR(Tabela3[[#This Row],[Data]])</f>
        <v>2025</v>
      </c>
      <c r="I1026" s="42" t="str">
        <f>_xlfn.XLOOKUP(J1026,'Centro de Custo'!J$2:J$13,'Centro de Custo'!K$2:K$13)</f>
        <v>Agosto</v>
      </c>
      <c r="J1026" s="43">
        <f>MONTH(Tabela3[[#This Row],[Data]])</f>
        <v>8</v>
      </c>
      <c r="K1026" s="39">
        <f>SUM(E$3:Tabela3[[#This Row],[Valor]])</f>
        <v>38975.510000000766</v>
      </c>
      <c r="L1026" s="40">
        <f t="shared" si="15"/>
        <v>2.22375</v>
      </c>
      <c r="M1026" s="40"/>
      <c r="N1026" s="40"/>
      <c r="O1026" s="40"/>
      <c r="P1026" s="39"/>
      <c r="Q1026" s="39"/>
      <c r="R1026" s="39"/>
      <c r="S1026" s="39"/>
      <c r="T1026" s="39"/>
    </row>
    <row r="1027" spans="1:20" x14ac:dyDescent="0.25">
      <c r="A1027" t="s">
        <v>558</v>
      </c>
      <c r="B1027" s="37">
        <v>50</v>
      </c>
      <c r="C1027" t="str">
        <f>_xlfn.XLOOKUP(B1027,'Centro de Custo'!A$2:A$45,'Centro de Custo'!B$2:B$45)</f>
        <v>Empréstimos</v>
      </c>
      <c r="E1027" s="39">
        <v>-5000</v>
      </c>
      <c r="F1027" s="40" t="s">
        <v>10</v>
      </c>
      <c r="G1027" s="41">
        <v>45897</v>
      </c>
      <c r="H1027" s="42">
        <f>YEAR(Tabela3[[#This Row],[Data]])</f>
        <v>2025</v>
      </c>
      <c r="I1027" s="42" t="str">
        <f>_xlfn.XLOOKUP(J1027,'Centro de Custo'!J$2:J$13,'Centro de Custo'!K$2:K$13)</f>
        <v>Agosto</v>
      </c>
      <c r="J1027" s="43">
        <f>MONTH(Tabela3[[#This Row],[Data]])</f>
        <v>8</v>
      </c>
      <c r="K1027" s="39">
        <f>SUM(E$3:Tabela3[[#This Row],[Valor]])</f>
        <v>33975.510000000766</v>
      </c>
      <c r="L1027" s="40">
        <f t="shared" ref="L1027:L1090" si="16">17.79/8</f>
        <v>2.22375</v>
      </c>
      <c r="M1027" s="40"/>
      <c r="N1027" s="40"/>
      <c r="O1027" s="40"/>
      <c r="P1027" s="39"/>
      <c r="Q1027" s="39"/>
      <c r="R1027" s="39"/>
      <c r="S1027" s="39"/>
      <c r="T1027" s="39"/>
    </row>
    <row r="1028" spans="1:20" x14ac:dyDescent="0.25">
      <c r="A1028" t="s">
        <v>559</v>
      </c>
      <c r="B1028" s="37">
        <v>22</v>
      </c>
      <c r="C1028" t="str">
        <f>_xlfn.XLOOKUP(B1028,'Centro de Custo'!A$2:A$45,'Centro de Custo'!B$2:B$45)</f>
        <v>Doação</v>
      </c>
      <c r="E1028" s="39">
        <v>-5000</v>
      </c>
      <c r="F1028" s="40" t="s">
        <v>10</v>
      </c>
      <c r="G1028" s="41">
        <v>45897</v>
      </c>
      <c r="H1028" s="42">
        <f>YEAR(Tabela3[[#This Row],[Data]])</f>
        <v>2025</v>
      </c>
      <c r="I1028" s="42" t="str">
        <f>_xlfn.XLOOKUP(J1028,'Centro de Custo'!J$2:J$13,'Centro de Custo'!K$2:K$13)</f>
        <v>Agosto</v>
      </c>
      <c r="J1028" s="43">
        <f>MONTH(Tabela3[[#This Row],[Data]])</f>
        <v>8</v>
      </c>
      <c r="K1028" s="39">
        <f>SUM(E$3:Tabela3[[#This Row],[Valor]])</f>
        <v>28975.510000000766</v>
      </c>
      <c r="L1028" s="40">
        <f t="shared" si="16"/>
        <v>2.22375</v>
      </c>
      <c r="M1028" s="40"/>
      <c r="N1028" s="40"/>
      <c r="O1028" s="40"/>
      <c r="P1028" s="39"/>
      <c r="Q1028" s="39"/>
      <c r="R1028" s="39"/>
      <c r="S1028" s="39"/>
      <c r="T1028" s="39"/>
    </row>
    <row r="1029" spans="1:20" x14ac:dyDescent="0.25">
      <c r="A1029" t="s">
        <v>430</v>
      </c>
      <c r="B1029" s="37">
        <v>41</v>
      </c>
      <c r="C1029" t="str">
        <f>_xlfn.XLOOKUP(B1029,'Centro de Custo'!A$2:A$45,'Centro de Custo'!B$2:B$45)</f>
        <v>Resgate Financeiro</v>
      </c>
      <c r="E1029" s="39">
        <v>200199.63</v>
      </c>
      <c r="F1029" s="40" t="s">
        <v>10</v>
      </c>
      <c r="G1029" s="41">
        <v>45898</v>
      </c>
      <c r="H1029" s="42">
        <f>YEAR(Tabela3[[#This Row],[Data]])</f>
        <v>2025</v>
      </c>
      <c r="I1029" s="42" t="str">
        <f>_xlfn.XLOOKUP(J1029,'Centro de Custo'!J$2:J$13,'Centro de Custo'!K$2:K$13)</f>
        <v>Agosto</v>
      </c>
      <c r="J1029" s="43">
        <f>MONTH(Tabela3[[#This Row],[Data]])</f>
        <v>8</v>
      </c>
      <c r="K1029" s="39">
        <f>SUM(E$3:Tabela3[[#This Row],[Valor]])</f>
        <v>229175.14000000077</v>
      </c>
      <c r="L1029" s="40">
        <f t="shared" si="16"/>
        <v>2.22375</v>
      </c>
      <c r="M1029" s="40"/>
      <c r="N1029" s="40"/>
      <c r="O1029" s="40"/>
      <c r="P1029" s="39"/>
      <c r="Q1029" s="39"/>
      <c r="R1029" s="39"/>
      <c r="S1029" s="39"/>
      <c r="T1029" s="39"/>
    </row>
    <row r="1030" spans="1:20" x14ac:dyDescent="0.25">
      <c r="A1030" s="46" t="s">
        <v>560</v>
      </c>
      <c r="B1030" s="37">
        <v>30</v>
      </c>
      <c r="C1030" t="str">
        <f>_xlfn.XLOOKUP(B1030,'Centro de Custo'!A$2:A$45,'Centro de Custo'!B$2:B$45)</f>
        <v>Impostos</v>
      </c>
      <c r="E1030" s="39">
        <v>-18269.41</v>
      </c>
      <c r="F1030" s="40" t="s">
        <v>10</v>
      </c>
      <c r="G1030" s="41">
        <v>45898</v>
      </c>
      <c r="H1030" s="42">
        <f>YEAR(Tabela3[[#This Row],[Data]])</f>
        <v>2025</v>
      </c>
      <c r="I1030" s="42" t="str">
        <f>_xlfn.XLOOKUP(J1030,'Centro de Custo'!J$2:J$13,'Centro de Custo'!K$2:K$13)</f>
        <v>Agosto</v>
      </c>
      <c r="J1030" s="43">
        <f>MONTH(Tabela3[[#This Row],[Data]])</f>
        <v>8</v>
      </c>
      <c r="K1030" s="39">
        <f>SUM(E$3:Tabela3[[#This Row],[Valor]])</f>
        <v>210905.73000000077</v>
      </c>
      <c r="L1030" s="40">
        <f t="shared" si="16"/>
        <v>2.22375</v>
      </c>
      <c r="M1030" s="40"/>
      <c r="N1030" s="40"/>
      <c r="O1030" s="40"/>
      <c r="P1030" s="39"/>
      <c r="Q1030" s="39"/>
      <c r="R1030" s="39"/>
      <c r="S1030" s="39"/>
      <c r="T1030" s="39"/>
    </row>
    <row r="1031" spans="1:20" x14ac:dyDescent="0.25">
      <c r="A1031" t="s">
        <v>561</v>
      </c>
      <c r="B1031" s="37">
        <v>50</v>
      </c>
      <c r="C1031" t="str">
        <f>_xlfn.XLOOKUP(B1031,'Centro de Custo'!A$2:A$45,'Centro de Custo'!B$2:B$45)</f>
        <v>Empréstimos</v>
      </c>
      <c r="E1031" s="39">
        <v>1867</v>
      </c>
      <c r="F1031" s="40" t="s">
        <v>10</v>
      </c>
      <c r="G1031" s="41">
        <v>45901</v>
      </c>
      <c r="H1031" s="42">
        <f>YEAR(Tabela3[[#This Row],[Data]])</f>
        <v>2025</v>
      </c>
      <c r="I1031" s="42" t="str">
        <f>_xlfn.XLOOKUP(J1031,'Centro de Custo'!J$2:J$13,'Centro de Custo'!K$2:K$13)</f>
        <v>Setembro</v>
      </c>
      <c r="J1031" s="43">
        <f>MONTH(Tabela3[[#This Row],[Data]])</f>
        <v>9</v>
      </c>
      <c r="K1031" s="39">
        <f>SUM(E$3:Tabela3[[#This Row],[Valor]])</f>
        <v>212772.73000000077</v>
      </c>
      <c r="L1031" s="40">
        <f t="shared" si="16"/>
        <v>2.22375</v>
      </c>
      <c r="M1031" s="40"/>
      <c r="N1031" s="40"/>
      <c r="O1031" s="40"/>
      <c r="P1031" s="39"/>
      <c r="Q1031" s="39"/>
      <c r="R1031" s="39"/>
      <c r="S1031" s="39"/>
      <c r="T1031" s="39"/>
    </row>
    <row r="1032" spans="1:20" x14ac:dyDescent="0.25">
      <c r="A1032" t="s">
        <v>562</v>
      </c>
      <c r="B1032" s="37">
        <v>20</v>
      </c>
      <c r="C1032" t="str">
        <f>_xlfn.XLOOKUP(B1032,'Centro de Custo'!A$2:A$45,'Centro de Custo'!B$2:B$45)</f>
        <v>Desp. ADM</v>
      </c>
      <c r="E1032" s="39">
        <v>-700</v>
      </c>
      <c r="F1032" s="40" t="s">
        <v>10</v>
      </c>
      <c r="G1032" s="41">
        <v>45902</v>
      </c>
      <c r="H1032" s="42">
        <f>YEAR(Tabela3[[#This Row],[Data]])</f>
        <v>2025</v>
      </c>
      <c r="I1032" s="42" t="str">
        <f>_xlfn.XLOOKUP(J1032,'Centro de Custo'!J$2:J$13,'Centro de Custo'!K$2:K$13)</f>
        <v>Setembro</v>
      </c>
      <c r="J1032" s="43">
        <f>MONTH(Tabela3[[#This Row],[Data]])</f>
        <v>9</v>
      </c>
      <c r="K1032" s="39">
        <f>SUM(E$3:Tabela3[[#This Row],[Valor]])</f>
        <v>212072.73000000077</v>
      </c>
      <c r="L1032" s="40">
        <f t="shared" si="16"/>
        <v>2.22375</v>
      </c>
      <c r="M1032" s="40"/>
      <c r="N1032" s="40"/>
      <c r="O1032" s="40"/>
      <c r="P1032" s="39"/>
      <c r="Q1032" s="39"/>
      <c r="R1032" s="39"/>
      <c r="S1032" s="39"/>
      <c r="T1032" s="39"/>
    </row>
    <row r="1033" spans="1:20" x14ac:dyDescent="0.25">
      <c r="A1033" t="s">
        <v>563</v>
      </c>
      <c r="B1033" s="37">
        <v>50</v>
      </c>
      <c r="C1033" t="str">
        <f>_xlfn.XLOOKUP(B1033,'Centro de Custo'!A$2:A$45,'Centro de Custo'!B$2:B$45)</f>
        <v>Empréstimos</v>
      </c>
      <c r="E1033" s="39">
        <v>-5000</v>
      </c>
      <c r="F1033" s="40" t="s">
        <v>10</v>
      </c>
      <c r="G1033" s="41">
        <v>45902</v>
      </c>
      <c r="H1033" s="42">
        <f>YEAR(Tabela3[[#This Row],[Data]])</f>
        <v>2025</v>
      </c>
      <c r="I1033" s="42" t="str">
        <f>_xlfn.XLOOKUP(J1033,'Centro de Custo'!J$2:J$13,'Centro de Custo'!K$2:K$13)</f>
        <v>Setembro</v>
      </c>
      <c r="J1033" s="43">
        <f>MONTH(Tabela3[[#This Row],[Data]])</f>
        <v>9</v>
      </c>
      <c r="K1033" s="39">
        <f>SUM(E$3:Tabela3[[#This Row],[Valor]])</f>
        <v>207072.73000000077</v>
      </c>
      <c r="L1033" s="40">
        <f t="shared" si="16"/>
        <v>2.22375</v>
      </c>
      <c r="M1033" s="40"/>
      <c r="N1033" s="40"/>
      <c r="O1033" s="40"/>
      <c r="P1033" s="39"/>
      <c r="Q1033" s="39"/>
      <c r="R1033" s="39"/>
      <c r="S1033" s="39"/>
      <c r="T1033" s="39"/>
    </row>
    <row r="1034" spans="1:20" x14ac:dyDescent="0.25">
      <c r="A1034" t="s">
        <v>178</v>
      </c>
      <c r="B1034" s="37">
        <v>20</v>
      </c>
      <c r="C1034" t="str">
        <f>_xlfn.XLOOKUP(B1034,'Centro de Custo'!A$2:A$45,'Centro de Custo'!B$2:B$45)</f>
        <v>Desp. ADM</v>
      </c>
      <c r="E1034" s="39">
        <v>-169.9</v>
      </c>
      <c r="F1034" s="40" t="s">
        <v>10</v>
      </c>
      <c r="G1034" s="41">
        <v>45903</v>
      </c>
      <c r="H1034" s="42">
        <f>YEAR(Tabela3[[#This Row],[Data]])</f>
        <v>2025</v>
      </c>
      <c r="I1034" s="42" t="str">
        <f>_xlfn.XLOOKUP(J1034,'Centro de Custo'!J$2:J$13,'Centro de Custo'!K$2:K$13)</f>
        <v>Setembro</v>
      </c>
      <c r="J1034" s="43">
        <f>MONTH(Tabela3[[#This Row],[Data]])</f>
        <v>9</v>
      </c>
      <c r="K1034" s="39">
        <f>SUM(E$3:Tabela3[[#This Row],[Valor]])</f>
        <v>206902.83000000077</v>
      </c>
      <c r="L1034" s="40">
        <f t="shared" si="16"/>
        <v>2.22375</v>
      </c>
      <c r="M1034" s="40"/>
      <c r="N1034" s="40"/>
      <c r="O1034" s="40"/>
      <c r="P1034" s="39"/>
      <c r="Q1034" s="39"/>
      <c r="R1034" s="39"/>
      <c r="S1034" s="39"/>
      <c r="T1034" s="39"/>
    </row>
    <row r="1035" spans="1:20" x14ac:dyDescent="0.25">
      <c r="A1035" t="s">
        <v>426</v>
      </c>
      <c r="B1035" s="37">
        <v>5</v>
      </c>
      <c r="C1035" t="str">
        <f>_xlfn.XLOOKUP(B1035,'Centro de Custo'!A$2:A$45,'Centro de Custo'!B$2:B$45)</f>
        <v>Consultoria</v>
      </c>
      <c r="E1035" s="39">
        <v>-850</v>
      </c>
      <c r="F1035" s="40" t="s">
        <v>10</v>
      </c>
      <c r="G1035" s="41">
        <v>45903</v>
      </c>
      <c r="H1035" s="42">
        <f>YEAR(Tabela3[[#This Row],[Data]])</f>
        <v>2025</v>
      </c>
      <c r="I1035" s="42" t="str">
        <f>_xlfn.XLOOKUP(J1035,'Centro de Custo'!J$2:J$13,'Centro de Custo'!K$2:K$13)</f>
        <v>Setembro</v>
      </c>
      <c r="J1035" s="43">
        <f>MONTH(Tabela3[[#This Row],[Data]])</f>
        <v>9</v>
      </c>
      <c r="K1035" s="39">
        <f>SUM(E$3:Tabela3[[#This Row],[Valor]])</f>
        <v>206052.83000000077</v>
      </c>
      <c r="L1035" s="40">
        <f t="shared" si="16"/>
        <v>2.22375</v>
      </c>
      <c r="M1035" s="40"/>
      <c r="N1035" s="40"/>
      <c r="O1035" s="40"/>
      <c r="P1035" s="39"/>
      <c r="Q1035" s="39"/>
      <c r="R1035" s="39"/>
      <c r="S1035" s="39"/>
      <c r="T1035" s="39"/>
    </row>
    <row r="1036" spans="1:20" x14ac:dyDescent="0.25">
      <c r="A1036" t="s">
        <v>536</v>
      </c>
      <c r="B1036" s="37">
        <v>20</v>
      </c>
      <c r="C1036" t="str">
        <f>_xlfn.XLOOKUP(B1036,'Centro de Custo'!A$2:A$45,'Centro de Custo'!B$2:B$45)</f>
        <v>Desp. ADM</v>
      </c>
      <c r="E1036" s="39">
        <v>-3754</v>
      </c>
      <c r="F1036" s="40" t="s">
        <v>10</v>
      </c>
      <c r="G1036" s="41">
        <v>45903</v>
      </c>
      <c r="H1036" s="42">
        <f>YEAR(Tabela3[[#This Row],[Data]])</f>
        <v>2025</v>
      </c>
      <c r="I1036" s="42" t="str">
        <f>_xlfn.XLOOKUP(J1036,'Centro de Custo'!J$2:J$13,'Centro de Custo'!K$2:K$13)</f>
        <v>Setembro</v>
      </c>
      <c r="J1036" s="43">
        <f>MONTH(Tabela3[[#This Row],[Data]])</f>
        <v>9</v>
      </c>
      <c r="K1036" s="39">
        <f>SUM(E$3:Tabela3[[#This Row],[Valor]])</f>
        <v>202298.83000000077</v>
      </c>
      <c r="L1036" s="40">
        <f t="shared" si="16"/>
        <v>2.22375</v>
      </c>
      <c r="M1036" s="40"/>
      <c r="N1036" s="40"/>
      <c r="O1036" s="40"/>
      <c r="P1036" s="39"/>
      <c r="Q1036" s="39"/>
      <c r="R1036" s="39"/>
      <c r="S1036" s="39"/>
      <c r="T1036" s="39"/>
    </row>
    <row r="1037" spans="1:20" x14ac:dyDescent="0.25">
      <c r="A1037" t="s">
        <v>564</v>
      </c>
      <c r="B1037" s="37">
        <v>43</v>
      </c>
      <c r="C1037" t="str">
        <f>_xlfn.XLOOKUP(B1037,'Centro de Custo'!A$2:A$45,'Centro de Custo'!B$2:B$45)</f>
        <v>Setor Privado</v>
      </c>
      <c r="E1037" s="39">
        <v>-5000</v>
      </c>
      <c r="F1037" s="40" t="s">
        <v>10</v>
      </c>
      <c r="G1037" s="41">
        <v>45903</v>
      </c>
      <c r="H1037" s="42">
        <f>YEAR(Tabela3[[#This Row],[Data]])</f>
        <v>2025</v>
      </c>
      <c r="I1037" s="42" t="str">
        <f>_xlfn.XLOOKUP(J1037,'Centro de Custo'!J$2:J$13,'Centro de Custo'!K$2:K$13)</f>
        <v>Setembro</v>
      </c>
      <c r="J1037" s="43">
        <f>MONTH(Tabela3[[#This Row],[Data]])</f>
        <v>9</v>
      </c>
      <c r="K1037" s="39">
        <f>SUM(E$3:Tabela3[[#This Row],[Valor]])</f>
        <v>197298.83000000077</v>
      </c>
      <c r="L1037" s="40">
        <f t="shared" si="16"/>
        <v>2.22375</v>
      </c>
      <c r="M1037" s="40"/>
      <c r="N1037" s="40"/>
      <c r="O1037" s="40"/>
      <c r="P1037" s="39"/>
      <c r="Q1037" s="39"/>
      <c r="R1037" s="39"/>
      <c r="S1037" s="39"/>
      <c r="T1037" s="39"/>
    </row>
    <row r="1038" spans="1:20" x14ac:dyDescent="0.25">
      <c r="A1038" t="s">
        <v>399</v>
      </c>
      <c r="B1038" s="37">
        <v>10</v>
      </c>
      <c r="C1038" t="str">
        <f>_xlfn.XLOOKUP(B1038,'Centro de Custo'!A$2:A$45,'Centro de Custo'!B$2:B$45)</f>
        <v>Retirada Mensal</v>
      </c>
      <c r="E1038" s="39">
        <v>-7000</v>
      </c>
      <c r="F1038" s="40" t="s">
        <v>10</v>
      </c>
      <c r="G1038" s="41">
        <v>45903</v>
      </c>
      <c r="H1038" s="42">
        <f>YEAR(Tabela3[[#This Row],[Data]])</f>
        <v>2025</v>
      </c>
      <c r="I1038" s="42" t="str">
        <f>_xlfn.XLOOKUP(J1038,'Centro de Custo'!J$2:J$13,'Centro de Custo'!K$2:K$13)</f>
        <v>Setembro</v>
      </c>
      <c r="J1038" s="43">
        <f>MONTH(Tabela3[[#This Row],[Data]])</f>
        <v>9</v>
      </c>
      <c r="K1038" s="39">
        <f>SUM(E$3:Tabela3[[#This Row],[Valor]])</f>
        <v>190298.83000000077</v>
      </c>
      <c r="L1038" s="40">
        <f t="shared" si="16"/>
        <v>2.22375</v>
      </c>
      <c r="M1038" s="40"/>
      <c r="N1038" s="40"/>
      <c r="O1038" s="40"/>
      <c r="P1038" s="39"/>
      <c r="Q1038" s="39"/>
      <c r="R1038" s="39"/>
      <c r="S1038" s="39"/>
      <c r="T1038" s="39"/>
    </row>
    <row r="1039" spans="1:20" x14ac:dyDescent="0.25">
      <c r="A1039" t="s">
        <v>401</v>
      </c>
      <c r="B1039" s="37">
        <v>10</v>
      </c>
      <c r="C1039" t="str">
        <f>_xlfn.XLOOKUP(B1039,'Centro de Custo'!A$2:A$45,'Centro de Custo'!B$2:B$45)</f>
        <v>Retirada Mensal</v>
      </c>
      <c r="E1039" s="39">
        <v>-10000</v>
      </c>
      <c r="F1039" s="40" t="s">
        <v>10</v>
      </c>
      <c r="G1039" s="41">
        <v>45903</v>
      </c>
      <c r="H1039" s="42">
        <f>YEAR(Tabela3[[#This Row],[Data]])</f>
        <v>2025</v>
      </c>
      <c r="I1039" s="42" t="str">
        <f>_xlfn.XLOOKUP(J1039,'Centro de Custo'!J$2:J$13,'Centro de Custo'!K$2:K$13)</f>
        <v>Setembro</v>
      </c>
      <c r="J1039" s="43">
        <f>MONTH(Tabela3[[#This Row],[Data]])</f>
        <v>9</v>
      </c>
      <c r="K1039" s="39">
        <f>SUM(E$3:Tabela3[[#This Row],[Valor]])</f>
        <v>180298.83000000077</v>
      </c>
      <c r="L1039" s="40">
        <f t="shared" si="16"/>
        <v>2.22375</v>
      </c>
      <c r="M1039" s="40"/>
      <c r="N1039" s="40"/>
      <c r="O1039" s="40"/>
      <c r="P1039" s="39"/>
      <c r="Q1039" s="39"/>
      <c r="R1039" s="39"/>
      <c r="S1039" s="39"/>
      <c r="T1039" s="39"/>
    </row>
    <row r="1040" spans="1:20" x14ac:dyDescent="0.25">
      <c r="A1040" t="s">
        <v>55</v>
      </c>
      <c r="B1040" s="37">
        <v>10</v>
      </c>
      <c r="C1040" t="str">
        <f>_xlfn.XLOOKUP(B1040,'Centro de Custo'!A$2:A$45,'Centro de Custo'!B$2:B$45)</f>
        <v>Retirada Mensal</v>
      </c>
      <c r="E1040" s="39">
        <v>-10500</v>
      </c>
      <c r="F1040" s="40" t="s">
        <v>10</v>
      </c>
      <c r="G1040" s="41">
        <v>45903</v>
      </c>
      <c r="H1040" s="42">
        <f>YEAR(Tabela3[[#This Row],[Data]])</f>
        <v>2025</v>
      </c>
      <c r="I1040" s="42" t="str">
        <f>_xlfn.XLOOKUP(J1040,'Centro de Custo'!J$2:J$13,'Centro de Custo'!K$2:K$13)</f>
        <v>Setembro</v>
      </c>
      <c r="J1040" s="43">
        <f>MONTH(Tabela3[[#This Row],[Data]])</f>
        <v>9</v>
      </c>
      <c r="K1040" s="39">
        <f>SUM(E$3:Tabela3[[#This Row],[Valor]])</f>
        <v>169798.83000000077</v>
      </c>
      <c r="L1040" s="40">
        <f t="shared" si="16"/>
        <v>2.22375</v>
      </c>
      <c r="M1040" s="40"/>
      <c r="N1040" s="40"/>
      <c r="O1040" s="40"/>
      <c r="P1040" s="39"/>
      <c r="Q1040" s="39"/>
      <c r="R1040" s="39"/>
      <c r="S1040" s="39"/>
      <c r="T1040" s="39"/>
    </row>
    <row r="1041" spans="1:20" x14ac:dyDescent="0.25">
      <c r="A1041" t="s">
        <v>56</v>
      </c>
      <c r="B1041" s="37">
        <v>10</v>
      </c>
      <c r="C1041" t="str">
        <f>_xlfn.XLOOKUP(B1041,'Centro de Custo'!A$2:A$45,'Centro de Custo'!B$2:B$45)</f>
        <v>Retirada Mensal</v>
      </c>
      <c r="E1041" s="39">
        <v>-11500</v>
      </c>
      <c r="F1041" s="40" t="s">
        <v>10</v>
      </c>
      <c r="G1041" s="41">
        <v>45903</v>
      </c>
      <c r="H1041" s="42">
        <f>YEAR(Tabela3[[#This Row],[Data]])</f>
        <v>2025</v>
      </c>
      <c r="I1041" s="42" t="str">
        <f>_xlfn.XLOOKUP(J1041,'Centro de Custo'!J$2:J$13,'Centro de Custo'!K$2:K$13)</f>
        <v>Setembro</v>
      </c>
      <c r="J1041" s="43">
        <f>MONTH(Tabela3[[#This Row],[Data]])</f>
        <v>9</v>
      </c>
      <c r="K1041" s="39">
        <f>SUM(E$3:Tabela3[[#This Row],[Valor]])</f>
        <v>158298.83000000077</v>
      </c>
      <c r="L1041" s="40">
        <f t="shared" si="16"/>
        <v>2.22375</v>
      </c>
      <c r="M1041" s="40"/>
      <c r="N1041" s="40"/>
      <c r="O1041" s="40"/>
      <c r="P1041" s="39"/>
      <c r="Q1041" s="39"/>
      <c r="R1041" s="39"/>
      <c r="S1041" s="39"/>
      <c r="T1041" s="39"/>
    </row>
    <row r="1042" spans="1:20" x14ac:dyDescent="0.25">
      <c r="A1042" t="s">
        <v>92</v>
      </c>
      <c r="B1042" s="37">
        <v>10</v>
      </c>
      <c r="C1042" t="str">
        <f>_xlfn.XLOOKUP(B1042,'Centro de Custo'!A$2:A$45,'Centro de Custo'!B$2:B$45)</f>
        <v>Retirada Mensal</v>
      </c>
      <c r="E1042" s="39">
        <v>-12150</v>
      </c>
      <c r="F1042" s="40" t="s">
        <v>10</v>
      </c>
      <c r="G1042" s="41">
        <v>45903</v>
      </c>
      <c r="H1042" s="42">
        <f>YEAR(Tabela3[[#This Row],[Data]])</f>
        <v>2025</v>
      </c>
      <c r="I1042" s="42" t="str">
        <f>_xlfn.XLOOKUP(J1042,'Centro de Custo'!J$2:J$13,'Centro de Custo'!K$2:K$13)</f>
        <v>Setembro</v>
      </c>
      <c r="J1042" s="43">
        <f>MONTH(Tabela3[[#This Row],[Data]])</f>
        <v>9</v>
      </c>
      <c r="K1042" s="39">
        <f>SUM(E$3:Tabela3[[#This Row],[Valor]])</f>
        <v>146148.83000000077</v>
      </c>
      <c r="L1042" s="40">
        <f t="shared" si="16"/>
        <v>2.22375</v>
      </c>
      <c r="M1042" s="40"/>
      <c r="N1042" s="40"/>
      <c r="O1042" s="40"/>
      <c r="P1042" s="39"/>
      <c r="Q1042" s="39"/>
      <c r="R1042" s="39"/>
      <c r="S1042" s="39"/>
      <c r="T1042" s="39"/>
    </row>
    <row r="1043" spans="1:20" x14ac:dyDescent="0.25">
      <c r="A1043" t="s">
        <v>58</v>
      </c>
      <c r="B1043" s="37">
        <v>10</v>
      </c>
      <c r="C1043" t="str">
        <f>_xlfn.XLOOKUP(B1043,'Centro de Custo'!A$2:A$45,'Centro de Custo'!B$2:B$45)</f>
        <v>Retirada Mensal</v>
      </c>
      <c r="E1043" s="39">
        <v>-12500</v>
      </c>
      <c r="F1043" s="40" t="s">
        <v>10</v>
      </c>
      <c r="G1043" s="41">
        <v>45903</v>
      </c>
      <c r="H1043" s="42">
        <f>YEAR(Tabela3[[#This Row],[Data]])</f>
        <v>2025</v>
      </c>
      <c r="I1043" s="42" t="str">
        <f>_xlfn.XLOOKUP(J1043,'Centro de Custo'!J$2:J$13,'Centro de Custo'!K$2:K$13)</f>
        <v>Setembro</v>
      </c>
      <c r="J1043" s="43">
        <f>MONTH(Tabela3[[#This Row],[Data]])</f>
        <v>9</v>
      </c>
      <c r="K1043" s="39">
        <f>SUM(E$3:Tabela3[[#This Row],[Valor]])</f>
        <v>133648.83000000077</v>
      </c>
      <c r="L1043" s="40">
        <f t="shared" si="16"/>
        <v>2.22375</v>
      </c>
      <c r="M1043" s="40"/>
      <c r="N1043" s="40"/>
      <c r="O1043" s="40"/>
      <c r="P1043" s="39"/>
      <c r="Q1043" s="39"/>
      <c r="R1043" s="39"/>
      <c r="S1043" s="39"/>
      <c r="T1043" s="39"/>
    </row>
    <row r="1044" spans="1:20" x14ac:dyDescent="0.25">
      <c r="A1044" t="s">
        <v>565</v>
      </c>
      <c r="B1044" s="37">
        <v>20</v>
      </c>
      <c r="C1044" t="str">
        <f>_xlfn.XLOOKUP(B1044,'Centro de Custo'!A$2:A$45,'Centro de Custo'!B$2:B$45)</f>
        <v>Desp. ADM</v>
      </c>
      <c r="E1044" s="39">
        <v>-29086.4</v>
      </c>
      <c r="F1044" s="40" t="s">
        <v>10</v>
      </c>
      <c r="G1044" s="41">
        <v>45903</v>
      </c>
      <c r="H1044" s="42">
        <f>YEAR(Tabela3[[#This Row],[Data]])</f>
        <v>2025</v>
      </c>
      <c r="I1044" s="42" t="str">
        <f>_xlfn.XLOOKUP(J1044,'Centro de Custo'!J$2:J$13,'Centro de Custo'!K$2:K$13)</f>
        <v>Setembro</v>
      </c>
      <c r="J1044" s="43">
        <f>MONTH(Tabela3[[#This Row],[Data]])</f>
        <v>9</v>
      </c>
      <c r="K1044" s="39">
        <f>SUM(E$3:Tabela3[[#This Row],[Valor]])</f>
        <v>104562.43000000078</v>
      </c>
      <c r="L1044" s="40">
        <f t="shared" si="16"/>
        <v>2.22375</v>
      </c>
      <c r="M1044" s="40"/>
      <c r="N1044" s="40"/>
      <c r="O1044" s="40"/>
      <c r="P1044" s="39"/>
      <c r="Q1044" s="39"/>
      <c r="R1044" s="39"/>
      <c r="S1044" s="39"/>
      <c r="T1044" s="39"/>
    </row>
    <row r="1045" spans="1:20" x14ac:dyDescent="0.25">
      <c r="A1045" t="s">
        <v>566</v>
      </c>
      <c r="B1045" s="37">
        <v>20</v>
      </c>
      <c r="C1045" t="str">
        <f>_xlfn.XLOOKUP(B1045,'Centro de Custo'!A$2:A$45,'Centro de Custo'!B$2:B$45)</f>
        <v>Desp. ADM</v>
      </c>
      <c r="E1045" s="39">
        <v>-674.95</v>
      </c>
      <c r="F1045" s="40" t="s">
        <v>10</v>
      </c>
      <c r="G1045" s="41">
        <v>45904</v>
      </c>
      <c r="H1045" s="42">
        <f>YEAR(Tabela3[[#This Row],[Data]])</f>
        <v>2025</v>
      </c>
      <c r="I1045" s="42" t="str">
        <f>_xlfn.XLOOKUP(J1045,'Centro de Custo'!J$2:J$13,'Centro de Custo'!K$2:K$13)</f>
        <v>Setembro</v>
      </c>
      <c r="J1045" s="43">
        <f>MONTH(Tabela3[[#This Row],[Data]])</f>
        <v>9</v>
      </c>
      <c r="K1045" s="39">
        <f>SUM(E$3:Tabela3[[#This Row],[Valor]])</f>
        <v>103887.48000000078</v>
      </c>
      <c r="L1045" s="40">
        <f t="shared" si="16"/>
        <v>2.22375</v>
      </c>
      <c r="M1045" s="40"/>
      <c r="N1045" s="40"/>
      <c r="O1045" s="40"/>
      <c r="P1045" s="39"/>
      <c r="Q1045" s="39"/>
      <c r="R1045" s="39"/>
      <c r="S1045" s="39"/>
      <c r="T1045" s="39"/>
    </row>
    <row r="1046" spans="1:20" x14ac:dyDescent="0.25">
      <c r="A1046" t="s">
        <v>567</v>
      </c>
      <c r="B1046" s="37">
        <v>10</v>
      </c>
      <c r="C1046" t="str">
        <f>_xlfn.XLOOKUP(B1046,'Centro de Custo'!A$2:A$45,'Centro de Custo'!B$2:B$45)</f>
        <v>Retirada Mensal</v>
      </c>
      <c r="E1046" s="39">
        <v>-272.61</v>
      </c>
      <c r="F1046" s="40" t="s">
        <v>10</v>
      </c>
      <c r="G1046" s="41">
        <v>45905</v>
      </c>
      <c r="H1046" s="42">
        <f>YEAR(Tabela3[[#This Row],[Data]])</f>
        <v>2025</v>
      </c>
      <c r="I1046" s="42" t="str">
        <f>_xlfn.XLOOKUP(J1046,'Centro de Custo'!J$2:J$13,'Centro de Custo'!K$2:K$13)</f>
        <v>Setembro</v>
      </c>
      <c r="J1046" s="43">
        <f>MONTH(Tabela3[[#This Row],[Data]])</f>
        <v>9</v>
      </c>
      <c r="K1046" s="39">
        <f>SUM(E$3:Tabela3[[#This Row],[Valor]])</f>
        <v>103614.87000000078</v>
      </c>
      <c r="L1046" s="40">
        <f t="shared" si="16"/>
        <v>2.22375</v>
      </c>
      <c r="M1046" s="40"/>
      <c r="N1046" s="40"/>
      <c r="O1046" s="40"/>
      <c r="P1046" s="39"/>
      <c r="Q1046" s="39"/>
      <c r="R1046" s="39"/>
      <c r="S1046" s="39"/>
      <c r="T1046" s="39"/>
    </row>
    <row r="1047" spans="1:20" x14ac:dyDescent="0.25">
      <c r="A1047" t="s">
        <v>568</v>
      </c>
      <c r="B1047" s="37">
        <v>10</v>
      </c>
      <c r="C1047" t="str">
        <f>_xlfn.XLOOKUP(B1047,'Centro de Custo'!A$2:A$45,'Centro de Custo'!B$2:B$45)</f>
        <v>Retirada Mensal</v>
      </c>
      <c r="E1047" s="39">
        <v>-460</v>
      </c>
      <c r="F1047" s="40" t="s">
        <v>10</v>
      </c>
      <c r="G1047" s="41">
        <v>45905</v>
      </c>
      <c r="H1047" s="42">
        <f>YEAR(Tabela3[[#This Row],[Data]])</f>
        <v>2025</v>
      </c>
      <c r="I1047" s="42" t="str">
        <f>_xlfn.XLOOKUP(J1047,'Centro de Custo'!J$2:J$13,'Centro de Custo'!K$2:K$13)</f>
        <v>Setembro</v>
      </c>
      <c r="J1047" s="43">
        <f>MONTH(Tabela3[[#This Row],[Data]])</f>
        <v>9</v>
      </c>
      <c r="K1047" s="39">
        <f>SUM(E$3:Tabela3[[#This Row],[Valor]])</f>
        <v>103154.87000000078</v>
      </c>
      <c r="L1047" s="40">
        <f t="shared" si="16"/>
        <v>2.22375</v>
      </c>
      <c r="M1047" s="40"/>
      <c r="N1047" s="40"/>
      <c r="O1047" s="40"/>
      <c r="P1047" s="39"/>
      <c r="Q1047" s="39"/>
      <c r="R1047" s="39"/>
      <c r="S1047" s="39"/>
      <c r="T1047" s="39"/>
    </row>
    <row r="1048" spans="1:20" x14ac:dyDescent="0.25">
      <c r="A1048" t="s">
        <v>60</v>
      </c>
      <c r="B1048" s="37">
        <v>20</v>
      </c>
      <c r="C1048" t="str">
        <f>_xlfn.XLOOKUP(B1048,'Centro de Custo'!A$2:A$45,'Centro de Custo'!B$2:B$45)</f>
        <v>Desp. ADM</v>
      </c>
      <c r="E1048" s="39">
        <v>-536.36</v>
      </c>
      <c r="F1048" s="40" t="s">
        <v>10</v>
      </c>
      <c r="G1048" s="41">
        <v>45905</v>
      </c>
      <c r="H1048" s="42">
        <f>YEAR(Tabela3[[#This Row],[Data]])</f>
        <v>2025</v>
      </c>
      <c r="I1048" s="42" t="str">
        <f>_xlfn.XLOOKUP(J1048,'Centro de Custo'!J$2:J$13,'Centro de Custo'!K$2:K$13)</f>
        <v>Setembro</v>
      </c>
      <c r="J1048" s="43">
        <f>MONTH(Tabela3[[#This Row],[Data]])</f>
        <v>9</v>
      </c>
      <c r="K1048" s="39">
        <f>SUM(E$3:Tabela3[[#This Row],[Valor]])</f>
        <v>102618.51000000078</v>
      </c>
      <c r="L1048" s="40">
        <f t="shared" si="16"/>
        <v>2.22375</v>
      </c>
      <c r="M1048" s="40"/>
      <c r="N1048" s="40"/>
      <c r="O1048" s="40"/>
      <c r="P1048" s="39"/>
      <c r="Q1048" s="39"/>
      <c r="R1048" s="39"/>
      <c r="S1048" s="39"/>
      <c r="T1048" s="39"/>
    </row>
    <row r="1049" spans="1:20" x14ac:dyDescent="0.25">
      <c r="A1049" t="s">
        <v>231</v>
      </c>
      <c r="B1049" s="37">
        <v>10</v>
      </c>
      <c r="C1049" t="str">
        <f>_xlfn.XLOOKUP(B1049,'Centro de Custo'!A$2:A$45,'Centro de Custo'!B$2:B$45)</f>
        <v>Retirada Mensal</v>
      </c>
      <c r="E1049" s="39">
        <v>-1685.28</v>
      </c>
      <c r="F1049" s="40" t="s">
        <v>10</v>
      </c>
      <c r="G1049" s="41">
        <v>45905</v>
      </c>
      <c r="H1049" s="42">
        <f>YEAR(Tabela3[[#This Row],[Data]])</f>
        <v>2025</v>
      </c>
      <c r="I1049" s="42" t="str">
        <f>_xlfn.XLOOKUP(J1049,'Centro de Custo'!J$2:J$13,'Centro de Custo'!K$2:K$13)</f>
        <v>Setembro</v>
      </c>
      <c r="J1049" s="43">
        <f>MONTH(Tabela3[[#This Row],[Data]])</f>
        <v>9</v>
      </c>
      <c r="K1049" s="39">
        <f>SUM(E$3:Tabela3[[#This Row],[Valor]])</f>
        <v>100933.23000000078</v>
      </c>
      <c r="L1049" s="40">
        <f t="shared" si="16"/>
        <v>2.22375</v>
      </c>
      <c r="M1049" s="40"/>
      <c r="N1049" s="40"/>
      <c r="O1049" s="40"/>
      <c r="P1049" s="39"/>
      <c r="Q1049" s="39"/>
      <c r="R1049" s="39"/>
      <c r="S1049" s="39"/>
      <c r="T1049" s="39"/>
    </row>
    <row r="1050" spans="1:20" x14ac:dyDescent="0.25">
      <c r="A1050" t="s">
        <v>244</v>
      </c>
      <c r="B1050" s="37">
        <v>13</v>
      </c>
      <c r="C1050" t="str">
        <f>_xlfn.XLOOKUP(B1050,'Centro de Custo'!A$2:A$45,'Centro de Custo'!B$2:B$45)</f>
        <v>Terceirizados</v>
      </c>
      <c r="E1050" s="39">
        <v>-550</v>
      </c>
      <c r="F1050" s="40" t="s">
        <v>10</v>
      </c>
      <c r="G1050" s="41">
        <v>45908</v>
      </c>
      <c r="H1050" s="42">
        <f>YEAR(Tabela3[[#This Row],[Data]])</f>
        <v>2025</v>
      </c>
      <c r="I1050" s="42" t="str">
        <f>_xlfn.XLOOKUP(J1050,'Centro de Custo'!J$2:J$13,'Centro de Custo'!K$2:K$13)</f>
        <v>Setembro</v>
      </c>
      <c r="J1050" s="43">
        <f>MONTH(Tabela3[[#This Row],[Data]])</f>
        <v>9</v>
      </c>
      <c r="K1050" s="39">
        <f>SUM(E$3:Tabela3[[#This Row],[Valor]])</f>
        <v>100383.23000000078</v>
      </c>
      <c r="L1050" s="40">
        <f t="shared" si="16"/>
        <v>2.22375</v>
      </c>
      <c r="M1050" s="40"/>
      <c r="N1050" s="40"/>
      <c r="O1050" s="40"/>
      <c r="P1050" s="39"/>
      <c r="Q1050" s="39"/>
      <c r="R1050" s="39"/>
      <c r="S1050" s="39"/>
      <c r="T1050" s="39"/>
    </row>
    <row r="1051" spans="1:20" x14ac:dyDescent="0.25">
      <c r="A1051" t="s">
        <v>569</v>
      </c>
      <c r="B1051" s="37">
        <v>20</v>
      </c>
      <c r="C1051" t="str">
        <f>_xlfn.XLOOKUP(B1051,'Centro de Custo'!A$2:A$45,'Centro de Custo'!B$2:B$45)</f>
        <v>Desp. ADM</v>
      </c>
      <c r="E1051" s="39">
        <v>-950</v>
      </c>
      <c r="F1051" s="40" t="s">
        <v>10</v>
      </c>
      <c r="G1051" s="41">
        <v>45908</v>
      </c>
      <c r="H1051" s="42">
        <f>YEAR(Tabela3[[#This Row],[Data]])</f>
        <v>2025</v>
      </c>
      <c r="I1051" s="42" t="str">
        <f>_xlfn.XLOOKUP(J1051,'Centro de Custo'!J$2:J$13,'Centro de Custo'!K$2:K$13)</f>
        <v>Setembro</v>
      </c>
      <c r="J1051" s="43">
        <f>MONTH(Tabela3[[#This Row],[Data]])</f>
        <v>9</v>
      </c>
      <c r="K1051" s="39">
        <f>SUM(E$3:Tabela3[[#This Row],[Valor]])</f>
        <v>99433.23000000078</v>
      </c>
      <c r="L1051" s="40">
        <f t="shared" si="16"/>
        <v>2.22375</v>
      </c>
      <c r="M1051" s="40"/>
      <c r="N1051" s="40"/>
      <c r="O1051" s="40"/>
      <c r="P1051" s="39"/>
      <c r="Q1051" s="39"/>
      <c r="R1051" s="39"/>
      <c r="S1051" s="39"/>
      <c r="T1051" s="39"/>
    </row>
    <row r="1052" spans="1:20" x14ac:dyDescent="0.25">
      <c r="A1052" t="s">
        <v>190</v>
      </c>
      <c r="B1052" s="37">
        <v>20</v>
      </c>
      <c r="C1052" t="str">
        <f>_xlfn.XLOOKUP(B1052,'Centro de Custo'!A$2:A$45,'Centro de Custo'!B$2:B$45)</f>
        <v>Desp. ADM</v>
      </c>
      <c r="E1052" s="39">
        <v>-2099.93</v>
      </c>
      <c r="F1052" s="40" t="s">
        <v>10</v>
      </c>
      <c r="G1052" s="41">
        <v>45908</v>
      </c>
      <c r="H1052" s="42">
        <f>YEAR(Tabela3[[#This Row],[Data]])</f>
        <v>2025</v>
      </c>
      <c r="I1052" s="42" t="str">
        <f>_xlfn.XLOOKUP(J1052,'Centro de Custo'!J$2:J$13,'Centro de Custo'!K$2:K$13)</f>
        <v>Setembro</v>
      </c>
      <c r="J1052" s="43">
        <f>MONTH(Tabela3[[#This Row],[Data]])</f>
        <v>9</v>
      </c>
      <c r="K1052" s="39">
        <f>SUM(E$3:Tabela3[[#This Row],[Valor]])</f>
        <v>97333.30000000079</v>
      </c>
      <c r="L1052" s="40">
        <f t="shared" si="16"/>
        <v>2.22375</v>
      </c>
      <c r="M1052" s="40"/>
      <c r="N1052" s="40"/>
      <c r="O1052" s="40"/>
      <c r="P1052" s="39"/>
      <c r="Q1052" s="39"/>
      <c r="R1052" s="39"/>
      <c r="S1052" s="39"/>
      <c r="T1052" s="39"/>
    </row>
    <row r="1053" spans="1:20" x14ac:dyDescent="0.25">
      <c r="A1053" t="s">
        <v>190</v>
      </c>
      <c r="B1053" s="37">
        <v>20</v>
      </c>
      <c r="C1053" t="str">
        <f>_xlfn.XLOOKUP(B1053,'Centro de Custo'!A$2:A$45,'Centro de Custo'!B$2:B$45)</f>
        <v>Desp. ADM</v>
      </c>
      <c r="E1053" s="39">
        <v>-4886.44</v>
      </c>
      <c r="F1053" s="40" t="s">
        <v>10</v>
      </c>
      <c r="G1053" s="41">
        <v>45908</v>
      </c>
      <c r="H1053" s="42">
        <f>YEAR(Tabela3[[#This Row],[Data]])</f>
        <v>2025</v>
      </c>
      <c r="I1053" s="42" t="str">
        <f>_xlfn.XLOOKUP(J1053,'Centro de Custo'!J$2:J$13,'Centro de Custo'!K$2:K$13)</f>
        <v>Setembro</v>
      </c>
      <c r="J1053" s="43">
        <f>MONTH(Tabela3[[#This Row],[Data]])</f>
        <v>9</v>
      </c>
      <c r="K1053" s="39">
        <f>SUM(E$3:Tabela3[[#This Row],[Valor]])</f>
        <v>92446.86000000079</v>
      </c>
      <c r="L1053" s="40">
        <f t="shared" si="16"/>
        <v>2.22375</v>
      </c>
      <c r="M1053" s="40"/>
      <c r="N1053" s="40"/>
      <c r="O1053" s="40"/>
      <c r="P1053" s="39"/>
      <c r="Q1053" s="39"/>
      <c r="R1053" s="39"/>
      <c r="S1053" s="39"/>
      <c r="T1053" s="39"/>
    </row>
    <row r="1054" spans="1:20" x14ac:dyDescent="0.25">
      <c r="A1054" t="s">
        <v>549</v>
      </c>
      <c r="B1054" s="37">
        <v>12</v>
      </c>
      <c r="C1054" t="str">
        <f>_xlfn.XLOOKUP(B1054,'Centro de Custo'!A$2:A$45,'Centro de Custo'!B$2:B$45)</f>
        <v>Direitos Autorais Terceiros</v>
      </c>
      <c r="E1054" s="39">
        <v>-10000</v>
      </c>
      <c r="F1054" s="40" t="s">
        <v>10</v>
      </c>
      <c r="G1054" s="41">
        <v>45909</v>
      </c>
      <c r="H1054" s="42">
        <f>YEAR(Tabela3[[#This Row],[Data]])</f>
        <v>2025</v>
      </c>
      <c r="I1054" s="42" t="str">
        <f>_xlfn.XLOOKUP(J1054,'Centro de Custo'!J$2:J$13,'Centro de Custo'!K$2:K$13)</f>
        <v>Setembro</v>
      </c>
      <c r="J1054" s="43">
        <f>MONTH(Tabela3[[#This Row],[Data]])</f>
        <v>9</v>
      </c>
      <c r="K1054" s="39">
        <f>SUM(E$3:Tabela3[[#This Row],[Valor]])</f>
        <v>82446.86000000079</v>
      </c>
      <c r="L1054" s="40">
        <f t="shared" si="16"/>
        <v>2.22375</v>
      </c>
      <c r="M1054" s="40"/>
      <c r="N1054" s="40"/>
      <c r="O1054" s="40"/>
      <c r="P1054" s="39"/>
      <c r="Q1054" s="39"/>
      <c r="R1054" s="39"/>
      <c r="S1054" s="39"/>
      <c r="T1054" s="39"/>
    </row>
    <row r="1055" spans="1:20" x14ac:dyDescent="0.25">
      <c r="A1055" t="s">
        <v>570</v>
      </c>
      <c r="B1055" s="37">
        <v>50</v>
      </c>
      <c r="C1055" t="str">
        <f>_xlfn.XLOOKUP(B1055,'Centro de Custo'!A$2:A$45,'Centro de Custo'!B$2:B$45)</f>
        <v>Empréstimos</v>
      </c>
      <c r="E1055" s="39">
        <v>-10000</v>
      </c>
      <c r="F1055" s="40" t="s">
        <v>10</v>
      </c>
      <c r="G1055" s="41">
        <v>45909</v>
      </c>
      <c r="H1055" s="42">
        <f>YEAR(Tabela3[[#This Row],[Data]])</f>
        <v>2025</v>
      </c>
      <c r="I1055" s="42" t="str">
        <f>_xlfn.XLOOKUP(J1055,'Centro de Custo'!J$2:J$13,'Centro de Custo'!K$2:K$13)</f>
        <v>Setembro</v>
      </c>
      <c r="J1055" s="43">
        <f>MONTH(Tabela3[[#This Row],[Data]])</f>
        <v>9</v>
      </c>
      <c r="K1055" s="39">
        <f>SUM(E$3:Tabela3[[#This Row],[Valor]])</f>
        <v>72446.86000000079</v>
      </c>
      <c r="L1055" s="40">
        <f t="shared" si="16"/>
        <v>2.22375</v>
      </c>
      <c r="M1055" s="40"/>
      <c r="N1055" s="40"/>
      <c r="O1055" s="40"/>
      <c r="P1055" s="39"/>
      <c r="Q1055" s="39"/>
      <c r="R1055" s="39"/>
      <c r="S1055" s="39"/>
      <c r="T1055" s="39"/>
    </row>
    <row r="1056" spans="1:20" x14ac:dyDescent="0.25">
      <c r="A1056" t="s">
        <v>571</v>
      </c>
      <c r="B1056" s="37">
        <v>10</v>
      </c>
      <c r="C1056" t="str">
        <f>_xlfn.XLOOKUP(B1056,'Centro de Custo'!A$2:A$45,'Centro de Custo'!B$2:B$45)</f>
        <v>Retirada Mensal</v>
      </c>
      <c r="E1056" s="39">
        <v>-30000</v>
      </c>
      <c r="F1056" s="40" t="s">
        <v>10</v>
      </c>
      <c r="G1056" s="41">
        <v>45909</v>
      </c>
      <c r="H1056" s="42">
        <f>YEAR(Tabela3[[#This Row],[Data]])</f>
        <v>2025</v>
      </c>
      <c r="I1056" s="42" t="str">
        <f>_xlfn.XLOOKUP(J1056,'Centro de Custo'!J$2:J$13,'Centro de Custo'!K$2:K$13)</f>
        <v>Setembro</v>
      </c>
      <c r="J1056" s="43">
        <f>MONTH(Tabela3[[#This Row],[Data]])</f>
        <v>9</v>
      </c>
      <c r="K1056" s="39">
        <f>SUM(E$3:Tabela3[[#This Row],[Valor]])</f>
        <v>42446.86000000079</v>
      </c>
      <c r="L1056" s="40">
        <f t="shared" si="16"/>
        <v>2.22375</v>
      </c>
      <c r="M1056" s="40"/>
      <c r="N1056" s="40"/>
      <c r="O1056" s="40"/>
      <c r="P1056" s="39"/>
      <c r="Q1056" s="39"/>
      <c r="R1056" s="39"/>
      <c r="S1056" s="39"/>
      <c r="T1056" s="39"/>
    </row>
    <row r="1057" spans="1:20" x14ac:dyDescent="0.25">
      <c r="A1057" t="s">
        <v>264</v>
      </c>
      <c r="B1057" s="37">
        <v>1</v>
      </c>
      <c r="C1057" t="str">
        <f>_xlfn.XLOOKUP(B1057,'Centro de Custo'!A$2:A$45,'Centro de Custo'!B$2:B$45)</f>
        <v>Receita de Produto</v>
      </c>
      <c r="E1057" s="39">
        <v>2700000</v>
      </c>
      <c r="F1057" s="40" t="s">
        <v>10</v>
      </c>
      <c r="G1057" s="41">
        <v>45910</v>
      </c>
      <c r="H1057" s="42">
        <f>YEAR(Tabela3[[#This Row],[Data]])</f>
        <v>2025</v>
      </c>
      <c r="I1057" s="42" t="str">
        <f>_xlfn.XLOOKUP(J1057,'Centro de Custo'!J$2:J$13,'Centro de Custo'!K$2:K$13)</f>
        <v>Setembro</v>
      </c>
      <c r="J1057" s="43">
        <f>MONTH(Tabela3[[#This Row],[Data]])</f>
        <v>9</v>
      </c>
      <c r="K1057" s="39">
        <f>SUM(E$3:Tabela3[[#This Row],[Valor]])</f>
        <v>2742446.860000001</v>
      </c>
      <c r="L1057" s="40">
        <f t="shared" si="16"/>
        <v>2.22375</v>
      </c>
      <c r="M1057" s="40"/>
      <c r="N1057" s="40"/>
      <c r="O1057" s="40"/>
      <c r="P1057" s="39"/>
      <c r="Q1057" s="39"/>
      <c r="R1057" s="39"/>
      <c r="S1057" s="39"/>
      <c r="T1057" s="39"/>
    </row>
    <row r="1058" spans="1:20" x14ac:dyDescent="0.25">
      <c r="A1058" t="s">
        <v>264</v>
      </c>
      <c r="B1058" s="37">
        <v>1</v>
      </c>
      <c r="C1058" t="str">
        <f>_xlfn.XLOOKUP(B1058,'Centro de Custo'!A$2:A$45,'Centro de Custo'!B$2:B$45)</f>
        <v>Receita de Produto</v>
      </c>
      <c r="E1058" s="39">
        <v>15000</v>
      </c>
      <c r="F1058" s="40" t="s">
        <v>10</v>
      </c>
      <c r="G1058" s="41">
        <v>45910</v>
      </c>
      <c r="H1058" s="42">
        <f>YEAR(Tabela3[[#This Row],[Data]])</f>
        <v>2025</v>
      </c>
      <c r="I1058" s="42" t="str">
        <f>_xlfn.XLOOKUP(J1058,'Centro de Custo'!J$2:J$13,'Centro de Custo'!K$2:K$13)</f>
        <v>Setembro</v>
      </c>
      <c r="J1058" s="43">
        <f>MONTH(Tabela3[[#This Row],[Data]])</f>
        <v>9</v>
      </c>
      <c r="K1058" s="39">
        <f>SUM(E$3:Tabela3[[#This Row],[Valor]])</f>
        <v>2757446.860000001</v>
      </c>
      <c r="L1058" s="40">
        <f t="shared" si="16"/>
        <v>2.22375</v>
      </c>
      <c r="M1058" s="40"/>
      <c r="N1058" s="40"/>
      <c r="O1058" s="40"/>
      <c r="P1058" s="39"/>
      <c r="Q1058" s="39"/>
      <c r="R1058" s="39"/>
      <c r="S1058" s="39"/>
      <c r="T1058" s="39"/>
    </row>
    <row r="1059" spans="1:20" x14ac:dyDescent="0.25">
      <c r="A1059" t="s">
        <v>547</v>
      </c>
      <c r="B1059" s="37">
        <v>31</v>
      </c>
      <c r="C1059" t="str">
        <f>_xlfn.XLOOKUP(B1059,'Centro de Custo'!A$2:A$45,'Centro de Custo'!B$2:B$45)</f>
        <v>Marketing</v>
      </c>
      <c r="E1059" s="39">
        <v>-4500</v>
      </c>
      <c r="F1059" s="40" t="s">
        <v>10</v>
      </c>
      <c r="G1059" s="41">
        <v>45910</v>
      </c>
      <c r="H1059" s="42">
        <f>YEAR(Tabela3[[#This Row],[Data]])</f>
        <v>2025</v>
      </c>
      <c r="I1059" s="42" t="str">
        <f>_xlfn.XLOOKUP(J1059,'Centro de Custo'!J$2:J$13,'Centro de Custo'!K$2:K$13)</f>
        <v>Setembro</v>
      </c>
      <c r="J1059" s="43">
        <f>MONTH(Tabela3[[#This Row],[Data]])</f>
        <v>9</v>
      </c>
      <c r="K1059" s="39">
        <f>SUM(E$3:Tabela3[[#This Row],[Valor]])</f>
        <v>2752946.860000001</v>
      </c>
      <c r="L1059" s="40">
        <f t="shared" si="16"/>
        <v>2.22375</v>
      </c>
      <c r="M1059" s="40"/>
      <c r="N1059" s="40"/>
      <c r="O1059" s="40"/>
      <c r="P1059" s="39"/>
      <c r="Q1059" s="39"/>
      <c r="R1059" s="39"/>
      <c r="S1059" s="39"/>
      <c r="T1059" s="39"/>
    </row>
    <row r="1060" spans="1:20" x14ac:dyDescent="0.25">
      <c r="A1060" t="s">
        <v>419</v>
      </c>
      <c r="B1060" s="37">
        <v>14</v>
      </c>
      <c r="C1060" t="str">
        <f>_xlfn.XLOOKUP(B1060,'Centro de Custo'!A$2:A$45,'Centro de Custo'!B$2:B$45)</f>
        <v>Outros</v>
      </c>
      <c r="E1060" s="39">
        <v>-4500</v>
      </c>
      <c r="F1060" s="40" t="s">
        <v>10</v>
      </c>
      <c r="G1060" s="41">
        <v>45910</v>
      </c>
      <c r="H1060" s="42">
        <f>YEAR(Tabela3[[#This Row],[Data]])</f>
        <v>2025</v>
      </c>
      <c r="I1060" s="42" t="str">
        <f>_xlfn.XLOOKUP(J1060,'Centro de Custo'!J$2:J$13,'Centro de Custo'!K$2:K$13)</f>
        <v>Setembro</v>
      </c>
      <c r="J1060" s="43">
        <f>MONTH(Tabela3[[#This Row],[Data]])</f>
        <v>9</v>
      </c>
      <c r="K1060" s="39">
        <f>SUM(E$3:Tabela3[[#This Row],[Valor]])</f>
        <v>2748446.860000001</v>
      </c>
      <c r="L1060" s="40">
        <f t="shared" si="16"/>
        <v>2.22375</v>
      </c>
      <c r="M1060" s="40"/>
      <c r="N1060" s="40"/>
      <c r="O1060" s="40"/>
      <c r="P1060" s="39"/>
      <c r="Q1060" s="39"/>
      <c r="R1060" s="39"/>
      <c r="S1060" s="39"/>
      <c r="T1060" s="39"/>
    </row>
    <row r="1061" spans="1:20" x14ac:dyDescent="0.25">
      <c r="A1061" t="s">
        <v>570</v>
      </c>
      <c r="B1061" s="37">
        <v>50</v>
      </c>
      <c r="C1061" t="str">
        <f>_xlfn.XLOOKUP(B1061,'Centro de Custo'!A$2:A$45,'Centro de Custo'!B$2:B$45)</f>
        <v>Empréstimos</v>
      </c>
      <c r="E1061" s="39">
        <v>-5500</v>
      </c>
      <c r="F1061" s="40" t="s">
        <v>10</v>
      </c>
      <c r="G1061" s="41">
        <v>45910</v>
      </c>
      <c r="H1061" s="42">
        <f>YEAR(Tabela3[[#This Row],[Data]])</f>
        <v>2025</v>
      </c>
      <c r="I1061" s="42" t="str">
        <f>_xlfn.XLOOKUP(J1061,'Centro de Custo'!J$2:J$13,'Centro de Custo'!K$2:K$13)</f>
        <v>Setembro</v>
      </c>
      <c r="J1061" s="43">
        <f>MONTH(Tabela3[[#This Row],[Data]])</f>
        <v>9</v>
      </c>
      <c r="K1061" s="39">
        <f>SUM(E$3:Tabela3[[#This Row],[Valor]])</f>
        <v>2742946.860000001</v>
      </c>
      <c r="L1061" s="40">
        <f t="shared" si="16"/>
        <v>2.22375</v>
      </c>
      <c r="M1061" s="40"/>
      <c r="N1061" s="40"/>
      <c r="O1061" s="40"/>
      <c r="P1061" s="39"/>
      <c r="Q1061" s="39"/>
      <c r="R1061" s="39"/>
      <c r="S1061" s="39"/>
      <c r="T1061" s="39"/>
    </row>
    <row r="1062" spans="1:20" x14ac:dyDescent="0.25">
      <c r="A1062" t="s">
        <v>572</v>
      </c>
      <c r="B1062" s="37">
        <v>43</v>
      </c>
      <c r="C1062" t="str">
        <f>_xlfn.XLOOKUP(B1062,'Centro de Custo'!A$2:A$45,'Centro de Custo'!B$2:B$45)</f>
        <v>Setor Privado</v>
      </c>
      <c r="E1062" s="39">
        <v>-15000</v>
      </c>
      <c r="F1062" s="40" t="s">
        <v>10</v>
      </c>
      <c r="G1062" s="41">
        <v>45910</v>
      </c>
      <c r="H1062" s="42">
        <f>YEAR(Tabela3[[#This Row],[Data]])</f>
        <v>2025</v>
      </c>
      <c r="I1062" s="42" t="str">
        <f>_xlfn.XLOOKUP(J1062,'Centro de Custo'!J$2:J$13,'Centro de Custo'!K$2:K$13)</f>
        <v>Setembro</v>
      </c>
      <c r="J1062" s="43">
        <f>MONTH(Tabela3[[#This Row],[Data]])</f>
        <v>9</v>
      </c>
      <c r="K1062" s="39">
        <f>SUM(E$3:Tabela3[[#This Row],[Valor]])</f>
        <v>2727946.860000001</v>
      </c>
      <c r="L1062" s="40">
        <f t="shared" si="16"/>
        <v>2.22375</v>
      </c>
      <c r="M1062" s="40"/>
      <c r="N1062" s="40"/>
      <c r="O1062" s="40"/>
      <c r="P1062" s="39"/>
      <c r="Q1062" s="39"/>
      <c r="R1062" s="39"/>
      <c r="S1062" s="39"/>
      <c r="T1062" s="39"/>
    </row>
    <row r="1063" spans="1:20" x14ac:dyDescent="0.25">
      <c r="A1063" t="s">
        <v>430</v>
      </c>
      <c r="B1063" s="37">
        <v>40</v>
      </c>
      <c r="C1063" t="str">
        <f>_xlfn.XLOOKUP(B1063,'Centro de Custo'!A$2:A$45,'Centro de Custo'!B$2:B$45)</f>
        <v>Aplicação Financeira</v>
      </c>
      <c r="E1063" s="39">
        <v>-2500000</v>
      </c>
      <c r="F1063" s="40" t="s">
        <v>10</v>
      </c>
      <c r="G1063" s="41">
        <v>45910</v>
      </c>
      <c r="H1063" s="42">
        <f>YEAR(Tabela3[[#This Row],[Data]])</f>
        <v>2025</v>
      </c>
      <c r="I1063" s="42" t="str">
        <f>_xlfn.XLOOKUP(J1063,'Centro de Custo'!J$2:J$13,'Centro de Custo'!K$2:K$13)</f>
        <v>Setembro</v>
      </c>
      <c r="J1063" s="43">
        <f>MONTH(Tabela3[[#This Row],[Data]])</f>
        <v>9</v>
      </c>
      <c r="K1063" s="39">
        <f>SUM(E$3:Tabela3[[#This Row],[Valor]])</f>
        <v>227946.8600000008</v>
      </c>
      <c r="L1063" s="40">
        <f t="shared" si="16"/>
        <v>2.22375</v>
      </c>
      <c r="M1063" s="40"/>
      <c r="N1063" s="40"/>
      <c r="O1063" s="40"/>
      <c r="P1063" s="39"/>
      <c r="Q1063" s="39"/>
      <c r="R1063" s="39"/>
      <c r="S1063" s="39"/>
      <c r="T1063" s="39"/>
    </row>
    <row r="1064" spans="1:20" x14ac:dyDescent="0.25">
      <c r="A1064" t="s">
        <v>573</v>
      </c>
      <c r="B1064" s="37">
        <v>1</v>
      </c>
      <c r="C1064" t="str">
        <f>_xlfn.XLOOKUP(B1064,'Centro de Custo'!A$2:A$45,'Centro de Custo'!B$2:B$45)</f>
        <v>Receita de Produto</v>
      </c>
      <c r="E1064" s="39">
        <v>158895.75</v>
      </c>
      <c r="F1064" s="40" t="s">
        <v>10</v>
      </c>
      <c r="G1064" s="41">
        <v>45911</v>
      </c>
      <c r="H1064" s="42">
        <f>YEAR(Tabela3[[#This Row],[Data]])</f>
        <v>2025</v>
      </c>
      <c r="I1064" s="42" t="str">
        <f>_xlfn.XLOOKUP(J1064,'Centro de Custo'!J$2:J$13,'Centro de Custo'!K$2:K$13)</f>
        <v>Setembro</v>
      </c>
      <c r="J1064" s="43">
        <f>MONTH(Tabela3[[#This Row],[Data]])</f>
        <v>9</v>
      </c>
      <c r="K1064" s="39">
        <f>SUM(E$3:Tabela3[[#This Row],[Valor]])</f>
        <v>386842.6100000008</v>
      </c>
      <c r="L1064" s="40">
        <f t="shared" si="16"/>
        <v>2.22375</v>
      </c>
      <c r="M1064" s="40"/>
      <c r="N1064" s="40"/>
      <c r="O1064" s="40"/>
      <c r="P1064" s="39"/>
      <c r="Q1064" s="39"/>
      <c r="R1064" s="39"/>
      <c r="S1064" s="39"/>
      <c r="T1064" s="39"/>
    </row>
    <row r="1065" spans="1:20" x14ac:dyDescent="0.25">
      <c r="A1065" t="s">
        <v>574</v>
      </c>
      <c r="B1065" s="37">
        <v>20</v>
      </c>
      <c r="C1065" t="str">
        <f>_xlfn.XLOOKUP(B1065,'Centro de Custo'!A$2:A$45,'Centro de Custo'!B$2:B$45)</f>
        <v>Desp. ADM</v>
      </c>
      <c r="E1065" s="39">
        <v>-750</v>
      </c>
      <c r="F1065" s="40" t="s">
        <v>10</v>
      </c>
      <c r="G1065" s="41">
        <v>45911</v>
      </c>
      <c r="H1065" s="42">
        <f>YEAR(Tabela3[[#This Row],[Data]])</f>
        <v>2025</v>
      </c>
      <c r="I1065" s="42" t="str">
        <f>_xlfn.XLOOKUP(J1065,'Centro de Custo'!J$2:J$13,'Centro de Custo'!K$2:K$13)</f>
        <v>Setembro</v>
      </c>
      <c r="J1065" s="43">
        <f>MONTH(Tabela3[[#This Row],[Data]])</f>
        <v>9</v>
      </c>
      <c r="K1065" s="39">
        <f>SUM(E$3:Tabela3[[#This Row],[Valor]])</f>
        <v>386092.6100000008</v>
      </c>
      <c r="L1065" s="40">
        <f t="shared" si="16"/>
        <v>2.22375</v>
      </c>
      <c r="M1065" s="40"/>
      <c r="N1065" s="40"/>
      <c r="O1065" s="40"/>
      <c r="P1065" s="39"/>
      <c r="Q1065" s="39"/>
      <c r="R1065" s="39"/>
      <c r="S1065" s="39"/>
      <c r="T1065" s="39"/>
    </row>
    <row r="1066" spans="1:20" x14ac:dyDescent="0.25">
      <c r="A1066" t="s">
        <v>512</v>
      </c>
      <c r="B1066" s="37">
        <v>20</v>
      </c>
      <c r="C1066" t="str">
        <f>_xlfn.XLOOKUP(B1066,'Centro de Custo'!A$2:A$45,'Centro de Custo'!B$2:B$45)</f>
        <v>Desp. ADM</v>
      </c>
      <c r="E1066" s="39">
        <v>-2600</v>
      </c>
      <c r="F1066" s="40" t="s">
        <v>10</v>
      </c>
      <c r="G1066" s="41">
        <v>45911</v>
      </c>
      <c r="H1066" s="42">
        <f>YEAR(Tabela3[[#This Row],[Data]])</f>
        <v>2025</v>
      </c>
      <c r="I1066" s="42" t="str">
        <f>_xlfn.XLOOKUP(J1066,'Centro de Custo'!J$2:J$13,'Centro de Custo'!K$2:K$13)</f>
        <v>Setembro</v>
      </c>
      <c r="J1066" s="43">
        <f>MONTH(Tabela3[[#This Row],[Data]])</f>
        <v>9</v>
      </c>
      <c r="K1066" s="39">
        <f>SUM(E$3:Tabela3[[#This Row],[Valor]])</f>
        <v>383492.6100000008</v>
      </c>
      <c r="L1066" s="40">
        <f t="shared" si="16"/>
        <v>2.22375</v>
      </c>
      <c r="M1066" s="40"/>
      <c r="N1066" s="40"/>
      <c r="O1066" s="40"/>
      <c r="P1066" s="39"/>
      <c r="Q1066" s="39"/>
      <c r="R1066" s="39"/>
      <c r="S1066" s="39"/>
      <c r="T1066" s="39"/>
    </row>
    <row r="1067" spans="1:20" x14ac:dyDescent="0.25">
      <c r="A1067" t="s">
        <v>383</v>
      </c>
      <c r="B1067" s="37">
        <v>12</v>
      </c>
      <c r="C1067" t="str">
        <f>_xlfn.XLOOKUP(B1067,'Centro de Custo'!A$2:A$45,'Centro de Custo'!B$2:B$45)</f>
        <v>Direitos Autorais Terceiros</v>
      </c>
      <c r="E1067" s="39">
        <v>-11895.75</v>
      </c>
      <c r="F1067" s="40" t="s">
        <v>10</v>
      </c>
      <c r="G1067" s="41">
        <v>45911</v>
      </c>
      <c r="H1067" s="42">
        <f>YEAR(Tabela3[[#This Row],[Data]])</f>
        <v>2025</v>
      </c>
      <c r="I1067" s="42" t="str">
        <f>_xlfn.XLOOKUP(J1067,'Centro de Custo'!J$2:J$13,'Centro de Custo'!K$2:K$13)</f>
        <v>Setembro</v>
      </c>
      <c r="J1067" s="43">
        <f>MONTH(Tabela3[[#This Row],[Data]])</f>
        <v>9</v>
      </c>
      <c r="K1067" s="39">
        <f>SUM(E$3:Tabela3[[#This Row],[Valor]])</f>
        <v>371596.8600000008</v>
      </c>
      <c r="L1067" s="40">
        <f t="shared" si="16"/>
        <v>2.22375</v>
      </c>
      <c r="M1067" s="40"/>
      <c r="N1067" s="40"/>
      <c r="O1067" s="40"/>
      <c r="P1067" s="39"/>
      <c r="Q1067" s="39"/>
      <c r="R1067" s="39"/>
      <c r="S1067" s="39"/>
      <c r="T1067" s="39"/>
    </row>
    <row r="1068" spans="1:20" x14ac:dyDescent="0.25">
      <c r="A1068" t="s">
        <v>575</v>
      </c>
      <c r="B1068" s="37">
        <v>43</v>
      </c>
      <c r="C1068" t="str">
        <f>_xlfn.XLOOKUP(B1068,'Centro de Custo'!A$2:A$45,'Centro de Custo'!B$2:B$45)</f>
        <v>Setor Privado</v>
      </c>
      <c r="E1068" s="39">
        <v>-25000</v>
      </c>
      <c r="F1068" s="40" t="s">
        <v>10</v>
      </c>
      <c r="G1068" s="41">
        <v>45911</v>
      </c>
      <c r="H1068" s="42">
        <f>YEAR(Tabela3[[#This Row],[Data]])</f>
        <v>2025</v>
      </c>
      <c r="I1068" s="42" t="str">
        <f>_xlfn.XLOOKUP(J1068,'Centro de Custo'!J$2:J$13,'Centro de Custo'!K$2:K$13)</f>
        <v>Setembro</v>
      </c>
      <c r="J1068" s="43">
        <f>MONTH(Tabela3[[#This Row],[Data]])</f>
        <v>9</v>
      </c>
      <c r="K1068" s="39">
        <f>SUM(E$3:Tabela3[[#This Row],[Valor]])</f>
        <v>346596.8600000008</v>
      </c>
      <c r="L1068" s="40">
        <f t="shared" si="16"/>
        <v>2.22375</v>
      </c>
      <c r="M1068" s="40"/>
      <c r="N1068" s="40"/>
      <c r="O1068" s="40"/>
      <c r="P1068" s="39"/>
      <c r="Q1068" s="39"/>
      <c r="R1068" s="39"/>
      <c r="S1068" s="39"/>
      <c r="T1068" s="39"/>
    </row>
    <row r="1069" spans="1:20" x14ac:dyDescent="0.25">
      <c r="A1069" t="s">
        <v>576</v>
      </c>
      <c r="B1069" s="37">
        <v>51</v>
      </c>
      <c r="C1069" t="str">
        <f>_xlfn.XLOOKUP(B1069,'Centro de Custo'!A$2:A$45,'Centro de Custo'!B$2:B$45)</f>
        <v>Invoke</v>
      </c>
      <c r="E1069" s="39">
        <v>-47000</v>
      </c>
      <c r="F1069" s="40" t="s">
        <v>10</v>
      </c>
      <c r="G1069" s="41">
        <v>45911</v>
      </c>
      <c r="H1069" s="42">
        <f>YEAR(Tabela3[[#This Row],[Data]])</f>
        <v>2025</v>
      </c>
      <c r="I1069" s="42" t="str">
        <f>_xlfn.XLOOKUP(J1069,'Centro de Custo'!J$2:J$13,'Centro de Custo'!K$2:K$13)</f>
        <v>Setembro</v>
      </c>
      <c r="J1069" s="43">
        <f>MONTH(Tabela3[[#This Row],[Data]])</f>
        <v>9</v>
      </c>
      <c r="K1069" s="39">
        <f>SUM(E$3:Tabela3[[#This Row],[Valor]])</f>
        <v>299596.8600000008</v>
      </c>
      <c r="L1069" s="40">
        <f t="shared" si="16"/>
        <v>2.22375</v>
      </c>
      <c r="M1069" s="40"/>
      <c r="N1069" s="40"/>
      <c r="O1069" s="40"/>
      <c r="P1069" s="39"/>
      <c r="Q1069" s="39"/>
      <c r="R1069" s="39"/>
      <c r="S1069" s="39"/>
      <c r="T1069" s="39"/>
    </row>
    <row r="1070" spans="1:20" x14ac:dyDescent="0.25">
      <c r="A1070" t="s">
        <v>577</v>
      </c>
      <c r="B1070" s="37">
        <v>52</v>
      </c>
      <c r="C1070" t="str">
        <f>_xlfn.XLOOKUP(B1070,'Centro de Custo'!A$2:A$45,'Centro de Custo'!B$2:B$45)</f>
        <v>Guardião Escolar</v>
      </c>
      <c r="E1070" s="39">
        <v>-75000</v>
      </c>
      <c r="F1070" s="40" t="s">
        <v>10</v>
      </c>
      <c r="G1070" s="41">
        <v>45911</v>
      </c>
      <c r="H1070" s="42">
        <f>YEAR(Tabela3[[#This Row],[Data]])</f>
        <v>2025</v>
      </c>
      <c r="I1070" s="42" t="str">
        <f>_xlfn.XLOOKUP(J1070,'Centro de Custo'!J$2:J$13,'Centro de Custo'!K$2:K$13)</f>
        <v>Setembro</v>
      </c>
      <c r="J1070" s="43">
        <f>MONTH(Tabela3[[#This Row],[Data]])</f>
        <v>9</v>
      </c>
      <c r="K1070" s="39">
        <f>SUM(E$3:Tabela3[[#This Row],[Valor]])</f>
        <v>224596.8600000008</v>
      </c>
      <c r="L1070" s="40">
        <f t="shared" si="16"/>
        <v>2.22375</v>
      </c>
      <c r="M1070" s="40"/>
      <c r="N1070" s="40"/>
      <c r="O1070" s="40"/>
      <c r="P1070" s="39"/>
      <c r="Q1070" s="39"/>
      <c r="R1070" s="39"/>
      <c r="S1070" s="39"/>
      <c r="T1070" s="39"/>
    </row>
    <row r="1071" spans="1:20" x14ac:dyDescent="0.25">
      <c r="A1071" t="s">
        <v>578</v>
      </c>
      <c r="B1071" s="37">
        <v>20</v>
      </c>
      <c r="C1071" t="str">
        <f>_xlfn.XLOOKUP(B1071,'Centro de Custo'!A$2:A$45,'Centro de Custo'!B$2:B$45)</f>
        <v>Desp. ADM</v>
      </c>
      <c r="E1071" s="39">
        <v>-3000</v>
      </c>
      <c r="F1071" s="40" t="s">
        <v>10</v>
      </c>
      <c r="G1071" s="41">
        <v>45912</v>
      </c>
      <c r="H1071" s="42">
        <f>YEAR(Tabela3[[#This Row],[Data]])</f>
        <v>2025</v>
      </c>
      <c r="I1071" s="42" t="str">
        <f>_xlfn.XLOOKUP(J1071,'Centro de Custo'!J$2:J$13,'Centro de Custo'!K$2:K$13)</f>
        <v>Setembro</v>
      </c>
      <c r="J1071" s="43">
        <f>MONTH(Tabela3[[#This Row],[Data]])</f>
        <v>9</v>
      </c>
      <c r="K1071" s="39">
        <f>SUM(E$3:Tabela3[[#This Row],[Valor]])</f>
        <v>221596.8600000008</v>
      </c>
      <c r="L1071" s="40">
        <f t="shared" si="16"/>
        <v>2.22375</v>
      </c>
      <c r="M1071" s="40"/>
      <c r="N1071" s="40"/>
      <c r="O1071" s="40"/>
      <c r="P1071" s="39"/>
      <c r="Q1071" s="39"/>
      <c r="R1071" s="39"/>
      <c r="S1071" s="39"/>
      <c r="T1071" s="39"/>
    </row>
    <row r="1072" spans="1:20" x14ac:dyDescent="0.25">
      <c r="A1072" t="s">
        <v>111</v>
      </c>
      <c r="B1072" s="37">
        <v>10</v>
      </c>
      <c r="C1072" t="str">
        <f>_xlfn.XLOOKUP(B1072,'Centro de Custo'!A$2:A$45,'Centro de Custo'!B$2:B$45)</f>
        <v>Retirada Mensal</v>
      </c>
      <c r="E1072" s="39">
        <v>-7000</v>
      </c>
      <c r="F1072" s="40" t="s">
        <v>10</v>
      </c>
      <c r="G1072" s="41">
        <v>45912</v>
      </c>
      <c r="H1072" s="42">
        <f>YEAR(Tabela3[[#This Row],[Data]])</f>
        <v>2025</v>
      </c>
      <c r="I1072" s="42" t="str">
        <f>_xlfn.XLOOKUP(J1072,'Centro de Custo'!J$2:J$13,'Centro de Custo'!K$2:K$13)</f>
        <v>Setembro</v>
      </c>
      <c r="J1072" s="43">
        <f>MONTH(Tabela3[[#This Row],[Data]])</f>
        <v>9</v>
      </c>
      <c r="K1072" s="39">
        <f>SUM(E$3:Tabela3[[#This Row],[Valor]])</f>
        <v>214596.8600000008</v>
      </c>
      <c r="L1072" s="40">
        <f t="shared" si="16"/>
        <v>2.22375</v>
      </c>
      <c r="M1072" s="40"/>
      <c r="N1072" s="40"/>
      <c r="O1072" s="40"/>
      <c r="P1072" s="39"/>
      <c r="Q1072" s="39"/>
      <c r="R1072" s="39"/>
      <c r="S1072" s="39"/>
      <c r="T1072" s="39"/>
    </row>
    <row r="1073" spans="1:20" x14ac:dyDescent="0.25">
      <c r="A1073" t="s">
        <v>579</v>
      </c>
      <c r="B1073" s="37">
        <v>50</v>
      </c>
      <c r="C1073" t="str">
        <f>_xlfn.XLOOKUP(B1073,'Centro de Custo'!A$2:A$45,'Centro de Custo'!B$2:B$45)</f>
        <v>Empréstimos</v>
      </c>
      <c r="E1073" s="39">
        <v>-200000</v>
      </c>
      <c r="F1073" s="40" t="s">
        <v>10</v>
      </c>
      <c r="G1073" s="41">
        <v>45912</v>
      </c>
      <c r="H1073" s="42">
        <f>YEAR(Tabela3[[#This Row],[Data]])</f>
        <v>2025</v>
      </c>
      <c r="I1073" s="42" t="str">
        <f>_xlfn.XLOOKUP(J1073,'Centro de Custo'!J$2:J$13,'Centro de Custo'!K$2:K$13)</f>
        <v>Setembro</v>
      </c>
      <c r="J1073" s="43">
        <f>MONTH(Tabela3[[#This Row],[Data]])</f>
        <v>9</v>
      </c>
      <c r="K1073" s="39">
        <f>SUM(E$3:Tabela3[[#This Row],[Valor]])</f>
        <v>14596.860000000801</v>
      </c>
      <c r="L1073" s="40">
        <f t="shared" si="16"/>
        <v>2.22375</v>
      </c>
      <c r="M1073" s="40"/>
      <c r="N1073" s="40"/>
      <c r="O1073" s="40"/>
      <c r="P1073" s="39"/>
      <c r="Q1073" s="39"/>
      <c r="R1073" s="39"/>
      <c r="S1073" s="39"/>
      <c r="T1073" s="39"/>
    </row>
    <row r="1074" spans="1:20" x14ac:dyDescent="0.25">
      <c r="A1074" t="s">
        <v>580</v>
      </c>
      <c r="B1074" s="37">
        <v>20</v>
      </c>
      <c r="C1074" t="str">
        <f>_xlfn.XLOOKUP(B1074,'Centro de Custo'!A$2:A$45,'Centro de Custo'!B$2:B$45)</f>
        <v>Desp. ADM</v>
      </c>
      <c r="E1074" s="39">
        <v>-304.63</v>
      </c>
      <c r="F1074" s="40" t="s">
        <v>10</v>
      </c>
      <c r="G1074" s="41">
        <v>45917</v>
      </c>
      <c r="H1074" s="42">
        <f>YEAR(Tabela3[[#This Row],[Data]])</f>
        <v>2025</v>
      </c>
      <c r="I1074" s="42" t="str">
        <f>_xlfn.XLOOKUP(J1074,'Centro de Custo'!J$2:J$13,'Centro de Custo'!K$2:K$13)</f>
        <v>Setembro</v>
      </c>
      <c r="J1074" s="43">
        <f>MONTH(Tabela3[[#This Row],[Data]])</f>
        <v>9</v>
      </c>
      <c r="K1074" s="39">
        <f>SUM(E$3:Tabela3[[#This Row],[Valor]])</f>
        <v>14292.230000000802</v>
      </c>
      <c r="L1074" s="40">
        <f t="shared" si="16"/>
        <v>2.22375</v>
      </c>
      <c r="M1074" s="40"/>
      <c r="N1074" s="40"/>
      <c r="O1074" s="40"/>
      <c r="P1074" s="39"/>
      <c r="Q1074" s="39"/>
      <c r="R1074" s="39"/>
      <c r="S1074" s="39"/>
      <c r="T1074" s="39"/>
    </row>
    <row r="1075" spans="1:20" x14ac:dyDescent="0.25">
      <c r="A1075" t="s">
        <v>581</v>
      </c>
      <c r="B1075" s="37">
        <v>20</v>
      </c>
      <c r="C1075" t="str">
        <f>_xlfn.XLOOKUP(B1075,'Centro de Custo'!A$2:A$45,'Centro de Custo'!B$2:B$45)</f>
        <v>Desp. ADM</v>
      </c>
      <c r="E1075" s="39">
        <v>-876.3</v>
      </c>
      <c r="F1075" s="40" t="s">
        <v>10</v>
      </c>
      <c r="G1075" s="41">
        <v>45917</v>
      </c>
      <c r="H1075" s="42">
        <f>YEAR(Tabela3[[#This Row],[Data]])</f>
        <v>2025</v>
      </c>
      <c r="I1075" s="42" t="str">
        <f>_xlfn.XLOOKUP(J1075,'Centro de Custo'!J$2:J$13,'Centro de Custo'!K$2:K$13)</f>
        <v>Setembro</v>
      </c>
      <c r="J1075" s="43">
        <f>MONTH(Tabela3[[#This Row],[Data]])</f>
        <v>9</v>
      </c>
      <c r="K1075" s="39">
        <f>SUM(E$3:Tabela3[[#This Row],[Valor]])</f>
        <v>13415.930000000802</v>
      </c>
      <c r="L1075" s="40">
        <f t="shared" si="16"/>
        <v>2.22375</v>
      </c>
      <c r="M1075" s="40"/>
      <c r="N1075" s="40"/>
      <c r="O1075" s="40"/>
      <c r="P1075" s="39"/>
      <c r="Q1075" s="39"/>
      <c r="R1075" s="39"/>
      <c r="S1075" s="39"/>
      <c r="T1075" s="39"/>
    </row>
    <row r="1076" spans="1:20" x14ac:dyDescent="0.25">
      <c r="A1076" t="s">
        <v>430</v>
      </c>
      <c r="B1076" s="37">
        <v>41</v>
      </c>
      <c r="C1076" t="str">
        <f>_xlfn.XLOOKUP(B1076,'Centro de Custo'!A$2:A$45,'Centro de Custo'!B$2:B$45)</f>
        <v>Resgate Financeiro</v>
      </c>
      <c r="E1076" s="39">
        <v>100000</v>
      </c>
      <c r="F1076" s="40" t="s">
        <v>10</v>
      </c>
      <c r="G1076" s="41">
        <v>45919</v>
      </c>
      <c r="H1076" s="42">
        <f>YEAR(Tabela3[[#This Row],[Data]])</f>
        <v>2025</v>
      </c>
      <c r="I1076" s="42" t="str">
        <f>_xlfn.XLOOKUP(J1076,'Centro de Custo'!J$2:J$13,'Centro de Custo'!K$2:K$13)</f>
        <v>Setembro</v>
      </c>
      <c r="J1076" s="43">
        <f>MONTH(Tabela3[[#This Row],[Data]])</f>
        <v>9</v>
      </c>
      <c r="K1076" s="39">
        <f>SUM(E$3:Tabela3[[#This Row],[Valor]])</f>
        <v>113415.93000000081</v>
      </c>
      <c r="L1076" s="40">
        <f t="shared" si="16"/>
        <v>2.22375</v>
      </c>
      <c r="M1076" s="40"/>
      <c r="N1076" s="40"/>
      <c r="O1076" s="40"/>
      <c r="P1076" s="39"/>
      <c r="Q1076" s="39"/>
      <c r="R1076" s="39"/>
      <c r="S1076" s="39"/>
      <c r="T1076" s="39"/>
    </row>
    <row r="1077" spans="1:20" x14ac:dyDescent="0.25">
      <c r="A1077" t="s">
        <v>582</v>
      </c>
      <c r="B1077" s="37">
        <v>30</v>
      </c>
      <c r="C1077" t="str">
        <f>_xlfn.XLOOKUP(B1077,'Centro de Custo'!A$2:A$45,'Centro de Custo'!B$2:B$45)</f>
        <v>Impostos</v>
      </c>
      <c r="E1077" s="39">
        <v>-1657.74</v>
      </c>
      <c r="F1077" s="40" t="s">
        <v>10</v>
      </c>
      <c r="G1077" s="41">
        <v>45919</v>
      </c>
      <c r="H1077" s="42">
        <f>YEAR(Tabela3[[#This Row],[Data]])</f>
        <v>2025</v>
      </c>
      <c r="I1077" s="42" t="str">
        <f>_xlfn.XLOOKUP(J1077,'Centro de Custo'!J$2:J$13,'Centro de Custo'!K$2:K$13)</f>
        <v>Setembro</v>
      </c>
      <c r="J1077" s="43">
        <f>MONTH(Tabela3[[#This Row],[Data]])</f>
        <v>9</v>
      </c>
      <c r="K1077" s="39">
        <f>SUM(E$3:Tabela3[[#This Row],[Valor]])</f>
        <v>111758.1900000008</v>
      </c>
      <c r="L1077" s="40">
        <f t="shared" si="16"/>
        <v>2.22375</v>
      </c>
      <c r="M1077" s="40"/>
      <c r="N1077" s="40"/>
      <c r="O1077" s="40"/>
      <c r="P1077" s="39"/>
      <c r="Q1077" s="39"/>
      <c r="R1077" s="39"/>
      <c r="S1077" s="39"/>
      <c r="T1077" s="39"/>
    </row>
    <row r="1078" spans="1:20" x14ac:dyDescent="0.25">
      <c r="A1078" t="s">
        <v>583</v>
      </c>
      <c r="B1078" s="37">
        <v>1</v>
      </c>
      <c r="C1078" t="str">
        <f>_xlfn.XLOOKUP(B1078,'Centro de Custo'!A$2:A$45,'Centro de Custo'!B$2:B$45)</f>
        <v>Receita de Produto</v>
      </c>
      <c r="E1078" s="39">
        <v>35000</v>
      </c>
      <c r="F1078" s="40" t="s">
        <v>10</v>
      </c>
      <c r="G1078" s="41">
        <v>45925</v>
      </c>
      <c r="H1078" s="42">
        <f>YEAR(Tabela3[[#This Row],[Data]])</f>
        <v>2025</v>
      </c>
      <c r="I1078" s="42" t="str">
        <f>_xlfn.XLOOKUP(J1078,'Centro de Custo'!J$2:J$13,'Centro de Custo'!K$2:K$13)</f>
        <v>Setembro</v>
      </c>
      <c r="J1078" s="43">
        <f>MONTH(Tabela3[[#This Row],[Data]])</f>
        <v>9</v>
      </c>
      <c r="K1078" s="39">
        <f>SUM(E$3:Tabela3[[#This Row],[Valor]])</f>
        <v>146758.19000000082</v>
      </c>
      <c r="L1078" s="40">
        <f t="shared" si="16"/>
        <v>2.22375</v>
      </c>
      <c r="M1078" s="40"/>
      <c r="N1078" s="40"/>
      <c r="O1078" s="40"/>
      <c r="P1078" s="39"/>
      <c r="Q1078" s="39"/>
      <c r="R1078" s="39"/>
      <c r="S1078" s="39"/>
      <c r="T1078" s="39"/>
    </row>
    <row r="1079" spans="1:20" x14ac:dyDescent="0.25">
      <c r="A1079" t="s">
        <v>224</v>
      </c>
      <c r="B1079" s="37">
        <v>20</v>
      </c>
      <c r="C1079" t="str">
        <f>_xlfn.XLOOKUP(B1079,'Centro de Custo'!A$2:A$45,'Centro de Custo'!B$2:B$45)</f>
        <v>Desp. ADM</v>
      </c>
      <c r="E1079" s="39">
        <v>-30.85</v>
      </c>
      <c r="F1079" s="40" t="s">
        <v>10</v>
      </c>
      <c r="G1079" s="41">
        <v>45925</v>
      </c>
      <c r="H1079" s="42">
        <f>YEAR(Tabela3[[#This Row],[Data]])</f>
        <v>2025</v>
      </c>
      <c r="I1079" s="42" t="str">
        <f>_xlfn.XLOOKUP(J1079,'Centro de Custo'!J$2:J$13,'Centro de Custo'!K$2:K$13)</f>
        <v>Setembro</v>
      </c>
      <c r="J1079" s="43">
        <f>MONTH(Tabela3[[#This Row],[Data]])</f>
        <v>9</v>
      </c>
      <c r="K1079" s="39">
        <f>SUM(E$3:Tabela3[[#This Row],[Valor]])</f>
        <v>146727.3400000008</v>
      </c>
      <c r="L1079" s="40">
        <f t="shared" si="16"/>
        <v>2.22375</v>
      </c>
      <c r="M1079" s="40"/>
      <c r="N1079" s="40"/>
      <c r="O1079" s="40"/>
      <c r="P1079" s="39"/>
      <c r="Q1079" s="39"/>
      <c r="R1079" s="39"/>
      <c r="S1079" s="39"/>
      <c r="T1079" s="39"/>
    </row>
    <row r="1080" spans="1:20" x14ac:dyDescent="0.25">
      <c r="A1080" t="s">
        <v>492</v>
      </c>
      <c r="B1080" s="37">
        <v>51</v>
      </c>
      <c r="C1080" t="str">
        <f>_xlfn.XLOOKUP(B1080,'Centro de Custo'!A$2:A$45,'Centro de Custo'!B$2:B$45)</f>
        <v>Invoke</v>
      </c>
      <c r="E1080" s="39">
        <v>-35000</v>
      </c>
      <c r="F1080" s="40" t="s">
        <v>10</v>
      </c>
      <c r="G1080" s="41">
        <v>45925</v>
      </c>
      <c r="H1080" s="42">
        <f>YEAR(Tabela3[[#This Row],[Data]])</f>
        <v>2025</v>
      </c>
      <c r="I1080" s="42" t="str">
        <f>_xlfn.XLOOKUP(J1080,'Centro de Custo'!J$2:J$13,'Centro de Custo'!K$2:K$13)</f>
        <v>Setembro</v>
      </c>
      <c r="J1080" s="43">
        <f>MONTH(Tabela3[[#This Row],[Data]])</f>
        <v>9</v>
      </c>
      <c r="K1080" s="39">
        <f>SUM(E$3:Tabela3[[#This Row],[Valor]])</f>
        <v>111727.34000000081</v>
      </c>
      <c r="L1080" s="40">
        <f t="shared" si="16"/>
        <v>2.22375</v>
      </c>
      <c r="M1080" s="40"/>
      <c r="N1080" s="40"/>
      <c r="O1080" s="40"/>
      <c r="P1080" s="39"/>
      <c r="Q1080" s="39"/>
      <c r="R1080" s="39"/>
      <c r="S1080" s="39"/>
      <c r="T1080" s="39"/>
    </row>
    <row r="1081" spans="1:20" x14ac:dyDescent="0.25">
      <c r="A1081" s="46" t="s">
        <v>584</v>
      </c>
      <c r="B1081" s="37">
        <v>30</v>
      </c>
      <c r="C1081" t="str">
        <f>_xlfn.XLOOKUP(B1081,'Centro de Custo'!A$2:A$45,'Centro de Custo'!B$2:B$45)</f>
        <v>Impostos</v>
      </c>
      <c r="E1081" s="39">
        <v>-18460</v>
      </c>
      <c r="F1081" s="40" t="s">
        <v>10</v>
      </c>
      <c r="G1081" s="41">
        <v>45930</v>
      </c>
      <c r="H1081" s="42">
        <f>YEAR(Tabela3[[#This Row],[Data]])</f>
        <v>2025</v>
      </c>
      <c r="I1081" s="42" t="str">
        <f>_xlfn.XLOOKUP(J1081,'Centro de Custo'!J$2:J$13,'Centro de Custo'!K$2:K$13)</f>
        <v>Setembro</v>
      </c>
      <c r="J1081" s="43">
        <f>MONTH(Tabela3[[#This Row],[Data]])</f>
        <v>9</v>
      </c>
      <c r="K1081" s="39">
        <f>SUM(E$3:Tabela3[[#This Row],[Valor]])</f>
        <v>93267.34000000081</v>
      </c>
      <c r="L1081" s="40">
        <f t="shared" si="16"/>
        <v>2.22375</v>
      </c>
      <c r="M1081" s="40"/>
      <c r="N1081" s="40"/>
      <c r="O1081" s="40"/>
      <c r="P1081" s="39"/>
      <c r="Q1081" s="39"/>
      <c r="R1081" s="39"/>
      <c r="S1081" s="39"/>
      <c r="T1081" s="39"/>
    </row>
    <row r="1082" spans="1:20" x14ac:dyDescent="0.25">
      <c r="A1082" t="s">
        <v>585</v>
      </c>
      <c r="B1082" s="37">
        <v>43</v>
      </c>
      <c r="C1082" t="str">
        <f>_xlfn.XLOOKUP(B1082,'Centro de Custo'!A$2:A$45,'Centro de Custo'!B$2:B$45)</f>
        <v>Setor Privado</v>
      </c>
      <c r="E1082" s="39">
        <v>-1210</v>
      </c>
      <c r="F1082" s="40" t="s">
        <v>10</v>
      </c>
      <c r="G1082" s="41">
        <v>45931</v>
      </c>
      <c r="H1082" s="42">
        <f>YEAR(Tabela3[[#This Row],[Data]])</f>
        <v>2025</v>
      </c>
      <c r="I1082" s="42" t="str">
        <f>_xlfn.XLOOKUP(J1082,'Centro de Custo'!J$2:J$13,'Centro de Custo'!K$2:K$13)</f>
        <v>Outubro</v>
      </c>
      <c r="J1082" s="43">
        <f>MONTH(Tabela3[[#This Row],[Data]])</f>
        <v>10</v>
      </c>
      <c r="K1082" s="39">
        <f>SUM(E$3:Tabela3[[#This Row],[Valor]])</f>
        <v>92057.34000000081</v>
      </c>
      <c r="L1082" s="40">
        <f t="shared" si="16"/>
        <v>2.22375</v>
      </c>
      <c r="M1082" s="40"/>
      <c r="N1082" s="40"/>
      <c r="O1082" s="40"/>
      <c r="P1082" s="39"/>
      <c r="Q1082" s="39"/>
      <c r="R1082" s="39"/>
      <c r="S1082" s="39"/>
      <c r="T1082" s="39"/>
    </row>
    <row r="1083" spans="1:20" x14ac:dyDescent="0.25">
      <c r="A1083" t="s">
        <v>452</v>
      </c>
      <c r="B1083" s="37">
        <v>43</v>
      </c>
      <c r="C1083" t="str">
        <f>_xlfn.XLOOKUP(B1083,'Centro de Custo'!A$2:A$45,'Centro de Custo'!B$2:B$45)</f>
        <v>Setor Privado</v>
      </c>
      <c r="E1083" s="39">
        <v>-20788.91</v>
      </c>
      <c r="F1083" s="40" t="s">
        <v>10</v>
      </c>
      <c r="G1083" s="41">
        <v>45931</v>
      </c>
      <c r="H1083" s="42">
        <f>YEAR(Tabela3[[#This Row],[Data]])</f>
        <v>2025</v>
      </c>
      <c r="I1083" s="42" t="str">
        <f>_xlfn.XLOOKUP(J1083,'Centro de Custo'!J$2:J$13,'Centro de Custo'!K$2:K$13)</f>
        <v>Outubro</v>
      </c>
      <c r="J1083" s="43">
        <f>MONTH(Tabela3[[#This Row],[Data]])</f>
        <v>10</v>
      </c>
      <c r="K1083" s="39">
        <f>SUM(E$3:Tabela3[[#This Row],[Valor]])</f>
        <v>71268.43000000081</v>
      </c>
      <c r="L1083" s="40">
        <f t="shared" si="16"/>
        <v>2.22375</v>
      </c>
      <c r="M1083" s="40"/>
      <c r="N1083" s="40"/>
      <c r="O1083" s="40"/>
      <c r="P1083" s="39"/>
      <c r="Q1083" s="39"/>
      <c r="R1083" s="39"/>
      <c r="S1083" s="39"/>
      <c r="T1083" s="39"/>
    </row>
    <row r="1084" spans="1:20" x14ac:dyDescent="0.25">
      <c r="A1084" t="s">
        <v>586</v>
      </c>
      <c r="B1084" s="37">
        <v>15</v>
      </c>
      <c r="C1084" t="str">
        <f>_xlfn.XLOOKUP(B1084,'Centro de Custo'!A$2:A$45,'Centro de Custo'!B$2:B$45)</f>
        <v>Viagens</v>
      </c>
      <c r="E1084" s="39">
        <v>-44912</v>
      </c>
      <c r="F1084" s="40" t="s">
        <v>10</v>
      </c>
      <c r="G1084" s="41">
        <v>45931</v>
      </c>
      <c r="H1084" s="42">
        <f>YEAR(Tabela3[[#This Row],[Data]])</f>
        <v>2025</v>
      </c>
      <c r="I1084" s="42" t="str">
        <f>_xlfn.XLOOKUP(J1084,'Centro de Custo'!J$2:J$13,'Centro de Custo'!K$2:K$13)</f>
        <v>Outubro</v>
      </c>
      <c r="J1084" s="43">
        <f>MONTH(Tabela3[[#This Row],[Data]])</f>
        <v>10</v>
      </c>
      <c r="K1084" s="39">
        <f>SUM(E$3:Tabela3[[#This Row],[Valor]])</f>
        <v>26356.430000000808</v>
      </c>
      <c r="L1084" s="40">
        <f t="shared" si="16"/>
        <v>2.22375</v>
      </c>
      <c r="M1084" s="40"/>
      <c r="N1084" s="40"/>
      <c r="O1084" s="40"/>
      <c r="P1084" s="39"/>
      <c r="Q1084" s="39"/>
      <c r="R1084" s="39"/>
      <c r="S1084" s="39"/>
      <c r="T1084" s="39"/>
    </row>
    <row r="1085" spans="1:20" x14ac:dyDescent="0.25">
      <c r="A1085" t="s">
        <v>430</v>
      </c>
      <c r="B1085" s="37">
        <v>41</v>
      </c>
      <c r="C1085" t="str">
        <f>_xlfn.XLOOKUP(B1085,'Centro de Custo'!A$2:A$45,'Centro de Custo'!B$2:B$45)</f>
        <v>Resgate Financeiro</v>
      </c>
      <c r="E1085" s="39">
        <v>99826.19</v>
      </c>
      <c r="F1085" s="40" t="s">
        <v>10</v>
      </c>
      <c r="G1085" s="41">
        <v>45936</v>
      </c>
      <c r="H1085" s="42">
        <f>YEAR(Tabela3[[#This Row],[Data]])</f>
        <v>2025</v>
      </c>
      <c r="I1085" s="42" t="str">
        <f>_xlfn.XLOOKUP(J1085,'Centro de Custo'!J$2:J$13,'Centro de Custo'!K$2:K$13)</f>
        <v>Outubro</v>
      </c>
      <c r="J1085" s="43">
        <f>MONTH(Tabela3[[#This Row],[Data]])</f>
        <v>10</v>
      </c>
      <c r="K1085" s="39">
        <f>SUM(E$3:Tabela3[[#This Row],[Valor]])</f>
        <v>126182.62000000081</v>
      </c>
      <c r="L1085" s="40">
        <f t="shared" si="16"/>
        <v>2.22375</v>
      </c>
      <c r="M1085" s="40"/>
      <c r="N1085" s="40"/>
      <c r="O1085" s="40"/>
      <c r="P1085" s="39"/>
      <c r="Q1085" s="39"/>
      <c r="R1085" s="39"/>
      <c r="S1085" s="39"/>
      <c r="T1085" s="39"/>
    </row>
    <row r="1086" spans="1:20" x14ac:dyDescent="0.25">
      <c r="A1086" t="s">
        <v>587</v>
      </c>
      <c r="B1086" s="37">
        <v>10</v>
      </c>
      <c r="C1086" t="str">
        <f>_xlfn.XLOOKUP(B1086,'Centro de Custo'!A$2:A$45,'Centro de Custo'!B$2:B$45)</f>
        <v>Retirada Mensal</v>
      </c>
      <c r="E1086" s="39">
        <v>-346.39</v>
      </c>
      <c r="F1086" s="40" t="s">
        <v>10</v>
      </c>
      <c r="G1086" s="41">
        <v>45936</v>
      </c>
      <c r="H1086" s="42">
        <f>YEAR(Tabela3[[#This Row],[Data]])</f>
        <v>2025</v>
      </c>
      <c r="I1086" s="42" t="str">
        <f>_xlfn.XLOOKUP(J1086,'Centro de Custo'!J$2:J$13,'Centro de Custo'!K$2:K$13)</f>
        <v>Outubro</v>
      </c>
      <c r="J1086" s="43">
        <f>MONTH(Tabela3[[#This Row],[Data]])</f>
        <v>10</v>
      </c>
      <c r="K1086" s="39">
        <f>SUM(E$3:Tabela3[[#This Row],[Valor]])</f>
        <v>125836.23000000081</v>
      </c>
      <c r="L1086" s="40">
        <f t="shared" si="16"/>
        <v>2.22375</v>
      </c>
      <c r="M1086" s="40"/>
      <c r="N1086" s="40"/>
      <c r="O1086" s="40"/>
      <c r="P1086" s="39"/>
      <c r="Q1086" s="39"/>
      <c r="R1086" s="39"/>
      <c r="S1086" s="39"/>
      <c r="T1086" s="39"/>
    </row>
    <row r="1087" spans="1:20" x14ac:dyDescent="0.25">
      <c r="A1087" t="s">
        <v>60</v>
      </c>
      <c r="B1087" s="37">
        <v>20</v>
      </c>
      <c r="C1087" t="str">
        <f>_xlfn.XLOOKUP(B1087,'Centro de Custo'!A$2:A$45,'Centro de Custo'!B$2:B$45)</f>
        <v>Desp. ADM</v>
      </c>
      <c r="E1087" s="39">
        <v>-548.38</v>
      </c>
      <c r="F1087" s="40" t="s">
        <v>10</v>
      </c>
      <c r="G1087" s="41">
        <v>45936</v>
      </c>
      <c r="H1087" s="42">
        <f>YEAR(Tabela3[[#This Row],[Data]])</f>
        <v>2025</v>
      </c>
      <c r="I1087" s="42" t="str">
        <f>_xlfn.XLOOKUP(J1087,'Centro de Custo'!J$2:J$13,'Centro de Custo'!K$2:K$13)</f>
        <v>Outubro</v>
      </c>
      <c r="J1087" s="43">
        <f>MONTH(Tabela3[[#This Row],[Data]])</f>
        <v>10</v>
      </c>
      <c r="K1087" s="39">
        <f>SUM(E$3:Tabela3[[#This Row],[Valor]])</f>
        <v>125287.8500000008</v>
      </c>
      <c r="L1087" s="40">
        <f t="shared" si="16"/>
        <v>2.22375</v>
      </c>
      <c r="M1087" s="40"/>
      <c r="N1087" s="40"/>
      <c r="O1087" s="40"/>
      <c r="P1087" s="39"/>
      <c r="Q1087" s="39"/>
      <c r="R1087" s="39"/>
      <c r="S1087" s="39"/>
      <c r="T1087" s="39"/>
    </row>
    <row r="1088" spans="1:20" x14ac:dyDescent="0.25">
      <c r="A1088" t="s">
        <v>588</v>
      </c>
      <c r="B1088" s="37">
        <v>10</v>
      </c>
      <c r="C1088" t="str">
        <f>_xlfn.XLOOKUP(B1088,'Centro de Custo'!A$2:A$45,'Centro de Custo'!B$2:B$45)</f>
        <v>Retirada Mensal</v>
      </c>
      <c r="E1088" s="39">
        <v>-2145.28</v>
      </c>
      <c r="F1088" s="40" t="s">
        <v>10</v>
      </c>
      <c r="G1088" s="41">
        <v>45936</v>
      </c>
      <c r="H1088" s="42">
        <f>YEAR(Tabela3[[#This Row],[Data]])</f>
        <v>2025</v>
      </c>
      <c r="I1088" s="42" t="str">
        <f>_xlfn.XLOOKUP(J1088,'Centro de Custo'!J$2:J$13,'Centro de Custo'!K$2:K$13)</f>
        <v>Outubro</v>
      </c>
      <c r="J1088" s="43">
        <f>MONTH(Tabela3[[#This Row],[Data]])</f>
        <v>10</v>
      </c>
      <c r="K1088" s="39">
        <f>SUM(E$3:Tabela3[[#This Row],[Valor]])</f>
        <v>123142.57000000081</v>
      </c>
      <c r="L1088" s="40">
        <f t="shared" si="16"/>
        <v>2.22375</v>
      </c>
      <c r="M1088" s="40"/>
      <c r="N1088" s="40"/>
      <c r="O1088" s="40"/>
      <c r="P1088" s="39"/>
      <c r="Q1088" s="39"/>
      <c r="R1088" s="39"/>
      <c r="S1088" s="39"/>
      <c r="T1088" s="39"/>
    </row>
    <row r="1089" spans="1:20" x14ac:dyDescent="0.25">
      <c r="A1089" t="s">
        <v>589</v>
      </c>
      <c r="B1089" s="37">
        <v>3</v>
      </c>
      <c r="C1089" t="str">
        <f>_xlfn.XLOOKUP(B1089,'Centro de Custo'!A$2:A$45,'Centro de Custo'!B$2:B$45)</f>
        <v>Investimentos</v>
      </c>
      <c r="E1089" s="39">
        <v>-2520</v>
      </c>
      <c r="F1089" s="40" t="s">
        <v>10</v>
      </c>
      <c r="G1089" s="41">
        <v>45936</v>
      </c>
      <c r="H1089" s="42">
        <f>YEAR(Tabela3[[#This Row],[Data]])</f>
        <v>2025</v>
      </c>
      <c r="I1089" s="42" t="str">
        <f>_xlfn.XLOOKUP(J1089,'Centro de Custo'!J$2:J$13,'Centro de Custo'!K$2:K$13)</f>
        <v>Outubro</v>
      </c>
      <c r="J1089" s="43">
        <f>MONTH(Tabela3[[#This Row],[Data]])</f>
        <v>10</v>
      </c>
      <c r="K1089" s="39">
        <f>SUM(E$3:Tabela3[[#This Row],[Valor]])</f>
        <v>120622.57000000081</v>
      </c>
      <c r="L1089" s="40">
        <f t="shared" si="16"/>
        <v>2.22375</v>
      </c>
      <c r="M1089" s="40"/>
      <c r="N1089" s="40"/>
      <c r="O1089" s="40"/>
      <c r="P1089" s="39"/>
      <c r="Q1089" s="39"/>
      <c r="R1089" s="39"/>
      <c r="S1089" s="39"/>
      <c r="T1089" s="39"/>
    </row>
    <row r="1090" spans="1:20" x14ac:dyDescent="0.25">
      <c r="A1090" t="s">
        <v>536</v>
      </c>
      <c r="B1090" s="37">
        <v>20</v>
      </c>
      <c r="C1090" t="str">
        <f>_xlfn.XLOOKUP(B1090,'Centro de Custo'!A$2:A$45,'Centro de Custo'!B$2:B$45)</f>
        <v>Desp. ADM</v>
      </c>
      <c r="E1090" s="39">
        <v>-3754</v>
      </c>
      <c r="F1090" s="40" t="s">
        <v>10</v>
      </c>
      <c r="G1090" s="41">
        <v>45936</v>
      </c>
      <c r="H1090" s="42">
        <f>YEAR(Tabela3[[#This Row],[Data]])</f>
        <v>2025</v>
      </c>
      <c r="I1090" s="42" t="str">
        <f>_xlfn.XLOOKUP(J1090,'Centro de Custo'!J$2:J$13,'Centro de Custo'!K$2:K$13)</f>
        <v>Outubro</v>
      </c>
      <c r="J1090" s="43">
        <f>MONTH(Tabela3[[#This Row],[Data]])</f>
        <v>10</v>
      </c>
      <c r="K1090" s="39">
        <f>SUM(E$3:Tabela3[[#This Row],[Valor]])</f>
        <v>116868.57000000081</v>
      </c>
      <c r="L1090" s="40">
        <f t="shared" si="16"/>
        <v>2.22375</v>
      </c>
      <c r="M1090" s="40"/>
      <c r="N1090" s="40"/>
      <c r="O1090" s="40"/>
      <c r="P1090" s="39"/>
      <c r="Q1090" s="39"/>
      <c r="R1090" s="39"/>
      <c r="S1090" s="39"/>
      <c r="T1090" s="39"/>
    </row>
    <row r="1091" spans="1:20" x14ac:dyDescent="0.25">
      <c r="A1091" t="s">
        <v>590</v>
      </c>
      <c r="B1091" s="37">
        <v>10</v>
      </c>
      <c r="C1091" t="str">
        <f>_xlfn.XLOOKUP(B1091,'Centro de Custo'!A$2:A$45,'Centro de Custo'!B$2:B$45)</f>
        <v>Retirada Mensal</v>
      </c>
      <c r="E1091" s="39">
        <v>-7600</v>
      </c>
      <c r="F1091" s="40" t="s">
        <v>10</v>
      </c>
      <c r="G1091" s="41">
        <v>45936</v>
      </c>
      <c r="H1091" s="42">
        <f>YEAR(Tabela3[[#This Row],[Data]])</f>
        <v>2025</v>
      </c>
      <c r="I1091" s="42" t="str">
        <f>_xlfn.XLOOKUP(J1091,'Centro de Custo'!J$2:J$13,'Centro de Custo'!K$2:K$13)</f>
        <v>Outubro</v>
      </c>
      <c r="J1091" s="43">
        <f>MONTH(Tabela3[[#This Row],[Data]])</f>
        <v>10</v>
      </c>
      <c r="K1091" s="39">
        <f>SUM(E$3:Tabela3[[#This Row],[Valor]])</f>
        <v>109268.57000000081</v>
      </c>
      <c r="L1091" s="40">
        <f t="shared" ref="L1091:L1154" si="17">17.79/8</f>
        <v>2.22375</v>
      </c>
      <c r="M1091" s="40"/>
      <c r="N1091" s="40"/>
      <c r="O1091" s="40"/>
      <c r="P1091" s="39"/>
      <c r="Q1091" s="39"/>
      <c r="R1091" s="39"/>
      <c r="S1091" s="39"/>
      <c r="T1091" s="39"/>
    </row>
    <row r="1092" spans="1:20" x14ac:dyDescent="0.25">
      <c r="A1092" t="s">
        <v>115</v>
      </c>
      <c r="B1092" s="37">
        <v>10</v>
      </c>
      <c r="C1092" t="str">
        <f>_xlfn.XLOOKUP(B1092,'Centro de Custo'!A$2:A$45,'Centro de Custo'!B$2:B$45)</f>
        <v>Retirada Mensal</v>
      </c>
      <c r="E1092" s="39">
        <v>-19880</v>
      </c>
      <c r="F1092" s="40" t="s">
        <v>10</v>
      </c>
      <c r="G1092" s="41">
        <v>45936</v>
      </c>
      <c r="H1092" s="42">
        <f>YEAR(Tabela3[[#This Row],[Data]])</f>
        <v>2025</v>
      </c>
      <c r="I1092" s="42" t="str">
        <f>_xlfn.XLOOKUP(J1092,'Centro de Custo'!J$2:J$13,'Centro de Custo'!K$2:K$13)</f>
        <v>Outubro</v>
      </c>
      <c r="J1092" s="43">
        <f>MONTH(Tabela3[[#This Row],[Data]])</f>
        <v>10</v>
      </c>
      <c r="K1092" s="39">
        <f>SUM(E$3:Tabela3[[#This Row],[Valor]])</f>
        <v>89388.57000000081</v>
      </c>
      <c r="L1092" s="40">
        <f t="shared" si="17"/>
        <v>2.22375</v>
      </c>
      <c r="M1092" s="40"/>
      <c r="N1092" s="40"/>
      <c r="O1092" s="40"/>
      <c r="P1092" s="39"/>
      <c r="Q1092" s="39"/>
      <c r="R1092" s="39"/>
      <c r="S1092" s="39"/>
      <c r="T1092" s="39"/>
    </row>
    <row r="1093" spans="1:20" x14ac:dyDescent="0.25">
      <c r="A1093" t="s">
        <v>178</v>
      </c>
      <c r="B1093" s="37">
        <v>20</v>
      </c>
      <c r="C1093" t="str">
        <f>_xlfn.XLOOKUP(B1093,'Centro de Custo'!A$2:A$45,'Centro de Custo'!B$2:B$45)</f>
        <v>Desp. ADM</v>
      </c>
      <c r="E1093" s="39">
        <v>-169.9</v>
      </c>
      <c r="F1093" s="40" t="s">
        <v>10</v>
      </c>
      <c r="G1093" s="41">
        <v>45937</v>
      </c>
      <c r="H1093" s="42">
        <f>YEAR(Tabela3[[#This Row],[Data]])</f>
        <v>2025</v>
      </c>
      <c r="I1093" s="42" t="str">
        <f>_xlfn.XLOOKUP(J1093,'Centro de Custo'!J$2:J$13,'Centro de Custo'!K$2:K$13)</f>
        <v>Outubro</v>
      </c>
      <c r="J1093" s="43">
        <f>MONTH(Tabela3[[#This Row],[Data]])</f>
        <v>10</v>
      </c>
      <c r="K1093" s="39">
        <f>SUM(E$3:Tabela3[[#This Row],[Valor]])</f>
        <v>89218.67000000081</v>
      </c>
      <c r="L1093" s="40">
        <f t="shared" si="17"/>
        <v>2.22375</v>
      </c>
      <c r="M1093" s="40"/>
      <c r="N1093" s="40"/>
      <c r="O1093" s="40"/>
      <c r="P1093" s="39"/>
      <c r="Q1093" s="39"/>
      <c r="R1093" s="39"/>
      <c r="S1093" s="39"/>
      <c r="T1093" s="39"/>
    </row>
    <row r="1094" spans="1:20" x14ac:dyDescent="0.25">
      <c r="A1094" t="s">
        <v>426</v>
      </c>
      <c r="B1094" s="37">
        <v>5</v>
      </c>
      <c r="C1094" t="str">
        <f>_xlfn.XLOOKUP(B1094,'Centro de Custo'!A$2:A$45,'Centro de Custo'!B$2:B$45)</f>
        <v>Consultoria</v>
      </c>
      <c r="E1094" s="39">
        <v>-850</v>
      </c>
      <c r="F1094" s="40" t="s">
        <v>10</v>
      </c>
      <c r="G1094" s="41">
        <v>45937</v>
      </c>
      <c r="H1094" s="42">
        <f>YEAR(Tabela3[[#This Row],[Data]])</f>
        <v>2025</v>
      </c>
      <c r="I1094" s="42" t="str">
        <f>_xlfn.XLOOKUP(J1094,'Centro de Custo'!J$2:J$13,'Centro de Custo'!K$2:K$13)</f>
        <v>Outubro</v>
      </c>
      <c r="J1094" s="43">
        <f>MONTH(Tabela3[[#This Row],[Data]])</f>
        <v>10</v>
      </c>
      <c r="K1094" s="39">
        <f>SUM(E$3:Tabela3[[#This Row],[Valor]])</f>
        <v>88368.67000000081</v>
      </c>
      <c r="L1094" s="40">
        <f t="shared" si="17"/>
        <v>2.22375</v>
      </c>
      <c r="M1094" s="40"/>
      <c r="N1094" s="40"/>
      <c r="O1094" s="40"/>
      <c r="P1094" s="39"/>
      <c r="Q1094" s="39"/>
      <c r="R1094" s="39"/>
      <c r="S1094" s="39"/>
      <c r="T1094" s="39"/>
    </row>
    <row r="1095" spans="1:20" x14ac:dyDescent="0.25">
      <c r="A1095" t="s">
        <v>591</v>
      </c>
      <c r="B1095" s="37">
        <v>20</v>
      </c>
      <c r="C1095" t="str">
        <f>_xlfn.XLOOKUP(B1095,'Centro de Custo'!A$2:A$45,'Centro de Custo'!B$2:B$45)</f>
        <v>Desp. ADM</v>
      </c>
      <c r="E1095" s="39">
        <v>-4000</v>
      </c>
      <c r="F1095" s="40" t="s">
        <v>10</v>
      </c>
      <c r="G1095" s="41">
        <v>45937</v>
      </c>
      <c r="H1095" s="42">
        <f>YEAR(Tabela3[[#This Row],[Data]])</f>
        <v>2025</v>
      </c>
      <c r="I1095" s="42" t="str">
        <f>_xlfn.XLOOKUP(J1095,'Centro de Custo'!J$2:J$13,'Centro de Custo'!K$2:K$13)</f>
        <v>Outubro</v>
      </c>
      <c r="J1095" s="43">
        <f>MONTH(Tabela3[[#This Row],[Data]])</f>
        <v>10</v>
      </c>
      <c r="K1095" s="39">
        <f>SUM(E$3:Tabela3[[#This Row],[Valor]])</f>
        <v>84368.67000000081</v>
      </c>
      <c r="L1095" s="40">
        <f t="shared" si="17"/>
        <v>2.22375</v>
      </c>
      <c r="M1095" s="40"/>
      <c r="N1095" s="40"/>
      <c r="O1095" s="40"/>
      <c r="P1095" s="39"/>
      <c r="Q1095" s="39"/>
      <c r="R1095" s="39"/>
      <c r="S1095" s="39"/>
      <c r="T1095" s="39"/>
    </row>
    <row r="1096" spans="1:20" x14ac:dyDescent="0.25">
      <c r="A1096" t="s">
        <v>591</v>
      </c>
      <c r="B1096" s="37">
        <v>20</v>
      </c>
      <c r="C1096" t="str">
        <f>_xlfn.XLOOKUP(B1096,'Centro de Custo'!A$2:A$45,'Centro de Custo'!B$2:B$45)</f>
        <v>Desp. ADM</v>
      </c>
      <c r="E1096" s="39">
        <v>-4000</v>
      </c>
      <c r="F1096" s="40" t="s">
        <v>10</v>
      </c>
      <c r="G1096" s="41">
        <v>45937</v>
      </c>
      <c r="H1096" s="42">
        <f>YEAR(Tabela3[[#This Row],[Data]])</f>
        <v>2025</v>
      </c>
      <c r="I1096" s="42" t="str">
        <f>_xlfn.XLOOKUP(J1096,'Centro de Custo'!J$2:J$13,'Centro de Custo'!K$2:K$13)</f>
        <v>Outubro</v>
      </c>
      <c r="J1096" s="43">
        <f>MONTH(Tabela3[[#This Row],[Data]])</f>
        <v>10</v>
      </c>
      <c r="K1096" s="39">
        <f>SUM(E$3:Tabela3[[#This Row],[Valor]])</f>
        <v>80368.67000000081</v>
      </c>
      <c r="L1096" s="40">
        <f t="shared" si="17"/>
        <v>2.22375</v>
      </c>
      <c r="M1096" s="40"/>
      <c r="N1096" s="40"/>
      <c r="O1096" s="40"/>
      <c r="P1096" s="39"/>
      <c r="Q1096" s="39"/>
      <c r="R1096" s="39"/>
      <c r="S1096" s="39"/>
      <c r="T1096" s="39"/>
    </row>
    <row r="1097" spans="1:20" x14ac:dyDescent="0.25">
      <c r="A1097" t="s">
        <v>92</v>
      </c>
      <c r="B1097" s="37">
        <v>10</v>
      </c>
      <c r="C1097" t="str">
        <f>_xlfn.XLOOKUP(B1097,'Centro de Custo'!A$2:A$45,'Centro de Custo'!B$2:B$45)</f>
        <v>Retirada Mensal</v>
      </c>
      <c r="E1097" s="39">
        <v>-4670</v>
      </c>
      <c r="F1097" s="40" t="s">
        <v>10</v>
      </c>
      <c r="G1097" s="41">
        <v>45937</v>
      </c>
      <c r="H1097" s="42">
        <f>YEAR(Tabela3[[#This Row],[Data]])</f>
        <v>2025</v>
      </c>
      <c r="I1097" s="42" t="str">
        <f>_xlfn.XLOOKUP(J1097,'Centro de Custo'!J$2:J$13,'Centro de Custo'!K$2:K$13)</f>
        <v>Outubro</v>
      </c>
      <c r="J1097" s="43">
        <f>MONTH(Tabela3[[#This Row],[Data]])</f>
        <v>10</v>
      </c>
      <c r="K1097" s="39">
        <f>SUM(E$3:Tabela3[[#This Row],[Valor]])</f>
        <v>75698.67000000081</v>
      </c>
      <c r="L1097" s="40">
        <f t="shared" si="17"/>
        <v>2.22375</v>
      </c>
      <c r="M1097" s="40"/>
      <c r="N1097" s="40"/>
      <c r="O1097" s="40"/>
      <c r="P1097" s="39"/>
      <c r="Q1097" s="39"/>
      <c r="R1097" s="39"/>
      <c r="S1097" s="39"/>
      <c r="T1097" s="39"/>
    </row>
    <row r="1098" spans="1:20" x14ac:dyDescent="0.25">
      <c r="A1098" t="s">
        <v>399</v>
      </c>
      <c r="B1098" s="37">
        <v>10</v>
      </c>
      <c r="C1098" t="str">
        <f>_xlfn.XLOOKUP(B1098,'Centro de Custo'!A$2:A$45,'Centro de Custo'!B$2:B$45)</f>
        <v>Retirada Mensal</v>
      </c>
      <c r="E1098" s="39">
        <v>-7000</v>
      </c>
      <c r="F1098" s="40" t="s">
        <v>10</v>
      </c>
      <c r="G1098" s="41">
        <v>45937</v>
      </c>
      <c r="H1098" s="42">
        <f>YEAR(Tabela3[[#This Row],[Data]])</f>
        <v>2025</v>
      </c>
      <c r="I1098" s="42" t="str">
        <f>_xlfn.XLOOKUP(J1098,'Centro de Custo'!J$2:J$13,'Centro de Custo'!K$2:K$13)</f>
        <v>Outubro</v>
      </c>
      <c r="J1098" s="43">
        <f>MONTH(Tabela3[[#This Row],[Data]])</f>
        <v>10</v>
      </c>
      <c r="K1098" s="39">
        <f>SUM(E$3:Tabela3[[#This Row],[Valor]])</f>
        <v>68698.67000000081</v>
      </c>
      <c r="L1098" s="40">
        <f t="shared" si="17"/>
        <v>2.22375</v>
      </c>
      <c r="M1098" s="40"/>
      <c r="N1098" s="40"/>
      <c r="O1098" s="40"/>
      <c r="P1098" s="39"/>
      <c r="Q1098" s="39"/>
      <c r="R1098" s="39"/>
      <c r="S1098" s="39"/>
      <c r="T1098" s="39"/>
    </row>
    <row r="1099" spans="1:20" x14ac:dyDescent="0.25">
      <c r="A1099" t="s">
        <v>401</v>
      </c>
      <c r="B1099" s="37">
        <v>10</v>
      </c>
      <c r="C1099" t="str">
        <f>_xlfn.XLOOKUP(B1099,'Centro de Custo'!A$2:A$45,'Centro de Custo'!B$2:B$45)</f>
        <v>Retirada Mensal</v>
      </c>
      <c r="E1099" s="39">
        <v>-10000</v>
      </c>
      <c r="F1099" s="40" t="s">
        <v>10</v>
      </c>
      <c r="G1099" s="41">
        <v>45937</v>
      </c>
      <c r="H1099" s="42">
        <f>YEAR(Tabela3[[#This Row],[Data]])</f>
        <v>2025</v>
      </c>
      <c r="I1099" s="42" t="str">
        <f>_xlfn.XLOOKUP(J1099,'Centro de Custo'!J$2:J$13,'Centro de Custo'!K$2:K$13)</f>
        <v>Outubro</v>
      </c>
      <c r="J1099" s="43">
        <f>MONTH(Tabela3[[#This Row],[Data]])</f>
        <v>10</v>
      </c>
      <c r="K1099" s="39">
        <f>SUM(E$3:Tabela3[[#This Row],[Valor]])</f>
        <v>58698.67000000081</v>
      </c>
      <c r="L1099" s="40">
        <f t="shared" si="17"/>
        <v>2.22375</v>
      </c>
      <c r="M1099" s="40"/>
      <c r="N1099" s="40"/>
      <c r="O1099" s="40"/>
      <c r="P1099" s="39"/>
      <c r="Q1099" s="39"/>
      <c r="R1099" s="39"/>
      <c r="S1099" s="39"/>
      <c r="T1099" s="39"/>
    </row>
    <row r="1100" spans="1:20" x14ac:dyDescent="0.25">
      <c r="A1100" t="s">
        <v>55</v>
      </c>
      <c r="B1100" s="37">
        <v>10</v>
      </c>
      <c r="C1100" t="str">
        <f>_xlfn.XLOOKUP(B1100,'Centro de Custo'!A$2:A$45,'Centro de Custo'!B$2:B$45)</f>
        <v>Retirada Mensal</v>
      </c>
      <c r="E1100" s="39">
        <v>-11000</v>
      </c>
      <c r="F1100" s="40" t="s">
        <v>10</v>
      </c>
      <c r="G1100" s="41">
        <v>45937</v>
      </c>
      <c r="H1100" s="42">
        <f>YEAR(Tabela3[[#This Row],[Data]])</f>
        <v>2025</v>
      </c>
      <c r="I1100" s="42" t="str">
        <f>_xlfn.XLOOKUP(J1100,'Centro de Custo'!J$2:J$13,'Centro de Custo'!K$2:K$13)</f>
        <v>Outubro</v>
      </c>
      <c r="J1100" s="43">
        <f>MONTH(Tabela3[[#This Row],[Data]])</f>
        <v>10</v>
      </c>
      <c r="K1100" s="39">
        <f>SUM(E$3:Tabela3[[#This Row],[Valor]])</f>
        <v>47698.67000000081</v>
      </c>
      <c r="L1100" s="40">
        <f t="shared" si="17"/>
        <v>2.22375</v>
      </c>
      <c r="M1100" s="40"/>
      <c r="N1100" s="40"/>
      <c r="O1100" s="40"/>
      <c r="P1100" s="39"/>
      <c r="Q1100" s="39"/>
      <c r="R1100" s="39"/>
      <c r="S1100" s="39"/>
      <c r="T1100" s="39"/>
    </row>
    <row r="1101" spans="1:20" x14ac:dyDescent="0.25">
      <c r="A1101" t="s">
        <v>56</v>
      </c>
      <c r="B1101" s="37">
        <v>10</v>
      </c>
      <c r="C1101" t="str">
        <f>_xlfn.XLOOKUP(B1101,'Centro de Custo'!A$2:A$45,'Centro de Custo'!B$2:B$45)</f>
        <v>Retirada Mensal</v>
      </c>
      <c r="E1101" s="39">
        <v>-11000</v>
      </c>
      <c r="F1101" s="40" t="s">
        <v>10</v>
      </c>
      <c r="G1101" s="41">
        <v>45937</v>
      </c>
      <c r="H1101" s="42">
        <f>YEAR(Tabela3[[#This Row],[Data]])</f>
        <v>2025</v>
      </c>
      <c r="I1101" s="42" t="str">
        <f>_xlfn.XLOOKUP(J1101,'Centro de Custo'!J$2:J$13,'Centro de Custo'!K$2:K$13)</f>
        <v>Outubro</v>
      </c>
      <c r="J1101" s="43">
        <f>MONTH(Tabela3[[#This Row],[Data]])</f>
        <v>10</v>
      </c>
      <c r="K1101" s="39">
        <f>SUM(E$3:Tabela3[[#This Row],[Valor]])</f>
        <v>36698.67000000081</v>
      </c>
      <c r="L1101" s="40">
        <f t="shared" si="17"/>
        <v>2.22375</v>
      </c>
      <c r="M1101" s="40"/>
      <c r="N1101" s="40"/>
      <c r="O1101" s="40"/>
      <c r="P1101" s="39"/>
      <c r="Q1101" s="39"/>
      <c r="R1101" s="39"/>
      <c r="S1101" s="39"/>
      <c r="T1101" s="39"/>
    </row>
    <row r="1102" spans="1:20" x14ac:dyDescent="0.25">
      <c r="A1102" t="s">
        <v>58</v>
      </c>
      <c r="B1102" s="37">
        <v>10</v>
      </c>
      <c r="C1102" t="str">
        <f>_xlfn.XLOOKUP(B1102,'Centro de Custo'!A$2:A$45,'Centro de Custo'!B$2:B$45)</f>
        <v>Retirada Mensal</v>
      </c>
      <c r="E1102" s="39">
        <v>-12000</v>
      </c>
      <c r="F1102" s="40" t="s">
        <v>10</v>
      </c>
      <c r="G1102" s="41">
        <v>45937</v>
      </c>
      <c r="H1102" s="42">
        <f>YEAR(Tabela3[[#This Row],[Data]])</f>
        <v>2025</v>
      </c>
      <c r="I1102" s="42" t="str">
        <f>_xlfn.XLOOKUP(J1102,'Centro de Custo'!J$2:J$13,'Centro de Custo'!K$2:K$13)</f>
        <v>Outubro</v>
      </c>
      <c r="J1102" s="43">
        <f>MONTH(Tabela3[[#This Row],[Data]])</f>
        <v>10</v>
      </c>
      <c r="K1102" s="39">
        <f>SUM(E$3:Tabela3[[#This Row],[Valor]])</f>
        <v>24698.670000000813</v>
      </c>
      <c r="L1102" s="40">
        <f t="shared" si="17"/>
        <v>2.22375</v>
      </c>
      <c r="M1102" s="40"/>
      <c r="N1102" s="40"/>
      <c r="O1102" s="40"/>
      <c r="P1102" s="39"/>
      <c r="Q1102" s="39"/>
      <c r="R1102" s="39"/>
      <c r="S1102" s="39"/>
      <c r="T1102" s="39"/>
    </row>
    <row r="1103" spans="1:20" x14ac:dyDescent="0.25">
      <c r="A1103" t="s">
        <v>592</v>
      </c>
      <c r="B1103" s="37">
        <v>13</v>
      </c>
      <c r="C1103" t="str">
        <f>_xlfn.XLOOKUP(B1103,'Centro de Custo'!A$2:A$45,'Centro de Custo'!B$2:B$45)</f>
        <v>Terceirizados</v>
      </c>
      <c r="E1103" s="39">
        <v>-550</v>
      </c>
      <c r="F1103" s="40" t="s">
        <v>10</v>
      </c>
      <c r="G1103" s="41">
        <v>45938</v>
      </c>
      <c r="H1103" s="42">
        <f>YEAR(Tabela3[[#This Row],[Data]])</f>
        <v>2025</v>
      </c>
      <c r="I1103" s="42" t="str">
        <f>_xlfn.XLOOKUP(J1103,'Centro de Custo'!J$2:J$13,'Centro de Custo'!K$2:K$13)</f>
        <v>Outubro</v>
      </c>
      <c r="J1103" s="43">
        <f>MONTH(Tabela3[[#This Row],[Data]])</f>
        <v>10</v>
      </c>
      <c r="K1103" s="39">
        <f>SUM(E$3:Tabela3[[#This Row],[Valor]])</f>
        <v>24148.670000000813</v>
      </c>
      <c r="L1103" s="40">
        <f t="shared" si="17"/>
        <v>2.22375</v>
      </c>
      <c r="M1103" s="40"/>
      <c r="N1103" s="40"/>
      <c r="O1103" s="40"/>
      <c r="P1103" s="39"/>
      <c r="Q1103" s="39"/>
      <c r="R1103" s="39"/>
      <c r="S1103" s="39"/>
      <c r="T1103" s="39"/>
    </row>
    <row r="1104" spans="1:20" x14ac:dyDescent="0.25">
      <c r="A1104" t="s">
        <v>190</v>
      </c>
      <c r="B1104" s="37">
        <v>20</v>
      </c>
      <c r="C1104" t="str">
        <f>_xlfn.XLOOKUP(B1104,'Centro de Custo'!A$2:A$45,'Centro de Custo'!B$2:B$45)</f>
        <v>Desp. ADM</v>
      </c>
      <c r="E1104" s="39">
        <v>-2100</v>
      </c>
      <c r="F1104" s="40" t="s">
        <v>10</v>
      </c>
      <c r="G1104" s="41">
        <v>45939</v>
      </c>
      <c r="H1104" s="42">
        <f>YEAR(Tabela3[[#This Row],[Data]])</f>
        <v>2025</v>
      </c>
      <c r="I1104" s="42" t="str">
        <f>_xlfn.XLOOKUP(J1104,'Centro de Custo'!J$2:J$13,'Centro de Custo'!K$2:K$13)</f>
        <v>Outubro</v>
      </c>
      <c r="J1104" s="43">
        <f>MONTH(Tabela3[[#This Row],[Data]])</f>
        <v>10</v>
      </c>
      <c r="K1104" s="39">
        <f>SUM(E$3:Tabela3[[#This Row],[Valor]])</f>
        <v>22048.670000000813</v>
      </c>
      <c r="L1104" s="40">
        <f t="shared" si="17"/>
        <v>2.22375</v>
      </c>
      <c r="M1104" s="40"/>
      <c r="N1104" s="40"/>
      <c r="O1104" s="40"/>
      <c r="P1104" s="39"/>
      <c r="Q1104" s="39"/>
      <c r="R1104" s="39"/>
      <c r="S1104" s="39"/>
      <c r="T1104" s="39"/>
    </row>
    <row r="1105" spans="1:20" x14ac:dyDescent="0.25">
      <c r="A1105" t="s">
        <v>190</v>
      </c>
      <c r="B1105" s="37">
        <v>20</v>
      </c>
      <c r="C1105" t="str">
        <f>_xlfn.XLOOKUP(B1105,'Centro de Custo'!A$2:A$45,'Centro de Custo'!B$2:B$45)</f>
        <v>Desp. ADM</v>
      </c>
      <c r="E1105" s="39">
        <v>-4887</v>
      </c>
      <c r="F1105" s="40" t="s">
        <v>10</v>
      </c>
      <c r="G1105" s="41">
        <v>45939</v>
      </c>
      <c r="H1105" s="42">
        <f>YEAR(Tabela3[[#This Row],[Data]])</f>
        <v>2025</v>
      </c>
      <c r="I1105" s="42" t="str">
        <f>_xlfn.XLOOKUP(J1105,'Centro de Custo'!J$2:J$13,'Centro de Custo'!K$2:K$13)</f>
        <v>Outubro</v>
      </c>
      <c r="J1105" s="43">
        <f>MONTH(Tabela3[[#This Row],[Data]])</f>
        <v>10</v>
      </c>
      <c r="K1105" s="39">
        <f>SUM(E$3:Tabela3[[#This Row],[Valor]])</f>
        <v>17161.670000000813</v>
      </c>
      <c r="L1105" s="40">
        <f t="shared" si="17"/>
        <v>2.22375</v>
      </c>
      <c r="M1105" s="40"/>
      <c r="N1105" s="40"/>
      <c r="O1105" s="40"/>
      <c r="P1105" s="39"/>
      <c r="Q1105" s="39"/>
      <c r="R1105" s="39"/>
      <c r="S1105" s="39"/>
      <c r="T1105" s="39"/>
    </row>
    <row r="1106" spans="1:20" x14ac:dyDescent="0.25">
      <c r="A1106" t="s">
        <v>593</v>
      </c>
      <c r="B1106" s="37">
        <v>1</v>
      </c>
      <c r="C1106" t="str">
        <f>_xlfn.XLOOKUP(B1106,'Centro de Custo'!A$2:A$45,'Centro de Custo'!B$2:B$45)</f>
        <v>Receita de Produto</v>
      </c>
      <c r="E1106" s="39">
        <v>83945</v>
      </c>
      <c r="F1106" s="40" t="s">
        <v>10</v>
      </c>
      <c r="G1106" s="41">
        <v>45940</v>
      </c>
      <c r="H1106" s="42">
        <f>YEAR(Tabela3[[#This Row],[Data]])</f>
        <v>2025</v>
      </c>
      <c r="I1106" s="42" t="str">
        <f>_xlfn.XLOOKUP(J1106,'Centro de Custo'!J$2:J$13,'Centro de Custo'!K$2:K$13)</f>
        <v>Outubro</v>
      </c>
      <c r="J1106" s="43">
        <f>MONTH(Tabela3[[#This Row],[Data]])</f>
        <v>10</v>
      </c>
      <c r="K1106" s="39">
        <f>SUM(E$3:Tabela3[[#This Row],[Valor]])</f>
        <v>101106.67000000081</v>
      </c>
      <c r="L1106" s="40">
        <f t="shared" si="17"/>
        <v>2.22375</v>
      </c>
      <c r="M1106" s="40"/>
      <c r="N1106" s="40"/>
      <c r="O1106" s="40"/>
      <c r="P1106" s="39"/>
      <c r="Q1106" s="39"/>
      <c r="R1106" s="39"/>
      <c r="S1106" s="39"/>
      <c r="T1106" s="39"/>
    </row>
    <row r="1107" spans="1:20" x14ac:dyDescent="0.25">
      <c r="A1107" t="s">
        <v>512</v>
      </c>
      <c r="B1107" s="37">
        <v>20</v>
      </c>
      <c r="C1107" t="str">
        <f>_xlfn.XLOOKUP(B1107,'Centro de Custo'!A$2:A$45,'Centro de Custo'!B$2:B$45)</f>
        <v>Desp. ADM</v>
      </c>
      <c r="E1107" s="39">
        <v>-2750</v>
      </c>
      <c r="F1107" s="40" t="s">
        <v>10</v>
      </c>
      <c r="G1107" s="41">
        <v>45940</v>
      </c>
      <c r="H1107" s="42">
        <f>YEAR(Tabela3[[#This Row],[Data]])</f>
        <v>2025</v>
      </c>
      <c r="I1107" s="42" t="str">
        <f>_xlfn.XLOOKUP(J1107,'Centro de Custo'!J$2:J$13,'Centro de Custo'!K$2:K$13)</f>
        <v>Outubro</v>
      </c>
      <c r="J1107" s="43">
        <f>MONTH(Tabela3[[#This Row],[Data]])</f>
        <v>10</v>
      </c>
      <c r="K1107" s="39">
        <f>SUM(E$3:Tabela3[[#This Row],[Valor]])</f>
        <v>98356.67000000081</v>
      </c>
      <c r="L1107" s="40">
        <f t="shared" si="17"/>
        <v>2.22375</v>
      </c>
      <c r="M1107" s="40"/>
      <c r="N1107" s="40"/>
      <c r="O1107" s="40"/>
      <c r="P1107" s="39"/>
      <c r="Q1107" s="39"/>
      <c r="R1107" s="39"/>
      <c r="S1107" s="39"/>
      <c r="T1107" s="39"/>
    </row>
    <row r="1108" spans="1:20" x14ac:dyDescent="0.25">
      <c r="A1108" t="s">
        <v>547</v>
      </c>
      <c r="B1108" s="37">
        <v>31</v>
      </c>
      <c r="C1108" t="str">
        <f>_xlfn.XLOOKUP(B1108,'Centro de Custo'!A$2:A$45,'Centro de Custo'!B$2:B$45)</f>
        <v>Marketing</v>
      </c>
      <c r="E1108" s="39">
        <v>-4500</v>
      </c>
      <c r="F1108" s="40" t="s">
        <v>10</v>
      </c>
      <c r="G1108" s="41">
        <v>45940</v>
      </c>
      <c r="H1108" s="42">
        <f>YEAR(Tabela3[[#This Row],[Data]])</f>
        <v>2025</v>
      </c>
      <c r="I1108" s="42" t="str">
        <f>_xlfn.XLOOKUP(J1108,'Centro de Custo'!J$2:J$13,'Centro de Custo'!K$2:K$13)</f>
        <v>Outubro</v>
      </c>
      <c r="J1108" s="43">
        <f>MONTH(Tabela3[[#This Row],[Data]])</f>
        <v>10</v>
      </c>
      <c r="K1108" s="39">
        <f>SUM(E$3:Tabela3[[#This Row],[Valor]])</f>
        <v>93856.67000000081</v>
      </c>
      <c r="L1108" s="40">
        <f t="shared" si="17"/>
        <v>2.22375</v>
      </c>
      <c r="M1108" s="40"/>
      <c r="N1108" s="40"/>
      <c r="O1108" s="40"/>
      <c r="P1108" s="39"/>
      <c r="Q1108" s="39"/>
      <c r="R1108" s="39"/>
      <c r="S1108" s="39"/>
      <c r="T1108" s="39"/>
    </row>
    <row r="1109" spans="1:20" x14ac:dyDescent="0.25">
      <c r="A1109" t="s">
        <v>383</v>
      </c>
      <c r="B1109" s="37">
        <v>12</v>
      </c>
      <c r="C1109" t="str">
        <f>_xlfn.XLOOKUP(B1109,'Centro de Custo'!A$2:A$45,'Centro de Custo'!B$2:B$45)</f>
        <v>Direitos Autorais Terceiros</v>
      </c>
      <c r="E1109" s="39">
        <v>-11945</v>
      </c>
      <c r="F1109" s="40" t="s">
        <v>10</v>
      </c>
      <c r="G1109" s="41">
        <v>45940</v>
      </c>
      <c r="H1109" s="42">
        <f>YEAR(Tabela3[[#This Row],[Data]])</f>
        <v>2025</v>
      </c>
      <c r="I1109" s="42" t="str">
        <f>_xlfn.XLOOKUP(J1109,'Centro de Custo'!J$2:J$13,'Centro de Custo'!K$2:K$13)</f>
        <v>Outubro</v>
      </c>
      <c r="J1109" s="43">
        <f>MONTH(Tabela3[[#This Row],[Data]])</f>
        <v>10</v>
      </c>
      <c r="K1109" s="39">
        <f>SUM(E$3:Tabela3[[#This Row],[Valor]])</f>
        <v>81911.67000000081</v>
      </c>
      <c r="L1109" s="40">
        <f t="shared" si="17"/>
        <v>2.22375</v>
      </c>
      <c r="M1109" s="40"/>
      <c r="N1109" s="40"/>
      <c r="O1109" s="40"/>
      <c r="P1109" s="39"/>
      <c r="Q1109" s="39"/>
      <c r="R1109" s="39"/>
      <c r="S1109" s="39"/>
      <c r="T1109" s="39"/>
    </row>
    <row r="1110" spans="1:20" x14ac:dyDescent="0.25">
      <c r="A1110" t="s">
        <v>594</v>
      </c>
      <c r="B1110" s="37">
        <v>20</v>
      </c>
      <c r="C1110" t="str">
        <f>_xlfn.XLOOKUP(B1110,'Centro de Custo'!A$2:A$45,'Centro de Custo'!B$2:B$45)</f>
        <v>Desp. ADM</v>
      </c>
      <c r="E1110" s="39">
        <v>-25000</v>
      </c>
      <c r="F1110" s="40" t="s">
        <v>10</v>
      </c>
      <c r="G1110" s="41">
        <v>45940</v>
      </c>
      <c r="H1110" s="42">
        <f>YEAR(Tabela3[[#This Row],[Data]])</f>
        <v>2025</v>
      </c>
      <c r="I1110" s="42" t="str">
        <f>_xlfn.XLOOKUP(J1110,'Centro de Custo'!J$2:J$13,'Centro de Custo'!K$2:K$13)</f>
        <v>Outubro</v>
      </c>
      <c r="J1110" s="43">
        <f>MONTH(Tabela3[[#This Row],[Data]])</f>
        <v>10</v>
      </c>
      <c r="K1110" s="39">
        <f>SUM(E$3:Tabela3[[#This Row],[Valor]])</f>
        <v>56911.67000000081</v>
      </c>
      <c r="L1110" s="40">
        <f t="shared" si="17"/>
        <v>2.22375</v>
      </c>
      <c r="M1110" s="40"/>
      <c r="N1110" s="40"/>
      <c r="O1110" s="40"/>
      <c r="P1110" s="39"/>
      <c r="Q1110" s="39"/>
      <c r="R1110" s="39"/>
      <c r="S1110" s="39"/>
      <c r="T1110" s="39"/>
    </row>
    <row r="1111" spans="1:20" x14ac:dyDescent="0.25">
      <c r="A1111" t="s">
        <v>576</v>
      </c>
      <c r="B1111" s="37">
        <v>51</v>
      </c>
      <c r="C1111" t="str">
        <f>_xlfn.XLOOKUP(B1111,'Centro de Custo'!A$2:A$45,'Centro de Custo'!B$2:B$45)</f>
        <v>Invoke</v>
      </c>
      <c r="E1111" s="39">
        <v>-47000</v>
      </c>
      <c r="F1111" s="40" t="s">
        <v>10</v>
      </c>
      <c r="G1111" s="41">
        <v>45940</v>
      </c>
      <c r="H1111" s="42">
        <f>YEAR(Tabela3[[#This Row],[Data]])</f>
        <v>2025</v>
      </c>
      <c r="I1111" s="42" t="str">
        <f>_xlfn.XLOOKUP(J1111,'Centro de Custo'!J$2:J$13,'Centro de Custo'!K$2:K$13)</f>
        <v>Outubro</v>
      </c>
      <c r="J1111" s="43">
        <f>MONTH(Tabela3[[#This Row],[Data]])</f>
        <v>10</v>
      </c>
      <c r="K1111" s="39">
        <f>SUM(E$3:Tabela3[[#This Row],[Valor]])</f>
        <v>9911.670000000813</v>
      </c>
      <c r="L1111" s="40">
        <f t="shared" si="17"/>
        <v>2.22375</v>
      </c>
      <c r="M1111" s="40"/>
      <c r="N1111" s="40"/>
      <c r="O1111" s="40"/>
      <c r="P1111" s="39"/>
      <c r="Q1111" s="39"/>
      <c r="R1111" s="39"/>
      <c r="S1111" s="39"/>
      <c r="T1111" s="39"/>
    </row>
    <row r="1112" spans="1:20" x14ac:dyDescent="0.25">
      <c r="A1112" t="s">
        <v>595</v>
      </c>
      <c r="B1112" s="37">
        <v>1</v>
      </c>
      <c r="C1112" t="str">
        <f>_xlfn.XLOOKUP(B1112,'Centro de Custo'!A$2:A$45,'Centro de Custo'!B$2:B$45)</f>
        <v>Receita de Produto</v>
      </c>
      <c r="E1112" s="39">
        <v>15000</v>
      </c>
      <c r="F1112" s="40" t="s">
        <v>10</v>
      </c>
      <c r="G1112" s="41">
        <v>45943</v>
      </c>
      <c r="H1112" s="42">
        <f>YEAR(Tabela3[[#This Row],[Data]])</f>
        <v>2025</v>
      </c>
      <c r="I1112" s="42" t="str">
        <f>_xlfn.XLOOKUP(J1112,'Centro de Custo'!J$2:J$13,'Centro de Custo'!K$2:K$13)</f>
        <v>Outubro</v>
      </c>
      <c r="J1112" s="43">
        <f>MONTH(Tabela3[[#This Row],[Data]])</f>
        <v>10</v>
      </c>
      <c r="K1112" s="39">
        <f>SUM(E$3:Tabela3[[#This Row],[Valor]])</f>
        <v>24911.670000000813</v>
      </c>
      <c r="L1112" s="40">
        <f t="shared" si="17"/>
        <v>2.22375</v>
      </c>
      <c r="M1112" s="40"/>
      <c r="N1112" s="40"/>
      <c r="O1112" s="40"/>
      <c r="P1112" s="39"/>
      <c r="Q1112" s="39"/>
      <c r="R1112" s="39"/>
      <c r="S1112" s="39"/>
      <c r="T1112" s="39"/>
    </row>
    <row r="1113" spans="1:20" x14ac:dyDescent="0.25">
      <c r="A1113" t="s">
        <v>548</v>
      </c>
      <c r="B1113" s="37">
        <v>43</v>
      </c>
      <c r="C1113" t="str">
        <f>_xlfn.XLOOKUP(B1113,'Centro de Custo'!A$2:A$45,'Centro de Custo'!B$2:B$45)</f>
        <v>Setor Privado</v>
      </c>
      <c r="E1113" s="39">
        <v>-15000</v>
      </c>
      <c r="F1113" s="40" t="s">
        <v>10</v>
      </c>
      <c r="G1113" s="41">
        <v>45943</v>
      </c>
      <c r="H1113" s="42">
        <f>YEAR(Tabela3[[#This Row],[Data]])</f>
        <v>2025</v>
      </c>
      <c r="I1113" s="42" t="str">
        <f>_xlfn.XLOOKUP(J1113,'Centro de Custo'!J$2:J$13,'Centro de Custo'!K$2:K$13)</f>
        <v>Outubro</v>
      </c>
      <c r="J1113" s="43">
        <f>MONTH(Tabela3[[#This Row],[Data]])</f>
        <v>10</v>
      </c>
      <c r="K1113" s="39">
        <f>SUM(E$3:Tabela3[[#This Row],[Valor]])</f>
        <v>9911.670000000813</v>
      </c>
      <c r="L1113" s="40">
        <f t="shared" si="17"/>
        <v>2.22375</v>
      </c>
      <c r="M1113" s="40"/>
      <c r="N1113" s="40"/>
      <c r="O1113" s="40"/>
      <c r="P1113" s="39"/>
      <c r="Q1113" s="39"/>
      <c r="R1113" s="39"/>
      <c r="S1113" s="39"/>
      <c r="T1113" s="39"/>
    </row>
    <row r="1114" spans="1:20" x14ac:dyDescent="0.25">
      <c r="A1114" t="s">
        <v>430</v>
      </c>
      <c r="B1114" s="37">
        <v>41</v>
      </c>
      <c r="C1114" t="str">
        <f>_xlfn.XLOOKUP(B1114,'Centro de Custo'!A$2:A$45,'Centro de Custo'!B$2:B$45)</f>
        <v>Resgate Financeiro</v>
      </c>
      <c r="E1114" s="39">
        <v>250842.11</v>
      </c>
      <c r="F1114" s="40" t="s">
        <v>10</v>
      </c>
      <c r="G1114" s="41">
        <v>45946</v>
      </c>
      <c r="H1114" s="42">
        <f>YEAR(Tabela3[[#This Row],[Data]])</f>
        <v>2025</v>
      </c>
      <c r="I1114" s="42" t="str">
        <f>_xlfn.XLOOKUP(J1114,'Centro de Custo'!J$2:J$13,'Centro de Custo'!K$2:K$13)</f>
        <v>Outubro</v>
      </c>
      <c r="J1114" s="43">
        <f>MONTH(Tabela3[[#This Row],[Data]])</f>
        <v>10</v>
      </c>
      <c r="K1114" s="39">
        <f>SUM(E$3:Tabela3[[#This Row],[Valor]])</f>
        <v>260753.78000000078</v>
      </c>
      <c r="L1114" s="40">
        <f t="shared" si="17"/>
        <v>2.22375</v>
      </c>
      <c r="M1114" s="40"/>
      <c r="N1114" s="40"/>
      <c r="O1114" s="40"/>
      <c r="P1114" s="39"/>
      <c r="Q1114" s="39"/>
      <c r="R1114" s="39"/>
      <c r="S1114" s="39"/>
      <c r="T1114" s="39"/>
    </row>
    <row r="1115" spans="1:20" x14ac:dyDescent="0.25">
      <c r="A1115" t="s">
        <v>596</v>
      </c>
      <c r="B1115" s="37">
        <v>30</v>
      </c>
      <c r="C1115" t="str">
        <f>_xlfn.XLOOKUP(B1115,'Centro de Custo'!A$2:A$45,'Centro de Custo'!B$2:B$45)</f>
        <v>Impostos</v>
      </c>
      <c r="D1115" s="47"/>
      <c r="E1115" s="39">
        <v>-876.94</v>
      </c>
      <c r="F1115" s="40" t="s">
        <v>10</v>
      </c>
      <c r="G1115" s="41">
        <v>45946</v>
      </c>
      <c r="H1115" s="42">
        <f>YEAR(Tabela3[[#This Row],[Data]])</f>
        <v>2025</v>
      </c>
      <c r="I1115" s="42" t="str">
        <f>_xlfn.XLOOKUP(J1115,'Centro de Custo'!J$2:J$13,'Centro de Custo'!K$2:K$13)</f>
        <v>Outubro</v>
      </c>
      <c r="J1115" s="43">
        <f>MONTH(Tabela3[[#This Row],[Data]])</f>
        <v>10</v>
      </c>
      <c r="K1115" s="39">
        <f>SUM(E$3:Tabela3[[#This Row],[Valor]])</f>
        <v>259876.84000000078</v>
      </c>
      <c r="L1115" s="40">
        <f t="shared" si="17"/>
        <v>2.22375</v>
      </c>
      <c r="M1115" s="40"/>
      <c r="N1115" s="40"/>
      <c r="O1115" s="40"/>
      <c r="P1115" s="39"/>
      <c r="Q1115" s="39"/>
      <c r="R1115" s="39"/>
      <c r="S1115" s="39"/>
      <c r="T1115" s="39"/>
    </row>
    <row r="1116" spans="1:20" x14ac:dyDescent="0.25">
      <c r="A1116" t="s">
        <v>597</v>
      </c>
      <c r="B1116" s="37">
        <v>11</v>
      </c>
      <c r="C1116" t="str">
        <f>_xlfn.XLOOKUP(B1116,'Centro de Custo'!A$2:A$45,'Centro de Custo'!B$2:B$45)</f>
        <v>Distribuição de Lucro</v>
      </c>
      <c r="E1116" s="39">
        <v>-220000</v>
      </c>
      <c r="F1116" s="40" t="s">
        <v>10</v>
      </c>
      <c r="G1116" s="41">
        <v>45946</v>
      </c>
      <c r="H1116" s="42">
        <f>YEAR(Tabela3[[#This Row],[Data]])</f>
        <v>2025</v>
      </c>
      <c r="I1116" s="42" t="str">
        <f>_xlfn.XLOOKUP(J1116,'Centro de Custo'!J$2:J$13,'Centro de Custo'!K$2:K$13)</f>
        <v>Outubro</v>
      </c>
      <c r="J1116" s="43">
        <f>MONTH(Tabela3[[#This Row],[Data]])</f>
        <v>10</v>
      </c>
      <c r="K1116" s="39">
        <f>SUM(E$3:Tabela3[[#This Row],[Valor]])</f>
        <v>39876.84000000078</v>
      </c>
      <c r="L1116" s="40">
        <f t="shared" si="17"/>
        <v>2.22375</v>
      </c>
      <c r="M1116" s="37"/>
      <c r="N1116" s="40"/>
      <c r="O1116" s="40"/>
      <c r="P1116" s="39"/>
      <c r="Q1116" s="39"/>
      <c r="R1116" s="39"/>
      <c r="S1116" s="39"/>
      <c r="T1116" s="39"/>
    </row>
    <row r="1117" spans="1:20" x14ac:dyDescent="0.25">
      <c r="A1117" t="s">
        <v>598</v>
      </c>
      <c r="B1117" s="37">
        <v>20</v>
      </c>
      <c r="C1117" t="str">
        <f>_xlfn.XLOOKUP(B1117,'Centro de Custo'!A$2:A$45,'Centro de Custo'!B$2:B$45)</f>
        <v>Desp. ADM</v>
      </c>
      <c r="E1117" s="39">
        <v>-313.53</v>
      </c>
      <c r="F1117" s="40" t="s">
        <v>10</v>
      </c>
      <c r="G1117" s="41">
        <v>45947</v>
      </c>
      <c r="H1117" s="42">
        <f>YEAR(Tabela3[[#This Row],[Data]])</f>
        <v>2025</v>
      </c>
      <c r="I1117" s="42" t="str">
        <f>_xlfn.XLOOKUP(J1117,'Centro de Custo'!J$2:J$13,'Centro de Custo'!K$2:K$13)</f>
        <v>Outubro</v>
      </c>
      <c r="J1117" s="43">
        <f>MONTH(Tabela3[[#This Row],[Data]])</f>
        <v>10</v>
      </c>
      <c r="K1117" s="39">
        <f>SUM(E$3:Tabela3[[#This Row],[Valor]])</f>
        <v>39563.31000000078</v>
      </c>
      <c r="L1117" s="40">
        <f t="shared" si="17"/>
        <v>2.22375</v>
      </c>
      <c r="M1117" s="40"/>
      <c r="N1117" s="40"/>
      <c r="O1117" s="40"/>
      <c r="P1117" s="39"/>
      <c r="Q1117" s="39"/>
      <c r="R1117" s="39"/>
      <c r="S1117" s="39"/>
      <c r="T1117" s="39"/>
    </row>
    <row r="1118" spans="1:20" x14ac:dyDescent="0.25">
      <c r="A1118" t="s">
        <v>599</v>
      </c>
      <c r="B1118" s="37">
        <v>20</v>
      </c>
      <c r="C1118" t="str">
        <f>_xlfn.XLOOKUP(B1118,'Centro de Custo'!A$2:A$45,'Centro de Custo'!B$2:B$45)</f>
        <v>Desp. ADM</v>
      </c>
      <c r="E1118" s="39">
        <v>-924.01</v>
      </c>
      <c r="F1118" s="40" t="s">
        <v>10</v>
      </c>
      <c r="G1118" s="41">
        <v>45947</v>
      </c>
      <c r="H1118" s="42">
        <f>YEAR(Tabela3[[#This Row],[Data]])</f>
        <v>2025</v>
      </c>
      <c r="I1118" s="42" t="str">
        <f>_xlfn.XLOOKUP(J1118,'Centro de Custo'!J$2:J$13,'Centro de Custo'!K$2:K$13)</f>
        <v>Outubro</v>
      </c>
      <c r="J1118" s="43">
        <f>MONTH(Tabela3[[#This Row],[Data]])</f>
        <v>10</v>
      </c>
      <c r="K1118" s="39">
        <f>SUM(E$3:Tabela3[[#This Row],[Valor]])</f>
        <v>38639.30000000078</v>
      </c>
      <c r="L1118" s="40">
        <f t="shared" si="17"/>
        <v>2.22375</v>
      </c>
      <c r="M1118" s="40"/>
      <c r="N1118" s="40"/>
      <c r="O1118" s="40"/>
      <c r="P1118" s="39"/>
      <c r="Q1118" s="39"/>
      <c r="R1118" s="39"/>
      <c r="S1118" s="39"/>
      <c r="T1118" s="39"/>
    </row>
    <row r="1119" spans="1:20" x14ac:dyDescent="0.25">
      <c r="A1119" t="s">
        <v>600</v>
      </c>
      <c r="B1119" s="37">
        <v>3</v>
      </c>
      <c r="C1119" t="str">
        <f>_xlfn.XLOOKUP(B1119,'Centro de Custo'!A$2:A$45,'Centro de Custo'!B$2:B$45)</f>
        <v>Investimentos</v>
      </c>
      <c r="E1119" s="39">
        <v>-880</v>
      </c>
      <c r="F1119" s="40" t="s">
        <v>10</v>
      </c>
      <c r="G1119" s="41">
        <v>45950</v>
      </c>
      <c r="H1119" s="42">
        <f>YEAR(Tabela3[[#This Row],[Data]])</f>
        <v>2025</v>
      </c>
      <c r="I1119" s="42" t="str">
        <f>_xlfn.XLOOKUP(J1119,'Centro de Custo'!J$2:J$13,'Centro de Custo'!K$2:K$13)</f>
        <v>Outubro</v>
      </c>
      <c r="J1119" s="43">
        <f>MONTH(Tabela3[[#This Row],[Data]])</f>
        <v>10</v>
      </c>
      <c r="K1119" s="39">
        <f>SUM(E$3:Tabela3[[#This Row],[Valor]])</f>
        <v>37759.30000000078</v>
      </c>
      <c r="L1119" s="40">
        <f t="shared" si="17"/>
        <v>2.22375</v>
      </c>
      <c r="M1119" s="40"/>
      <c r="N1119" s="40"/>
      <c r="O1119" s="40"/>
      <c r="P1119" s="39"/>
      <c r="Q1119" s="39"/>
      <c r="R1119" s="39"/>
      <c r="S1119" s="39"/>
      <c r="T1119" s="39"/>
    </row>
    <row r="1120" spans="1:20" x14ac:dyDescent="0.25">
      <c r="A1120" t="s">
        <v>601</v>
      </c>
      <c r="B1120" s="37">
        <v>3</v>
      </c>
      <c r="C1120" t="str">
        <f>_xlfn.XLOOKUP(B1120,'Centro de Custo'!A$2:A$45,'Centro de Custo'!B$2:B$45)</f>
        <v>Investimentos</v>
      </c>
      <c r="E1120" s="39">
        <v>-880</v>
      </c>
      <c r="F1120" s="40" t="s">
        <v>10</v>
      </c>
      <c r="G1120" s="41">
        <v>45950</v>
      </c>
      <c r="H1120" s="42">
        <f>YEAR(Tabela3[[#This Row],[Data]])</f>
        <v>2025</v>
      </c>
      <c r="I1120" s="42" t="str">
        <f>_xlfn.XLOOKUP(J1120,'Centro de Custo'!J$2:J$13,'Centro de Custo'!K$2:K$13)</f>
        <v>Outubro</v>
      </c>
      <c r="J1120" s="43">
        <f>MONTH(Tabela3[[#This Row],[Data]])</f>
        <v>10</v>
      </c>
      <c r="K1120" s="39">
        <f>SUM(E$3:Tabela3[[#This Row],[Valor]])</f>
        <v>36879.30000000078</v>
      </c>
      <c r="L1120" s="40">
        <f t="shared" si="17"/>
        <v>2.22375</v>
      </c>
      <c r="M1120" s="40"/>
      <c r="N1120" s="40"/>
      <c r="O1120" s="40"/>
      <c r="P1120" s="39"/>
      <c r="Q1120" s="39"/>
      <c r="R1120" s="39"/>
      <c r="S1120" s="39"/>
      <c r="T1120" s="39"/>
    </row>
    <row r="1121" spans="1:20" x14ac:dyDescent="0.25">
      <c r="A1121" t="s">
        <v>602</v>
      </c>
      <c r="B1121" s="37">
        <v>30</v>
      </c>
      <c r="C1121" t="str">
        <f>_xlfn.XLOOKUP(B1121,'Centro de Custo'!A$2:A$45,'Centro de Custo'!B$2:B$45)</f>
        <v>Impostos</v>
      </c>
      <c r="E1121" s="39">
        <v>-1657.74</v>
      </c>
      <c r="F1121" s="40" t="s">
        <v>10</v>
      </c>
      <c r="G1121" s="41">
        <v>45950</v>
      </c>
      <c r="H1121" s="42">
        <f>YEAR(Tabela3[[#This Row],[Data]])</f>
        <v>2025</v>
      </c>
      <c r="I1121" s="42" t="str">
        <f>_xlfn.XLOOKUP(J1121,'Centro de Custo'!J$2:J$13,'Centro de Custo'!K$2:K$13)</f>
        <v>Outubro</v>
      </c>
      <c r="J1121" s="43">
        <f>MONTH(Tabela3[[#This Row],[Data]])</f>
        <v>10</v>
      </c>
      <c r="K1121" s="39">
        <f>SUM(E$3:Tabela3[[#This Row],[Valor]])</f>
        <v>35221.56000000078</v>
      </c>
      <c r="L1121" s="40">
        <f t="shared" si="17"/>
        <v>2.22375</v>
      </c>
      <c r="M1121" s="40"/>
      <c r="N1121" s="40"/>
      <c r="O1121" s="40"/>
      <c r="P1121" s="39"/>
      <c r="Q1121" s="39"/>
      <c r="R1121" s="39"/>
      <c r="S1121" s="39"/>
      <c r="T1121" s="39"/>
    </row>
    <row r="1122" spans="1:20" x14ac:dyDescent="0.25">
      <c r="A1122" t="s">
        <v>603</v>
      </c>
      <c r="B1122" s="37">
        <v>20</v>
      </c>
      <c r="C1122" t="str">
        <f>_xlfn.XLOOKUP(B1122,'Centro de Custo'!A$2:A$45,'Centro de Custo'!B$2:B$45)</f>
        <v>Desp. ADM</v>
      </c>
      <c r="E1122" s="39">
        <v>-210</v>
      </c>
      <c r="F1122" s="40" t="s">
        <v>10</v>
      </c>
      <c r="G1122" s="41">
        <v>45951</v>
      </c>
      <c r="H1122" s="42">
        <f>YEAR(Tabela3[[#This Row],[Data]])</f>
        <v>2025</v>
      </c>
      <c r="I1122" s="42" t="str">
        <f>_xlfn.XLOOKUP(J1122,'Centro de Custo'!J$2:J$13,'Centro de Custo'!K$2:K$13)</f>
        <v>Outubro</v>
      </c>
      <c r="J1122" s="43">
        <f>MONTH(Tabela3[[#This Row],[Data]])</f>
        <v>10</v>
      </c>
      <c r="K1122" s="39">
        <f>SUM(E$3:Tabela3[[#This Row],[Valor]])</f>
        <v>35011.56000000078</v>
      </c>
      <c r="L1122" s="40">
        <f t="shared" si="17"/>
        <v>2.22375</v>
      </c>
      <c r="M1122" s="40"/>
      <c r="N1122" s="40"/>
      <c r="O1122" s="40"/>
      <c r="P1122" s="39"/>
      <c r="Q1122" s="39"/>
      <c r="R1122" s="39"/>
      <c r="S1122" s="39"/>
      <c r="T1122" s="39"/>
    </row>
    <row r="1123" spans="1:20" x14ac:dyDescent="0.25">
      <c r="A1123" t="s">
        <v>430</v>
      </c>
      <c r="B1123" s="37">
        <v>41</v>
      </c>
      <c r="C1123" t="str">
        <f>_xlfn.XLOOKUP(B1123,'Centro de Custo'!A$2:A$45,'Centro de Custo'!B$2:B$45)</f>
        <v>Resgate Financeiro</v>
      </c>
      <c r="E1123" s="39">
        <v>200393</v>
      </c>
      <c r="F1123" s="40" t="s">
        <v>10</v>
      </c>
      <c r="G1123" s="41">
        <v>45952</v>
      </c>
      <c r="H1123" s="42">
        <f>YEAR(Tabela3[[#This Row],[Data]])</f>
        <v>2025</v>
      </c>
      <c r="I1123" s="42" t="str">
        <f>_xlfn.XLOOKUP(J1123,'Centro de Custo'!J$2:J$13,'Centro de Custo'!K$2:K$13)</f>
        <v>Outubro</v>
      </c>
      <c r="J1123" s="43">
        <f>MONTH(Tabela3[[#This Row],[Data]])</f>
        <v>10</v>
      </c>
      <c r="K1123" s="39">
        <f>SUM(E$3:Tabela3[[#This Row],[Valor]])</f>
        <v>235404.56000000078</v>
      </c>
      <c r="L1123" s="40">
        <f t="shared" si="17"/>
        <v>2.22375</v>
      </c>
      <c r="M1123" s="40"/>
      <c r="N1123" s="40"/>
      <c r="O1123" s="40"/>
      <c r="P1123" s="39"/>
      <c r="Q1123" s="39"/>
      <c r="R1123" s="39"/>
      <c r="S1123" s="39"/>
      <c r="T1123" s="39"/>
    </row>
    <row r="1124" spans="1:20" x14ac:dyDescent="0.25">
      <c r="A1124" t="s">
        <v>549</v>
      </c>
      <c r="B1124" s="37">
        <v>12</v>
      </c>
      <c r="C1124" t="str">
        <f>_xlfn.XLOOKUP(B1124,'Centro de Custo'!A$2:A$45,'Centro de Custo'!B$2:B$45)</f>
        <v>Direitos Autorais Terceiros</v>
      </c>
      <c r="E1124" s="39">
        <v>-10000</v>
      </c>
      <c r="F1124" s="40" t="s">
        <v>10</v>
      </c>
      <c r="G1124" s="41">
        <v>45952</v>
      </c>
      <c r="H1124" s="42">
        <f>YEAR(Tabela3[[#This Row],[Data]])</f>
        <v>2025</v>
      </c>
      <c r="I1124" s="42" t="str">
        <f>_xlfn.XLOOKUP(J1124,'Centro de Custo'!J$2:J$13,'Centro de Custo'!K$2:K$13)</f>
        <v>Outubro</v>
      </c>
      <c r="J1124" s="43">
        <f>MONTH(Tabela3[[#This Row],[Data]])</f>
        <v>10</v>
      </c>
      <c r="K1124" s="39">
        <f>SUM(E$3:Tabela3[[#This Row],[Valor]])</f>
        <v>225404.56000000078</v>
      </c>
      <c r="L1124" s="40">
        <f t="shared" si="17"/>
        <v>2.22375</v>
      </c>
      <c r="M1124" s="40"/>
      <c r="N1124" s="40"/>
      <c r="O1124" s="40"/>
      <c r="P1124" s="39"/>
      <c r="Q1124" s="39"/>
      <c r="R1124" s="39"/>
      <c r="S1124" s="39"/>
      <c r="T1124" s="39"/>
    </row>
    <row r="1125" spans="1:20" x14ac:dyDescent="0.25">
      <c r="A1125" t="s">
        <v>604</v>
      </c>
      <c r="B1125" s="37">
        <v>11</v>
      </c>
      <c r="C1125" t="str">
        <f>_xlfn.XLOOKUP(B1125,'Centro de Custo'!A$2:A$45,'Centro de Custo'!B$2:B$45)</f>
        <v>Distribuição de Lucro</v>
      </c>
      <c r="E1125" s="39">
        <v>-100000</v>
      </c>
      <c r="F1125" s="40" t="s">
        <v>10</v>
      </c>
      <c r="G1125" s="41">
        <v>45952</v>
      </c>
      <c r="H1125" s="42">
        <f>YEAR(Tabela3[[#This Row],[Data]])</f>
        <v>2025</v>
      </c>
      <c r="I1125" s="42" t="str">
        <f>_xlfn.XLOOKUP(J1125,'Centro de Custo'!J$2:J$13,'Centro de Custo'!K$2:K$13)</f>
        <v>Outubro</v>
      </c>
      <c r="J1125" s="43">
        <f>MONTH(Tabela3[[#This Row],[Data]])</f>
        <v>10</v>
      </c>
      <c r="K1125" s="39">
        <f>SUM(E$3:Tabela3[[#This Row],[Valor]])</f>
        <v>125404.56000000078</v>
      </c>
      <c r="L1125" s="40">
        <f t="shared" si="17"/>
        <v>2.22375</v>
      </c>
      <c r="M1125" s="40"/>
      <c r="N1125" s="40"/>
      <c r="O1125" s="40"/>
      <c r="P1125" s="39"/>
      <c r="Q1125" s="39"/>
      <c r="R1125" s="39"/>
      <c r="S1125" s="39"/>
      <c r="T1125" s="39"/>
    </row>
    <row r="1126" spans="1:20" x14ac:dyDescent="0.25">
      <c r="A1126" t="s">
        <v>605</v>
      </c>
      <c r="B1126" s="37">
        <v>20</v>
      </c>
      <c r="C1126" t="str">
        <f>_xlfn.XLOOKUP(B1126,'Centro de Custo'!A$2:A$45,'Centro de Custo'!B$2:B$45)</f>
        <v>Desp. ADM</v>
      </c>
      <c r="E1126" s="39">
        <v>-200</v>
      </c>
      <c r="F1126" s="40" t="s">
        <v>10</v>
      </c>
      <c r="G1126" s="41">
        <v>45953</v>
      </c>
      <c r="H1126" s="42">
        <f>YEAR(Tabela3[[#This Row],[Data]])</f>
        <v>2025</v>
      </c>
      <c r="I1126" s="42" t="str">
        <f>_xlfn.XLOOKUP(J1126,'Centro de Custo'!J$2:J$13,'Centro de Custo'!K$2:K$13)</f>
        <v>Outubro</v>
      </c>
      <c r="J1126" s="43">
        <f>MONTH(Tabela3[[#This Row],[Data]])</f>
        <v>10</v>
      </c>
      <c r="K1126" s="39">
        <f>SUM(E$3:Tabela3[[#This Row],[Valor]])</f>
        <v>125204.56000000078</v>
      </c>
      <c r="L1126" s="40">
        <f t="shared" si="17"/>
        <v>2.22375</v>
      </c>
      <c r="M1126" s="40"/>
      <c r="N1126" s="40"/>
      <c r="O1126" s="40"/>
      <c r="P1126" s="39"/>
      <c r="Q1126" s="39"/>
      <c r="R1126" s="39"/>
      <c r="S1126" s="39"/>
      <c r="T1126" s="39"/>
    </row>
    <row r="1127" spans="1:20" x14ac:dyDescent="0.25">
      <c r="A1127" t="s">
        <v>595</v>
      </c>
      <c r="B1127" s="37">
        <v>1</v>
      </c>
      <c r="C1127" t="str">
        <f>_xlfn.XLOOKUP(B1127,'Centro de Custo'!A$2:A$45,'Centro de Custo'!B$2:B$45)</f>
        <v>Receita de Produto</v>
      </c>
      <c r="E1127" s="39">
        <v>35000</v>
      </c>
      <c r="F1127" s="40" t="s">
        <v>10</v>
      </c>
      <c r="G1127" s="41">
        <v>45955</v>
      </c>
      <c r="H1127" s="42">
        <f>YEAR(Tabela3[[#This Row],[Data]])</f>
        <v>2025</v>
      </c>
      <c r="I1127" s="42" t="str">
        <f>_xlfn.XLOOKUP(J1127,'Centro de Custo'!J$2:J$13,'Centro de Custo'!K$2:K$13)</f>
        <v>Outubro</v>
      </c>
      <c r="J1127" s="43">
        <f>MONTH(Tabela3[[#This Row],[Data]])</f>
        <v>10</v>
      </c>
      <c r="K1127" s="39">
        <f>SUM(E$3:Tabela3[[#This Row],[Valor]])</f>
        <v>160204.56000000078</v>
      </c>
      <c r="L1127" s="40">
        <f t="shared" si="17"/>
        <v>2.22375</v>
      </c>
      <c r="M1127" s="40"/>
      <c r="N1127" s="40"/>
      <c r="O1127" s="40"/>
      <c r="P1127" s="39"/>
      <c r="Q1127" s="39"/>
      <c r="R1127" s="39"/>
      <c r="S1127" s="39"/>
      <c r="T1127" s="39"/>
    </row>
    <row r="1128" spans="1:20" x14ac:dyDescent="0.25">
      <c r="A1128" t="s">
        <v>492</v>
      </c>
      <c r="B1128" s="37">
        <v>51</v>
      </c>
      <c r="C1128" t="str">
        <f>_xlfn.XLOOKUP(B1128,'Centro de Custo'!A$2:A$45,'Centro de Custo'!B$2:B$45)</f>
        <v>Invoke</v>
      </c>
      <c r="E1128" s="39">
        <v>-35000</v>
      </c>
      <c r="F1128" s="40" t="s">
        <v>10</v>
      </c>
      <c r="G1128" s="41">
        <v>45955</v>
      </c>
      <c r="H1128" s="42">
        <f>YEAR(Tabela3[[#This Row],[Data]])</f>
        <v>2025</v>
      </c>
      <c r="I1128" s="42" t="str">
        <f>_xlfn.XLOOKUP(J1128,'Centro de Custo'!J$2:J$13,'Centro de Custo'!K$2:K$13)</f>
        <v>Outubro</v>
      </c>
      <c r="J1128" s="43">
        <f>MONTH(Tabela3[[#This Row],[Data]])</f>
        <v>10</v>
      </c>
      <c r="K1128" s="39">
        <f>SUM(E$3:Tabela3[[#This Row],[Valor]])</f>
        <v>125204.56000000078</v>
      </c>
      <c r="L1128" s="40">
        <f t="shared" si="17"/>
        <v>2.22375</v>
      </c>
      <c r="M1128" s="40"/>
      <c r="N1128" s="40"/>
      <c r="O1128" s="40"/>
      <c r="P1128" s="39"/>
      <c r="Q1128" s="39"/>
      <c r="R1128" s="39"/>
      <c r="S1128" s="39"/>
      <c r="T1128" s="39"/>
    </row>
    <row r="1129" spans="1:20" x14ac:dyDescent="0.25">
      <c r="A1129" t="s">
        <v>606</v>
      </c>
      <c r="B1129" s="37">
        <v>20</v>
      </c>
      <c r="C1129" t="str">
        <f>_xlfn.XLOOKUP(B1129,'Centro de Custo'!A$2:A$45,'Centro de Custo'!B$2:B$45)</f>
        <v>Desp. ADM</v>
      </c>
      <c r="E1129" s="39">
        <v>-30.85</v>
      </c>
      <c r="F1129" s="40" t="s">
        <v>10</v>
      </c>
      <c r="G1129" s="41">
        <v>45957</v>
      </c>
      <c r="H1129" s="42">
        <f>YEAR(Tabela3[[#This Row],[Data]])</f>
        <v>2025</v>
      </c>
      <c r="I1129" s="42" t="str">
        <f>_xlfn.XLOOKUP(J1129,'Centro de Custo'!J$2:J$13,'Centro de Custo'!K$2:K$13)</f>
        <v>Outubro</v>
      </c>
      <c r="J1129" s="43">
        <f>MONTH(Tabela3[[#This Row],[Data]])</f>
        <v>10</v>
      </c>
      <c r="K1129" s="39">
        <f>SUM(E$3:Tabela3[[#This Row],[Valor]])</f>
        <v>125173.71000000078</v>
      </c>
      <c r="L1129" s="40">
        <f t="shared" si="17"/>
        <v>2.22375</v>
      </c>
      <c r="M1129" s="40"/>
      <c r="N1129" s="40"/>
      <c r="O1129" s="40"/>
      <c r="P1129" s="39"/>
      <c r="Q1129" s="39"/>
      <c r="R1129" s="39"/>
      <c r="S1129" s="39"/>
      <c r="T1129" s="39"/>
    </row>
    <row r="1130" spans="1:20" x14ac:dyDescent="0.25">
      <c r="A1130" t="s">
        <v>604</v>
      </c>
      <c r="B1130" s="37">
        <v>11</v>
      </c>
      <c r="C1130" t="str">
        <f>_xlfn.XLOOKUP(B1130,'Centro de Custo'!A$2:A$45,'Centro de Custo'!B$2:B$45)</f>
        <v>Distribuição de Lucro</v>
      </c>
      <c r="E1130" s="39">
        <v>-25000</v>
      </c>
      <c r="F1130" s="40" t="s">
        <v>10</v>
      </c>
      <c r="G1130" s="41">
        <v>45958</v>
      </c>
      <c r="H1130" s="42">
        <f>YEAR(Tabela3[[#This Row],[Data]])</f>
        <v>2025</v>
      </c>
      <c r="I1130" s="42" t="str">
        <f>_xlfn.XLOOKUP(J1130,'Centro de Custo'!J$2:J$13,'Centro de Custo'!K$2:K$13)</f>
        <v>Outubro</v>
      </c>
      <c r="J1130" s="43">
        <f>MONTH(Tabela3[[#This Row],[Data]])</f>
        <v>10</v>
      </c>
      <c r="K1130" s="39">
        <f>SUM(E$3:Tabela3[[#This Row],[Valor]])</f>
        <v>100173.71000000078</v>
      </c>
      <c r="L1130" s="40">
        <f t="shared" si="17"/>
        <v>2.22375</v>
      </c>
      <c r="M1130" s="40"/>
      <c r="N1130" s="40"/>
      <c r="O1130" s="40"/>
      <c r="P1130" s="39"/>
      <c r="Q1130" s="39"/>
      <c r="R1130" s="39"/>
      <c r="S1130" s="39"/>
      <c r="T1130" s="39"/>
    </row>
    <row r="1131" spans="1:20" x14ac:dyDescent="0.25">
      <c r="A1131" t="s">
        <v>563</v>
      </c>
      <c r="B1131" s="37">
        <v>50</v>
      </c>
      <c r="C1131" t="str">
        <f>_xlfn.XLOOKUP(B1131,'Centro de Custo'!A$2:A$45,'Centro de Custo'!B$2:B$45)</f>
        <v>Empréstimos</v>
      </c>
      <c r="E1131" s="39">
        <v>-5000</v>
      </c>
      <c r="F1131" s="40" t="s">
        <v>10</v>
      </c>
      <c r="G1131" s="41">
        <v>45959</v>
      </c>
      <c r="H1131" s="42">
        <f>YEAR(Tabela3[[#This Row],[Data]])</f>
        <v>2025</v>
      </c>
      <c r="I1131" s="42" t="str">
        <f>_xlfn.XLOOKUP(J1131,'Centro de Custo'!J$2:J$13,'Centro de Custo'!K$2:K$13)</f>
        <v>Outubro</v>
      </c>
      <c r="J1131" s="43">
        <f>MONTH(Tabela3[[#This Row],[Data]])</f>
        <v>10</v>
      </c>
      <c r="K1131" s="39">
        <f>SUM(E$3:Tabela3[[#This Row],[Valor]])</f>
        <v>95173.71000000078</v>
      </c>
      <c r="L1131" s="40">
        <f t="shared" si="17"/>
        <v>2.22375</v>
      </c>
      <c r="M1131" s="37"/>
      <c r="N1131" s="40"/>
      <c r="O1131" s="40"/>
      <c r="P1131" s="39"/>
      <c r="Q1131" s="39"/>
      <c r="R1131" s="39"/>
      <c r="S1131" s="39"/>
      <c r="T1131" s="39"/>
    </row>
    <row r="1132" spans="1:20" x14ac:dyDescent="0.25">
      <c r="A1132" s="46" t="s">
        <v>607</v>
      </c>
      <c r="B1132" s="37">
        <v>30</v>
      </c>
      <c r="C1132" t="str">
        <f>_xlfn.XLOOKUP(B1132,'Centro de Custo'!A$2:A$45,'Centro de Custo'!B$2:B$45)</f>
        <v>Impostos</v>
      </c>
      <c r="E1132" s="39">
        <v>-18660.46</v>
      </c>
      <c r="F1132" s="40"/>
      <c r="G1132" s="41">
        <v>45960</v>
      </c>
      <c r="H1132" s="42">
        <f>YEAR(Tabela3[[#This Row],[Data]])</f>
        <v>2025</v>
      </c>
      <c r="I1132" s="42" t="str">
        <f>_xlfn.XLOOKUP(J1132,'Centro de Custo'!J$2:J$13,'Centro de Custo'!K$2:K$13)</f>
        <v>Outubro</v>
      </c>
      <c r="J1132" s="43">
        <f>MONTH(Tabela3[[#This Row],[Data]])</f>
        <v>10</v>
      </c>
      <c r="K1132" s="39">
        <f>SUM(E$3:Tabela3[[#This Row],[Valor]])</f>
        <v>76513.25000000079</v>
      </c>
      <c r="L1132" s="40">
        <f t="shared" si="17"/>
        <v>2.22375</v>
      </c>
      <c r="M1132" s="40"/>
      <c r="N1132" s="40"/>
      <c r="O1132" s="40"/>
      <c r="P1132" s="39"/>
      <c r="Q1132" s="39"/>
      <c r="R1132" s="39"/>
      <c r="S1132" s="39"/>
      <c r="T1132" s="39"/>
    </row>
    <row r="1133" spans="1:20" x14ac:dyDescent="0.25">
      <c r="A1133" t="s">
        <v>608</v>
      </c>
      <c r="B1133" s="37">
        <v>30</v>
      </c>
      <c r="C1133" t="str">
        <f>_xlfn.XLOOKUP(B1133,'Centro de Custo'!A$2:A$45,'Centro de Custo'!B$2:B$45)</f>
        <v>Impostos</v>
      </c>
      <c r="E1133" s="39">
        <v>-34067.96</v>
      </c>
      <c r="F1133" s="40"/>
      <c r="G1133" s="41">
        <v>45960</v>
      </c>
      <c r="H1133" s="42">
        <f>YEAR(Tabela3[[#This Row],[Data]])</f>
        <v>2025</v>
      </c>
      <c r="I1133" s="42" t="str">
        <f>_xlfn.XLOOKUP(J1133,'Centro de Custo'!J$2:J$13,'Centro de Custo'!K$2:K$13)</f>
        <v>Outubro</v>
      </c>
      <c r="J1133" s="43">
        <f>MONTH(Tabela3[[#This Row],[Data]])</f>
        <v>10</v>
      </c>
      <c r="K1133" s="39">
        <f>SUM(E$3:Tabela3[[#This Row],[Valor]])</f>
        <v>42445.29000000079</v>
      </c>
      <c r="L1133" s="40">
        <f t="shared" si="17"/>
        <v>2.22375</v>
      </c>
      <c r="M1133" s="40"/>
      <c r="N1133" s="40"/>
      <c r="O1133" s="40"/>
      <c r="P1133" s="39"/>
      <c r="Q1133" s="39"/>
      <c r="R1133" s="39"/>
      <c r="S1133" s="39"/>
      <c r="T1133" s="39"/>
    </row>
    <row r="1134" spans="1:20" x14ac:dyDescent="0.25">
      <c r="A1134" t="s">
        <v>609</v>
      </c>
      <c r="B1134" s="37">
        <v>30</v>
      </c>
      <c r="C1134" t="str">
        <f>_xlfn.XLOOKUP(B1134,'Centro de Custo'!A$2:A$45,'Centro de Custo'!B$2:B$45)</f>
        <v>Impostos</v>
      </c>
      <c r="E1134" s="39">
        <v>-55475.93</v>
      </c>
      <c r="F1134" s="40"/>
      <c r="G1134" s="41">
        <v>45960</v>
      </c>
      <c r="H1134" s="42">
        <f>YEAR(Tabela3[[#This Row],[Data]])</f>
        <v>2025</v>
      </c>
      <c r="I1134" s="42" t="str">
        <f>_xlfn.XLOOKUP(J1134,'Centro de Custo'!J$2:J$13,'Centro de Custo'!K$2:K$13)</f>
        <v>Outubro</v>
      </c>
      <c r="J1134" s="43">
        <f>MONTH(Tabela3[[#This Row],[Data]])</f>
        <v>10</v>
      </c>
      <c r="K1134" s="39">
        <f>SUM(E$3:Tabela3[[#This Row],[Valor]])</f>
        <v>-13030.639999999214</v>
      </c>
      <c r="L1134" s="40">
        <f t="shared" si="17"/>
        <v>2.22375</v>
      </c>
      <c r="M1134" s="40"/>
      <c r="N1134" s="40"/>
      <c r="O1134" s="40"/>
      <c r="P1134" s="39"/>
      <c r="Q1134" s="39"/>
      <c r="R1134" s="39"/>
      <c r="S1134" s="39"/>
      <c r="T1134" s="39"/>
    </row>
    <row r="1135" spans="1:20" x14ac:dyDescent="0.25">
      <c r="A1135" t="s">
        <v>610</v>
      </c>
      <c r="B1135" s="37">
        <v>20</v>
      </c>
      <c r="C1135" t="str">
        <f>_xlfn.XLOOKUP(B1135,'Centro de Custo'!A$2:A$45,'Centro de Custo'!B$2:B$45)</f>
        <v>Desp. ADM</v>
      </c>
      <c r="E1135" s="39">
        <v>-25000</v>
      </c>
      <c r="F1135" s="40"/>
      <c r="G1135" s="41">
        <v>45961</v>
      </c>
      <c r="H1135" s="42">
        <f>YEAR(Tabela3[[#This Row],[Data]])</f>
        <v>2025</v>
      </c>
      <c r="I1135" s="42" t="str">
        <f>_xlfn.XLOOKUP(J1135,'Centro de Custo'!J$2:J$13,'Centro de Custo'!K$2:K$13)</f>
        <v>Outubro</v>
      </c>
      <c r="J1135" s="43">
        <f>MONTH(Tabela3[[#This Row],[Data]])</f>
        <v>10</v>
      </c>
      <c r="K1135" s="39">
        <f>SUM(E$3:Tabela3[[#This Row],[Valor]])</f>
        <v>-38030.63999999921</v>
      </c>
      <c r="L1135" s="40">
        <f t="shared" si="17"/>
        <v>2.22375</v>
      </c>
      <c r="M1135" s="40"/>
      <c r="N1135" s="40"/>
      <c r="O1135" s="40"/>
      <c r="P1135" s="39"/>
      <c r="Q1135" s="39"/>
      <c r="R1135" s="39"/>
      <c r="S1135" s="39"/>
      <c r="T1135" s="39"/>
    </row>
    <row r="1136" spans="1:20" x14ac:dyDescent="0.25">
      <c r="A1136" t="s">
        <v>611</v>
      </c>
      <c r="B1136" s="37">
        <v>20</v>
      </c>
      <c r="C1136" t="str">
        <f>_xlfn.XLOOKUP(B1136,'Centro de Custo'!A$2:A$45,'Centro de Custo'!B$2:B$45)</f>
        <v>Desp. ADM</v>
      </c>
      <c r="E1136" s="39">
        <v>-81000</v>
      </c>
      <c r="F1136" s="40"/>
      <c r="G1136" s="41">
        <v>45961</v>
      </c>
      <c r="H1136" s="42">
        <f>YEAR(Tabela3[[#This Row],[Data]])</f>
        <v>2025</v>
      </c>
      <c r="I1136" s="42" t="str">
        <f>_xlfn.XLOOKUP(J1136,'Centro de Custo'!J$2:J$13,'Centro de Custo'!K$2:K$13)</f>
        <v>Outubro</v>
      </c>
      <c r="J1136" s="43">
        <f>MONTH(Tabela3[[#This Row],[Data]])</f>
        <v>10</v>
      </c>
      <c r="K1136" s="39">
        <f>SUM(E$3:Tabela3[[#This Row],[Valor]])</f>
        <v>-119030.63999999921</v>
      </c>
      <c r="L1136" s="40">
        <f t="shared" si="17"/>
        <v>2.22375</v>
      </c>
      <c r="M1136" s="40"/>
      <c r="N1136" s="40"/>
      <c r="O1136" s="40"/>
      <c r="P1136" s="39"/>
      <c r="Q1136" s="39"/>
      <c r="R1136" s="39"/>
      <c r="S1136" s="39"/>
      <c r="T1136" s="39"/>
    </row>
    <row r="1137" spans="1:20" x14ac:dyDescent="0.25">
      <c r="A1137" t="s">
        <v>536</v>
      </c>
      <c r="B1137" s="37">
        <v>20</v>
      </c>
      <c r="C1137" t="str">
        <f>_xlfn.XLOOKUP(B1137,'Centro de Custo'!A$2:A$45,'Centro de Custo'!B$2:B$45)</f>
        <v>Desp. ADM</v>
      </c>
      <c r="E1137" s="39">
        <v>-3754</v>
      </c>
      <c r="F1137" s="40"/>
      <c r="G1137" s="41">
        <v>45962</v>
      </c>
      <c r="H1137" s="42">
        <f>YEAR(Tabela3[[#This Row],[Data]])</f>
        <v>2025</v>
      </c>
      <c r="I1137" s="42" t="str">
        <f>_xlfn.XLOOKUP(J1137,'Centro de Custo'!J$2:J$13,'Centro de Custo'!K$2:K$13)</f>
        <v>Novembro</v>
      </c>
      <c r="J1137" s="43">
        <f>MONTH(Tabela3[[#This Row],[Data]])</f>
        <v>11</v>
      </c>
      <c r="K1137" s="39">
        <f>SUM(E$3:Tabela3[[#This Row],[Valor]])</f>
        <v>-122784.63999999921</v>
      </c>
      <c r="L1137" s="40">
        <f t="shared" si="17"/>
        <v>2.22375</v>
      </c>
      <c r="M1137" s="40"/>
      <c r="N1137" s="40"/>
      <c r="O1137" s="40"/>
      <c r="P1137" s="39"/>
      <c r="Q1137" s="39"/>
      <c r="R1137" s="39"/>
      <c r="S1137" s="39"/>
      <c r="T1137" s="39"/>
    </row>
    <row r="1138" spans="1:20" x14ac:dyDescent="0.25">
      <c r="A1138" t="s">
        <v>426</v>
      </c>
      <c r="B1138" s="37">
        <v>5</v>
      </c>
      <c r="C1138" t="str">
        <f>_xlfn.XLOOKUP(B1138,'Centro de Custo'!A$2:A$45,'Centro de Custo'!B$2:B$45)</f>
        <v>Consultoria</v>
      </c>
      <c r="E1138" s="39">
        <v>-850</v>
      </c>
      <c r="F1138" s="40"/>
      <c r="G1138" s="41">
        <v>45964</v>
      </c>
      <c r="H1138" s="42">
        <f>YEAR(Tabela3[[#This Row],[Data]])</f>
        <v>2025</v>
      </c>
      <c r="I1138" s="42" t="str">
        <f>_xlfn.XLOOKUP(J1138,'Centro de Custo'!J$2:J$13,'Centro de Custo'!K$2:K$13)</f>
        <v>Novembro</v>
      </c>
      <c r="J1138" s="43">
        <f>MONTH(Tabela3[[#This Row],[Data]])</f>
        <v>11</v>
      </c>
      <c r="K1138" s="39">
        <f>SUM(E$3:Tabela3[[#This Row],[Valor]])</f>
        <v>-123634.63999999921</v>
      </c>
      <c r="L1138" s="40">
        <f t="shared" si="17"/>
        <v>2.22375</v>
      </c>
      <c r="M1138" s="40"/>
      <c r="N1138" s="40"/>
      <c r="O1138" s="40"/>
      <c r="P1138" s="39"/>
      <c r="Q1138" s="39"/>
      <c r="R1138" s="39"/>
      <c r="S1138" s="39"/>
      <c r="T1138" s="39"/>
    </row>
    <row r="1139" spans="1:20" x14ac:dyDescent="0.25">
      <c r="A1139" t="s">
        <v>399</v>
      </c>
      <c r="B1139" s="37">
        <v>10</v>
      </c>
      <c r="C1139" t="str">
        <f>_xlfn.XLOOKUP(B1139,'Centro de Custo'!A$2:A$45,'Centro de Custo'!B$2:B$45)</f>
        <v>Retirada Mensal</v>
      </c>
      <c r="E1139" s="39">
        <v>-7000</v>
      </c>
      <c r="F1139" s="40"/>
      <c r="G1139" s="41">
        <v>45964</v>
      </c>
      <c r="H1139" s="42">
        <f>YEAR(Tabela3[[#This Row],[Data]])</f>
        <v>2025</v>
      </c>
      <c r="I1139" s="42" t="str">
        <f>_xlfn.XLOOKUP(J1139,'Centro de Custo'!J$2:J$13,'Centro de Custo'!K$2:K$13)</f>
        <v>Novembro</v>
      </c>
      <c r="J1139" s="43">
        <f>MONTH(Tabela3[[#This Row],[Data]])</f>
        <v>11</v>
      </c>
      <c r="K1139" s="39">
        <f>SUM(E$3:Tabela3[[#This Row],[Valor]])</f>
        <v>-130634.63999999921</v>
      </c>
      <c r="L1139" s="40">
        <f t="shared" si="17"/>
        <v>2.22375</v>
      </c>
      <c r="M1139" s="40"/>
      <c r="N1139" s="40"/>
      <c r="O1139" s="40"/>
      <c r="P1139" s="39"/>
      <c r="Q1139" s="39"/>
      <c r="R1139" s="39"/>
      <c r="S1139" s="39"/>
      <c r="T1139" s="39"/>
    </row>
    <row r="1140" spans="1:20" x14ac:dyDescent="0.25">
      <c r="A1140" t="s">
        <v>383</v>
      </c>
      <c r="B1140" s="37">
        <v>12</v>
      </c>
      <c r="C1140" t="str">
        <f>_xlfn.XLOOKUP(B1140,'Centro de Custo'!A$2:A$45,'Centro de Custo'!B$2:B$45)</f>
        <v>Direitos Autorais Terceiros</v>
      </c>
      <c r="E1140" s="39">
        <v>-12000</v>
      </c>
      <c r="F1140" s="40"/>
      <c r="G1140" s="41">
        <v>45964</v>
      </c>
      <c r="H1140" s="42">
        <f>YEAR(Tabela3[[#This Row],[Data]])</f>
        <v>2025</v>
      </c>
      <c r="I1140" s="42" t="str">
        <f>_xlfn.XLOOKUP(J1140,'Centro de Custo'!J$2:J$13,'Centro de Custo'!K$2:K$13)</f>
        <v>Novembro</v>
      </c>
      <c r="J1140" s="43">
        <f>MONTH(Tabela3[[#This Row],[Data]])</f>
        <v>11</v>
      </c>
      <c r="K1140" s="39">
        <f>SUM(E$3:Tabela3[[#This Row],[Valor]])</f>
        <v>-142634.6399999992</v>
      </c>
      <c r="L1140" s="40">
        <f t="shared" si="17"/>
        <v>2.22375</v>
      </c>
      <c r="M1140" s="40"/>
      <c r="N1140" s="40"/>
      <c r="O1140" s="40"/>
      <c r="P1140" s="39"/>
      <c r="Q1140" s="39"/>
      <c r="R1140" s="39"/>
      <c r="S1140" s="39"/>
      <c r="T1140" s="39"/>
    </row>
    <row r="1141" spans="1:20" x14ac:dyDescent="0.25">
      <c r="A1141" t="s">
        <v>548</v>
      </c>
      <c r="B1141" s="37">
        <v>43</v>
      </c>
      <c r="C1141" t="str">
        <f>_xlfn.XLOOKUP(B1141,'Centro de Custo'!A$2:A$45,'Centro de Custo'!B$2:B$45)</f>
        <v>Setor Privado</v>
      </c>
      <c r="E1141" s="39">
        <v>-15000</v>
      </c>
      <c r="F1141" s="40"/>
      <c r="G1141" s="41">
        <v>45964</v>
      </c>
      <c r="H1141" s="42">
        <f>YEAR(Tabela3[[#This Row],[Data]])</f>
        <v>2025</v>
      </c>
      <c r="I1141" s="42" t="str">
        <f>_xlfn.XLOOKUP(J1141,'Centro de Custo'!J$2:J$13,'Centro de Custo'!K$2:K$13)</f>
        <v>Novembro</v>
      </c>
      <c r="J1141" s="43">
        <f>MONTH(Tabela3[[#This Row],[Data]])</f>
        <v>11</v>
      </c>
      <c r="K1141" s="39">
        <f>SUM(E$3:Tabela3[[#This Row],[Valor]])</f>
        <v>-157634.6399999992</v>
      </c>
      <c r="L1141" s="40">
        <f t="shared" si="17"/>
        <v>2.22375</v>
      </c>
      <c r="M1141" s="40"/>
      <c r="N1141" s="40"/>
      <c r="O1141" s="40"/>
      <c r="P1141" s="39"/>
      <c r="Q1141" s="39"/>
      <c r="R1141" s="39"/>
      <c r="S1141" s="39"/>
      <c r="T1141" s="39"/>
    </row>
    <row r="1142" spans="1:20" x14ac:dyDescent="0.25">
      <c r="A1142" t="s">
        <v>612</v>
      </c>
      <c r="B1142" s="37">
        <v>20</v>
      </c>
      <c r="C1142" t="str">
        <f>_xlfn.XLOOKUP(B1142,'Centro de Custo'!A$2:A$45,'Centro de Custo'!B$2:B$45)</f>
        <v>Desp. ADM</v>
      </c>
      <c r="E1142" s="39">
        <v>-26501.52</v>
      </c>
      <c r="F1142" s="40"/>
      <c r="G1142" s="41">
        <v>45964</v>
      </c>
      <c r="H1142" s="42">
        <f>YEAR(Tabela3[[#This Row],[Data]])</f>
        <v>2025</v>
      </c>
      <c r="I1142" s="42" t="str">
        <f>_xlfn.XLOOKUP(J1142,'Centro de Custo'!J$2:J$13,'Centro de Custo'!K$2:K$13)</f>
        <v>Novembro</v>
      </c>
      <c r="J1142" s="43">
        <f>MONTH(Tabela3[[#This Row],[Data]])</f>
        <v>11</v>
      </c>
      <c r="K1142" s="39">
        <f>SUM(E$3:Tabela3[[#This Row],[Valor]])</f>
        <v>-184136.1599999992</v>
      </c>
      <c r="L1142" s="40">
        <f t="shared" si="17"/>
        <v>2.22375</v>
      </c>
      <c r="M1142" s="40"/>
      <c r="N1142" s="40"/>
      <c r="O1142" s="40"/>
      <c r="P1142" s="39"/>
      <c r="Q1142" s="39"/>
      <c r="R1142" s="39"/>
      <c r="S1142" s="39"/>
      <c r="T1142" s="39"/>
    </row>
    <row r="1143" spans="1:20" x14ac:dyDescent="0.25">
      <c r="A1143" t="s">
        <v>60</v>
      </c>
      <c r="B1143" s="37">
        <v>20</v>
      </c>
      <c r="C1143" t="str">
        <f>_xlfn.XLOOKUP(B1143,'Centro de Custo'!A$2:A$45,'Centro de Custo'!B$2:B$45)</f>
        <v>Desp. ADM</v>
      </c>
      <c r="E1143" s="39">
        <v>-530.36</v>
      </c>
      <c r="F1143" s="40"/>
      <c r="G1143" s="41">
        <v>45965</v>
      </c>
      <c r="H1143" s="42">
        <f>YEAR(Tabela3[[#This Row],[Data]])</f>
        <v>2025</v>
      </c>
      <c r="I1143" s="42" t="str">
        <f>_xlfn.XLOOKUP(J1143,'Centro de Custo'!J$2:J$13,'Centro de Custo'!K$2:K$13)</f>
        <v>Novembro</v>
      </c>
      <c r="J1143" s="43">
        <f>MONTH(Tabela3[[#This Row],[Data]])</f>
        <v>11</v>
      </c>
      <c r="K1143" s="39">
        <f>SUM(E$3:Tabela3[[#This Row],[Valor]])</f>
        <v>-184666.51999999917</v>
      </c>
      <c r="L1143" s="40">
        <f t="shared" si="17"/>
        <v>2.22375</v>
      </c>
      <c r="M1143" s="40"/>
      <c r="N1143" s="40"/>
      <c r="O1143" s="40"/>
      <c r="P1143" s="39"/>
      <c r="Q1143" s="39"/>
      <c r="R1143" s="39"/>
      <c r="S1143" s="39"/>
      <c r="T1143" s="39"/>
    </row>
    <row r="1144" spans="1:20" x14ac:dyDescent="0.25">
      <c r="A1144" t="s">
        <v>167</v>
      </c>
      <c r="B1144" s="37">
        <v>20</v>
      </c>
      <c r="C1144" t="str">
        <f>_xlfn.XLOOKUP(B1144,'Centro de Custo'!A$2:A$45,'Centro de Custo'!B$2:B$45)</f>
        <v>Desp. ADM</v>
      </c>
      <c r="E1144" s="39">
        <v>-606.82</v>
      </c>
      <c r="F1144" s="40"/>
      <c r="G1144" s="41">
        <v>45965</v>
      </c>
      <c r="H1144" s="42">
        <f>YEAR(Tabela3[[#This Row],[Data]])</f>
        <v>2025</v>
      </c>
      <c r="I1144" s="42" t="str">
        <f>_xlfn.XLOOKUP(J1144,'Centro de Custo'!J$2:J$13,'Centro de Custo'!K$2:K$13)</f>
        <v>Novembro</v>
      </c>
      <c r="J1144" s="43">
        <f>MONTH(Tabela3[[#This Row],[Data]])</f>
        <v>11</v>
      </c>
      <c r="K1144" s="39">
        <f>SUM(E$3:Tabela3[[#This Row],[Valor]])</f>
        <v>-185273.33999999918</v>
      </c>
      <c r="L1144" s="40">
        <f t="shared" si="17"/>
        <v>2.22375</v>
      </c>
      <c r="M1144" s="40"/>
      <c r="N1144" s="40"/>
      <c r="O1144" s="40"/>
      <c r="P1144" s="39"/>
      <c r="Q1144" s="39"/>
      <c r="R1144" s="39"/>
      <c r="S1144" s="39"/>
      <c r="T1144" s="39"/>
    </row>
    <row r="1145" spans="1:20" x14ac:dyDescent="0.25">
      <c r="A1145" t="s">
        <v>169</v>
      </c>
      <c r="B1145" s="37">
        <v>20</v>
      </c>
      <c r="C1145" t="str">
        <f>_xlfn.XLOOKUP(B1145,'Centro de Custo'!A$2:A$45,'Centro de Custo'!B$2:B$45)</f>
        <v>Desp. ADM</v>
      </c>
      <c r="E1145" s="39">
        <v>-606.82</v>
      </c>
      <c r="F1145" s="40"/>
      <c r="G1145" s="41">
        <v>45965</v>
      </c>
      <c r="H1145" s="42">
        <f>YEAR(Tabela3[[#This Row],[Data]])</f>
        <v>2025</v>
      </c>
      <c r="I1145" s="42" t="str">
        <f>_xlfn.XLOOKUP(J1145,'Centro de Custo'!J$2:J$13,'Centro de Custo'!K$2:K$13)</f>
        <v>Novembro</v>
      </c>
      <c r="J1145" s="43">
        <f>MONTH(Tabela3[[#This Row],[Data]])</f>
        <v>11</v>
      </c>
      <c r="K1145" s="39">
        <f>SUM(E$3:Tabela3[[#This Row],[Valor]])</f>
        <v>-185880.1599999992</v>
      </c>
      <c r="L1145" s="40">
        <f t="shared" si="17"/>
        <v>2.22375</v>
      </c>
      <c r="M1145" s="40"/>
      <c r="N1145" s="40"/>
      <c r="O1145" s="40"/>
      <c r="P1145" s="39"/>
      <c r="Q1145" s="39"/>
      <c r="R1145" s="39"/>
      <c r="S1145" s="39"/>
      <c r="T1145" s="39"/>
    </row>
    <row r="1146" spans="1:20" x14ac:dyDescent="0.25">
      <c r="A1146" t="s">
        <v>591</v>
      </c>
      <c r="B1146" s="37">
        <v>20</v>
      </c>
      <c r="C1146" t="str">
        <f>_xlfn.XLOOKUP(B1146,'Centro de Custo'!A$2:A$45,'Centro de Custo'!B$2:B$45)</f>
        <v>Desp. ADM</v>
      </c>
      <c r="E1146" s="39">
        <v>-4000</v>
      </c>
      <c r="F1146" s="40"/>
      <c r="G1146" s="41">
        <v>45965</v>
      </c>
      <c r="H1146" s="42">
        <f>YEAR(Tabela3[[#This Row],[Data]])</f>
        <v>2025</v>
      </c>
      <c r="I1146" s="42" t="str">
        <f>_xlfn.XLOOKUP(J1146,'Centro de Custo'!J$2:J$13,'Centro de Custo'!K$2:K$13)</f>
        <v>Novembro</v>
      </c>
      <c r="J1146" s="43">
        <f>MONTH(Tabela3[[#This Row],[Data]])</f>
        <v>11</v>
      </c>
      <c r="K1146" s="39">
        <f>SUM(E$3:Tabela3[[#This Row],[Valor]])</f>
        <v>-189880.1599999992</v>
      </c>
      <c r="L1146" s="40">
        <f t="shared" si="17"/>
        <v>2.22375</v>
      </c>
      <c r="M1146" s="40"/>
      <c r="N1146" s="40"/>
      <c r="O1146" s="40"/>
      <c r="P1146" s="39"/>
      <c r="Q1146" s="39"/>
      <c r="R1146" s="39"/>
      <c r="S1146" s="39"/>
      <c r="T1146" s="39"/>
    </row>
    <row r="1147" spans="1:20" x14ac:dyDescent="0.25">
      <c r="A1147" t="s">
        <v>178</v>
      </c>
      <c r="B1147" s="37">
        <v>20</v>
      </c>
      <c r="C1147" t="str">
        <f>_xlfn.XLOOKUP(B1147,'Centro de Custo'!A$2:A$45,'Centro de Custo'!B$2:B$45)</f>
        <v>Desp. ADM</v>
      </c>
      <c r="E1147" s="39">
        <v>-174.9</v>
      </c>
      <c r="F1147" s="40"/>
      <c r="G1147" s="41">
        <v>45966</v>
      </c>
      <c r="H1147" s="42">
        <f>YEAR(Tabela3[[#This Row],[Data]])</f>
        <v>2025</v>
      </c>
      <c r="I1147" s="42" t="str">
        <f>_xlfn.XLOOKUP(J1147,'Centro de Custo'!J$2:J$13,'Centro de Custo'!K$2:K$13)</f>
        <v>Novembro</v>
      </c>
      <c r="J1147" s="43">
        <f>MONTH(Tabela3[[#This Row],[Data]])</f>
        <v>11</v>
      </c>
      <c r="K1147" s="39">
        <f>SUM(E$3:Tabela3[[#This Row],[Valor]])</f>
        <v>-190055.05999999918</v>
      </c>
      <c r="L1147" s="40">
        <f t="shared" si="17"/>
        <v>2.22375</v>
      </c>
      <c r="M1147" s="40"/>
      <c r="N1147" s="40"/>
      <c r="O1147" s="40"/>
      <c r="P1147" s="39"/>
      <c r="Q1147" s="39"/>
      <c r="R1147" s="39"/>
      <c r="S1147" s="39"/>
      <c r="T1147" s="39"/>
    </row>
    <row r="1148" spans="1:20" x14ac:dyDescent="0.25">
      <c r="A1148" t="s">
        <v>512</v>
      </c>
      <c r="B1148" s="37">
        <v>20</v>
      </c>
      <c r="C1148" t="str">
        <f>_xlfn.XLOOKUP(B1148,'Centro de Custo'!A$2:A$45,'Centro de Custo'!B$2:B$45)</f>
        <v>Desp. ADM</v>
      </c>
      <c r="E1148" s="39">
        <v>-2600</v>
      </c>
      <c r="F1148" s="40"/>
      <c r="G1148" s="41">
        <v>45966</v>
      </c>
      <c r="H1148" s="42">
        <f>YEAR(Tabela3[[#This Row],[Data]])</f>
        <v>2025</v>
      </c>
      <c r="I1148" s="42" t="str">
        <f>_xlfn.XLOOKUP(J1148,'Centro de Custo'!J$2:J$13,'Centro de Custo'!K$2:K$13)</f>
        <v>Novembro</v>
      </c>
      <c r="J1148" s="43">
        <f>MONTH(Tabela3[[#This Row],[Data]])</f>
        <v>11</v>
      </c>
      <c r="K1148" s="39">
        <f>SUM(E$3:Tabela3[[#This Row],[Valor]])</f>
        <v>-192655.05999999918</v>
      </c>
      <c r="L1148" s="40">
        <f t="shared" si="17"/>
        <v>2.22375</v>
      </c>
      <c r="M1148" s="40"/>
      <c r="N1148" s="40"/>
      <c r="O1148" s="40"/>
      <c r="P1148" s="39"/>
      <c r="Q1148" s="39"/>
      <c r="R1148" s="39"/>
      <c r="S1148" s="39"/>
      <c r="T1148" s="39"/>
    </row>
    <row r="1149" spans="1:20" x14ac:dyDescent="0.25">
      <c r="A1149" t="s">
        <v>613</v>
      </c>
      <c r="B1149" s="37">
        <v>10</v>
      </c>
      <c r="C1149" t="str">
        <f>_xlfn.XLOOKUP(B1149,'Centro de Custo'!A$2:A$45,'Centro de Custo'!B$2:B$45)</f>
        <v>Retirada Mensal</v>
      </c>
      <c r="E1149" s="39">
        <v>-70000</v>
      </c>
      <c r="F1149" s="40"/>
      <c r="G1149" s="41">
        <v>45966</v>
      </c>
      <c r="H1149" s="42">
        <f>YEAR(Tabela3[[#This Row],[Data]])</f>
        <v>2025</v>
      </c>
      <c r="I1149" s="42" t="str">
        <f>_xlfn.XLOOKUP(J1149,'Centro de Custo'!J$2:J$13,'Centro de Custo'!K$2:K$13)</f>
        <v>Novembro</v>
      </c>
      <c r="J1149" s="43">
        <f>MONTH(Tabela3[[#This Row],[Data]])</f>
        <v>11</v>
      </c>
      <c r="K1149" s="39">
        <f>SUM(E$3:Tabela3[[#This Row],[Valor]])</f>
        <v>-262655.0599999992</v>
      </c>
      <c r="L1149" s="40">
        <f t="shared" si="17"/>
        <v>2.22375</v>
      </c>
      <c r="M1149" s="40"/>
      <c r="N1149" s="40"/>
      <c r="O1149" s="40"/>
      <c r="P1149" s="39"/>
      <c r="Q1149" s="39"/>
      <c r="R1149" s="39"/>
      <c r="S1149" s="39"/>
      <c r="T1149" s="39"/>
    </row>
    <row r="1150" spans="1:20" x14ac:dyDescent="0.25">
      <c r="A1150" t="s">
        <v>244</v>
      </c>
      <c r="B1150" s="37">
        <v>13</v>
      </c>
      <c r="C1150" t="str">
        <f>_xlfn.XLOOKUP(B1150,'Centro de Custo'!A$2:A$45,'Centro de Custo'!B$2:B$45)</f>
        <v>Terceirizados</v>
      </c>
      <c r="E1150" s="39">
        <v>-500</v>
      </c>
      <c r="F1150" s="40"/>
      <c r="G1150" s="41">
        <v>45968</v>
      </c>
      <c r="H1150" s="42">
        <f>YEAR(Tabela3[[#This Row],[Data]])</f>
        <v>2025</v>
      </c>
      <c r="I1150" s="42" t="str">
        <f>_xlfn.XLOOKUP(J1150,'Centro de Custo'!J$2:J$13,'Centro de Custo'!K$2:K$13)</f>
        <v>Novembro</v>
      </c>
      <c r="J1150" s="43">
        <f>MONTH(Tabela3[[#This Row],[Data]])</f>
        <v>11</v>
      </c>
      <c r="K1150" s="39">
        <f>SUM(E$3:Tabela3[[#This Row],[Valor]])</f>
        <v>-263155.0599999992</v>
      </c>
      <c r="L1150" s="40">
        <f t="shared" si="17"/>
        <v>2.22375</v>
      </c>
      <c r="M1150" s="40"/>
      <c r="N1150" s="40"/>
      <c r="O1150" s="40"/>
      <c r="P1150" s="39"/>
      <c r="Q1150" s="39"/>
      <c r="R1150" s="39"/>
      <c r="S1150" s="39"/>
      <c r="T1150" s="39"/>
    </row>
    <row r="1151" spans="1:20" x14ac:dyDescent="0.25">
      <c r="A1151" t="s">
        <v>190</v>
      </c>
      <c r="B1151" s="37">
        <v>20</v>
      </c>
      <c r="C1151" t="str">
        <f>_xlfn.XLOOKUP(B1151,'Centro de Custo'!A$2:A$45,'Centro de Custo'!B$2:B$45)</f>
        <v>Desp. ADM</v>
      </c>
      <c r="E1151" s="39">
        <v>-2099.93</v>
      </c>
      <c r="F1151" s="40"/>
      <c r="G1151" s="41">
        <v>45968</v>
      </c>
      <c r="H1151" s="42">
        <f>YEAR(Tabela3[[#This Row],[Data]])</f>
        <v>2025</v>
      </c>
      <c r="I1151" s="42" t="str">
        <f>_xlfn.XLOOKUP(J1151,'Centro de Custo'!J$2:J$13,'Centro de Custo'!K$2:K$13)</f>
        <v>Novembro</v>
      </c>
      <c r="J1151" s="43">
        <f>MONTH(Tabela3[[#This Row],[Data]])</f>
        <v>11</v>
      </c>
      <c r="K1151" s="39">
        <f>SUM(E$3:Tabela3[[#This Row],[Valor]])</f>
        <v>-265254.9899999992</v>
      </c>
      <c r="L1151" s="40">
        <f t="shared" si="17"/>
        <v>2.22375</v>
      </c>
      <c r="M1151" s="40"/>
      <c r="N1151" s="40"/>
      <c r="O1151" s="40"/>
      <c r="P1151" s="39"/>
      <c r="Q1151" s="39"/>
      <c r="R1151" s="39"/>
      <c r="S1151" s="39"/>
      <c r="T1151" s="39"/>
    </row>
    <row r="1152" spans="1:20" x14ac:dyDescent="0.25">
      <c r="A1152" t="s">
        <v>190</v>
      </c>
      <c r="B1152" s="37">
        <v>20</v>
      </c>
      <c r="C1152" t="str">
        <f>_xlfn.XLOOKUP(B1152,'Centro de Custo'!A$2:A$45,'Centro de Custo'!B$2:B$45)</f>
        <v>Desp. ADM</v>
      </c>
      <c r="E1152" s="39">
        <v>-4886.44</v>
      </c>
      <c r="F1152" s="40"/>
      <c r="G1152" s="41">
        <v>45968</v>
      </c>
      <c r="H1152" s="42">
        <f>YEAR(Tabela3[[#This Row],[Data]])</f>
        <v>2025</v>
      </c>
      <c r="I1152" s="42" t="str">
        <f>_xlfn.XLOOKUP(J1152,'Centro de Custo'!J$2:J$13,'Centro de Custo'!K$2:K$13)</f>
        <v>Novembro</v>
      </c>
      <c r="J1152" s="43">
        <f>MONTH(Tabela3[[#This Row],[Data]])</f>
        <v>11</v>
      </c>
      <c r="K1152" s="39">
        <f>SUM(E$3:Tabela3[[#This Row],[Valor]])</f>
        <v>-270141.4299999992</v>
      </c>
      <c r="L1152" s="40">
        <f t="shared" si="17"/>
        <v>2.22375</v>
      </c>
      <c r="M1152" s="40"/>
      <c r="N1152" s="40"/>
      <c r="O1152" s="40"/>
      <c r="P1152" s="39"/>
      <c r="Q1152" s="39"/>
      <c r="R1152" s="39"/>
      <c r="S1152" s="39"/>
      <c r="T1152" s="39"/>
    </row>
    <row r="1153" spans="1:20" x14ac:dyDescent="0.25">
      <c r="A1153" t="s">
        <v>576</v>
      </c>
      <c r="B1153" s="37">
        <v>51</v>
      </c>
      <c r="C1153" t="str">
        <f>_xlfn.XLOOKUP(B1153,'Centro de Custo'!A$2:A$45,'Centro de Custo'!B$2:B$45)</f>
        <v>Invoke</v>
      </c>
      <c r="E1153" s="39">
        <v>-47000</v>
      </c>
      <c r="F1153" s="40"/>
      <c r="G1153" s="41">
        <v>45968</v>
      </c>
      <c r="H1153" s="42">
        <f>YEAR(Tabela3[[#This Row],[Data]])</f>
        <v>2025</v>
      </c>
      <c r="I1153" s="42" t="str">
        <f>_xlfn.XLOOKUP(J1153,'Centro de Custo'!J$2:J$13,'Centro de Custo'!K$2:K$13)</f>
        <v>Novembro</v>
      </c>
      <c r="J1153" s="43">
        <f>MONTH(Tabela3[[#This Row],[Data]])</f>
        <v>11</v>
      </c>
      <c r="K1153" s="39">
        <f>SUM(E$3:Tabela3[[#This Row],[Valor]])</f>
        <v>-317141.4299999992</v>
      </c>
      <c r="L1153" s="40">
        <f t="shared" si="17"/>
        <v>2.22375</v>
      </c>
      <c r="M1153" s="40"/>
      <c r="N1153" s="40"/>
      <c r="O1153" s="40"/>
      <c r="P1153" s="39"/>
      <c r="Q1153" s="39"/>
      <c r="R1153" s="39"/>
      <c r="S1153" s="39"/>
      <c r="T1153" s="39"/>
    </row>
    <row r="1154" spans="1:20" x14ac:dyDescent="0.25">
      <c r="A1154" t="s">
        <v>594</v>
      </c>
      <c r="B1154" s="37">
        <v>20</v>
      </c>
      <c r="C1154" t="str">
        <f>_xlfn.XLOOKUP(B1154,'Centro de Custo'!A$2:A$45,'Centro de Custo'!B$2:B$45)</f>
        <v>Desp. ADM</v>
      </c>
      <c r="E1154" s="39">
        <v>-25000</v>
      </c>
      <c r="F1154" s="40"/>
      <c r="G1154" s="41">
        <v>45970</v>
      </c>
      <c r="H1154" s="42">
        <f>YEAR(Tabela3[[#This Row],[Data]])</f>
        <v>2025</v>
      </c>
      <c r="I1154" s="42" t="str">
        <f>_xlfn.XLOOKUP(J1154,'Centro de Custo'!J$2:J$13,'Centro de Custo'!K$2:K$13)</f>
        <v>Novembro</v>
      </c>
      <c r="J1154" s="43">
        <f>MONTH(Tabela3[[#This Row],[Data]])</f>
        <v>11</v>
      </c>
      <c r="K1154" s="39">
        <f>SUM(E$3:Tabela3[[#This Row],[Valor]])</f>
        <v>-342141.4299999992</v>
      </c>
      <c r="L1154" s="40">
        <f t="shared" si="17"/>
        <v>2.22375</v>
      </c>
      <c r="M1154" s="40"/>
      <c r="N1154" s="40"/>
      <c r="O1154" s="40"/>
      <c r="P1154" s="39"/>
      <c r="Q1154" s="39"/>
      <c r="R1154" s="39"/>
      <c r="S1154" s="39"/>
      <c r="T1154" s="39"/>
    </row>
    <row r="1155" spans="1:20" x14ac:dyDescent="0.25">
      <c r="A1155" t="s">
        <v>51</v>
      </c>
      <c r="B1155" s="37">
        <v>41</v>
      </c>
      <c r="C1155" t="str">
        <f>_xlfn.XLOOKUP(B1155,'Centro de Custo'!A$2:A$45,'Centro de Custo'!B$2:B$45)</f>
        <v>Resgate Financeiro</v>
      </c>
      <c r="E1155" s="39">
        <v>2800000</v>
      </c>
      <c r="F1155" s="40"/>
      <c r="G1155" s="41">
        <v>45971</v>
      </c>
      <c r="H1155" s="42">
        <f>YEAR(Tabela3[[#This Row],[Data]])</f>
        <v>2025</v>
      </c>
      <c r="I1155" s="42" t="str">
        <f>_xlfn.XLOOKUP(J1155,'Centro de Custo'!J$2:J$13,'Centro de Custo'!K$2:K$13)</f>
        <v>Novembro</v>
      </c>
      <c r="J1155" s="43">
        <f>MONTH(Tabela3[[#This Row],[Data]])</f>
        <v>11</v>
      </c>
      <c r="K1155" s="39">
        <f>SUM(E$3:Tabela3[[#This Row],[Valor]])</f>
        <v>2457858.5700000008</v>
      </c>
      <c r="L1155" s="40">
        <f t="shared" ref="L1155:L1218" si="18">17.79/8</f>
        <v>2.22375</v>
      </c>
      <c r="M1155" s="40"/>
      <c r="N1155" s="40"/>
      <c r="O1155" s="40"/>
      <c r="P1155" s="39"/>
      <c r="Q1155" s="39"/>
      <c r="R1155" s="39"/>
      <c r="S1155" s="39"/>
      <c r="T1155" s="39"/>
    </row>
    <row r="1156" spans="1:20" x14ac:dyDescent="0.25">
      <c r="A1156" t="s">
        <v>614</v>
      </c>
      <c r="B1156" s="37">
        <v>30</v>
      </c>
      <c r="C1156" t="str">
        <f>_xlfn.XLOOKUP(B1156,'Centro de Custo'!A$2:A$45,'Centro de Custo'!B$2:B$45)</f>
        <v>Impostos</v>
      </c>
      <c r="E1156" s="39">
        <v>828525.42</v>
      </c>
      <c r="F1156" s="40"/>
      <c r="G1156" s="41">
        <v>45971</v>
      </c>
      <c r="H1156" s="42">
        <f>YEAR(Tabela3[[#This Row],[Data]])</f>
        <v>2025</v>
      </c>
      <c r="I1156" s="42" t="str">
        <f>_xlfn.XLOOKUP(J1156,'Centro de Custo'!J$2:J$13,'Centro de Custo'!K$2:K$13)</f>
        <v>Novembro</v>
      </c>
      <c r="J1156" s="43">
        <f>MONTH(Tabela3[[#This Row],[Data]])</f>
        <v>11</v>
      </c>
      <c r="K1156" s="39">
        <f>SUM(E$3:Tabela3[[#This Row],[Valor]])</f>
        <v>3286383.9900000007</v>
      </c>
      <c r="L1156" s="40">
        <f t="shared" si="18"/>
        <v>2.22375</v>
      </c>
      <c r="M1156" s="40"/>
      <c r="N1156" s="40"/>
      <c r="O1156" s="40"/>
      <c r="P1156" s="39"/>
      <c r="Q1156" s="39"/>
      <c r="R1156" s="39"/>
      <c r="S1156" s="39"/>
      <c r="T1156" s="39"/>
    </row>
    <row r="1157" spans="1:20" x14ac:dyDescent="0.25">
      <c r="A1157" t="s">
        <v>615</v>
      </c>
      <c r="B1157" s="37">
        <v>50</v>
      </c>
      <c r="C1157" t="str">
        <f>_xlfn.XLOOKUP(B1157,'Centro de Custo'!A$2:A$45,'Centro de Custo'!B$2:B$45)</f>
        <v>Empréstimos</v>
      </c>
      <c r="E1157" s="39">
        <v>370000</v>
      </c>
      <c r="F1157" s="40"/>
      <c r="G1157" s="41">
        <v>45971</v>
      </c>
      <c r="H1157" s="42">
        <f>YEAR(Tabela3[[#This Row],[Data]])</f>
        <v>2025</v>
      </c>
      <c r="I1157" s="42" t="str">
        <f>_xlfn.XLOOKUP(J1157,'Centro de Custo'!J$2:J$13,'Centro de Custo'!K$2:K$13)</f>
        <v>Novembro</v>
      </c>
      <c r="J1157" s="43">
        <f>MONTH(Tabela3[[#This Row],[Data]])</f>
        <v>11</v>
      </c>
      <c r="K1157" s="39">
        <f>SUM(E$3:Tabela3[[#This Row],[Valor]])</f>
        <v>3656383.9900000007</v>
      </c>
      <c r="L1157" s="40">
        <f t="shared" si="18"/>
        <v>2.22375</v>
      </c>
      <c r="M1157" s="40"/>
      <c r="N1157" s="40"/>
      <c r="O1157" s="40"/>
      <c r="P1157" s="39"/>
      <c r="Q1157" s="39"/>
      <c r="R1157" s="39"/>
      <c r="S1157" s="39"/>
      <c r="T1157" s="39"/>
    </row>
    <row r="1158" spans="1:20" x14ac:dyDescent="0.25">
      <c r="A1158" t="s">
        <v>616</v>
      </c>
      <c r="B1158" s="37">
        <v>3</v>
      </c>
      <c r="C1158" t="str">
        <f>_xlfn.XLOOKUP(B1158,'Centro de Custo'!A$2:A$45,'Centro de Custo'!B$2:B$45)</f>
        <v>Investimentos</v>
      </c>
      <c r="E1158" s="39">
        <v>300000</v>
      </c>
      <c r="F1158" s="40"/>
      <c r="G1158" s="41">
        <v>45971</v>
      </c>
      <c r="H1158" s="42">
        <f>YEAR(Tabela3[[#This Row],[Data]])</f>
        <v>2025</v>
      </c>
      <c r="I1158" s="42" t="str">
        <f>_xlfn.XLOOKUP(J1158,'Centro de Custo'!J$2:J$13,'Centro de Custo'!K$2:K$13)</f>
        <v>Novembro</v>
      </c>
      <c r="J1158" s="43">
        <f>MONTH(Tabela3[[#This Row],[Data]])</f>
        <v>11</v>
      </c>
      <c r="K1158" s="39">
        <f>SUM(E$3:Tabela3[[#This Row],[Valor]])</f>
        <v>3956383.9900000007</v>
      </c>
      <c r="L1158" s="40">
        <f t="shared" si="18"/>
        <v>2.22375</v>
      </c>
      <c r="M1158" s="40"/>
      <c r="N1158" s="40"/>
      <c r="O1158" s="40"/>
      <c r="P1158" s="39"/>
      <c r="Q1158" s="39"/>
      <c r="R1158" s="39"/>
      <c r="S1158" s="39"/>
      <c r="T1158" s="39"/>
    </row>
    <row r="1159" spans="1:20" x14ac:dyDescent="0.25">
      <c r="A1159" t="s">
        <v>617</v>
      </c>
      <c r="B1159" s="37">
        <v>30</v>
      </c>
      <c r="C1159" t="str">
        <f>_xlfn.XLOOKUP(B1159,'Centro de Custo'!A$2:A$45,'Centro de Custo'!B$2:B$45)</f>
        <v>Impostos</v>
      </c>
      <c r="E1159" s="39">
        <v>179520.34</v>
      </c>
      <c r="F1159" s="40"/>
      <c r="G1159" s="41">
        <v>45971</v>
      </c>
      <c r="H1159" s="42">
        <f>YEAR(Tabela3[[#This Row],[Data]])</f>
        <v>2025</v>
      </c>
      <c r="I1159" s="42" t="str">
        <f>_xlfn.XLOOKUP(J1159,'Centro de Custo'!J$2:J$13,'Centro de Custo'!K$2:K$13)</f>
        <v>Novembro</v>
      </c>
      <c r="J1159" s="43">
        <f>MONTH(Tabela3[[#This Row],[Data]])</f>
        <v>11</v>
      </c>
      <c r="K1159" s="39">
        <f>SUM(E$3:Tabela3[[#This Row],[Valor]])</f>
        <v>4135904.3300000005</v>
      </c>
      <c r="L1159" s="40">
        <f t="shared" si="18"/>
        <v>2.22375</v>
      </c>
      <c r="M1159" s="40"/>
      <c r="N1159" s="40"/>
      <c r="O1159" s="40"/>
      <c r="P1159" s="39"/>
      <c r="Q1159" s="39"/>
      <c r="R1159" s="39"/>
      <c r="S1159" s="39"/>
      <c r="T1159" s="39"/>
    </row>
    <row r="1160" spans="1:20" x14ac:dyDescent="0.25">
      <c r="A1160" t="s">
        <v>547</v>
      </c>
      <c r="B1160" s="37">
        <v>31</v>
      </c>
      <c r="C1160" t="str">
        <f>_xlfn.XLOOKUP(B1160,'Centro de Custo'!A$2:A$45,'Centro de Custo'!B$2:B$45)</f>
        <v>Marketing</v>
      </c>
      <c r="E1160" s="39">
        <v>-4500</v>
      </c>
      <c r="F1160" s="40"/>
      <c r="G1160" s="41">
        <v>45971</v>
      </c>
      <c r="H1160" s="42">
        <f>YEAR(Tabela3[[#This Row],[Data]])</f>
        <v>2025</v>
      </c>
      <c r="I1160" s="42" t="str">
        <f>_xlfn.XLOOKUP(J1160,'Centro de Custo'!J$2:J$13,'Centro de Custo'!K$2:K$13)</f>
        <v>Novembro</v>
      </c>
      <c r="J1160" s="43">
        <f>MONTH(Tabela3[[#This Row],[Data]])</f>
        <v>11</v>
      </c>
      <c r="K1160" s="39">
        <f>SUM(E$3:Tabela3[[#This Row],[Valor]])</f>
        <v>4131404.3300000005</v>
      </c>
      <c r="L1160" s="40">
        <f t="shared" si="18"/>
        <v>2.22375</v>
      </c>
      <c r="M1160" s="40"/>
      <c r="N1160" s="40"/>
      <c r="O1160" s="40"/>
      <c r="P1160" s="39"/>
      <c r="Q1160" s="39"/>
      <c r="R1160" s="39"/>
      <c r="S1160" s="39"/>
      <c r="T1160" s="39"/>
    </row>
    <row r="1161" spans="1:20" x14ac:dyDescent="0.25">
      <c r="A1161" t="s">
        <v>618</v>
      </c>
      <c r="B1161" s="37">
        <v>13</v>
      </c>
      <c r="C1161" t="str">
        <f>_xlfn.XLOOKUP(B1161,'Centro de Custo'!A$2:A$45,'Centro de Custo'!B$2:B$45)</f>
        <v>Terceirizados</v>
      </c>
      <c r="E1161" s="39">
        <v>-255000</v>
      </c>
      <c r="F1161" s="40"/>
      <c r="G1161" s="41">
        <v>45971</v>
      </c>
      <c r="H1161" s="42">
        <f>YEAR(Tabela3[[#This Row],[Data]])</f>
        <v>2025</v>
      </c>
      <c r="I1161" s="42" t="str">
        <f>_xlfn.XLOOKUP(J1161,'Centro de Custo'!J$2:J$13,'Centro de Custo'!K$2:K$13)</f>
        <v>Novembro</v>
      </c>
      <c r="J1161" s="43">
        <f>MONTH(Tabela3[[#This Row],[Data]])</f>
        <v>11</v>
      </c>
      <c r="K1161" s="39">
        <f>SUM(E$3:Tabela3[[#This Row],[Valor]])</f>
        <v>3876404.3300000005</v>
      </c>
      <c r="L1161" s="40">
        <f t="shared" si="18"/>
        <v>2.22375</v>
      </c>
      <c r="M1161" s="40"/>
      <c r="N1161" s="40"/>
      <c r="O1161" s="40"/>
      <c r="P1161" s="39"/>
      <c r="Q1161" s="39"/>
      <c r="R1161" s="39"/>
      <c r="S1161" s="39"/>
      <c r="T1161" s="39"/>
    </row>
    <row r="1162" spans="1:20" x14ac:dyDescent="0.25">
      <c r="A1162" t="s">
        <v>619</v>
      </c>
      <c r="B1162" s="37">
        <v>11</v>
      </c>
      <c r="C1162" t="str">
        <f>_xlfn.XLOOKUP(B1162,'Centro de Custo'!A$2:A$45,'Centro de Custo'!B$2:B$45)</f>
        <v>Distribuição de Lucro</v>
      </c>
      <c r="E1162" s="39">
        <v>-300000</v>
      </c>
      <c r="F1162" s="40"/>
      <c r="G1162" s="41">
        <v>45971</v>
      </c>
      <c r="H1162" s="42">
        <f>YEAR(Tabela3[[#This Row],[Data]])</f>
        <v>2025</v>
      </c>
      <c r="I1162" s="42" t="str">
        <f>_xlfn.XLOOKUP(J1162,'Centro de Custo'!J$2:J$13,'Centro de Custo'!K$2:K$13)</f>
        <v>Novembro</v>
      </c>
      <c r="J1162" s="43">
        <f>MONTH(Tabela3[[#This Row],[Data]])</f>
        <v>11</v>
      </c>
      <c r="K1162" s="39">
        <f>SUM(E$3:Tabela3[[#This Row],[Valor]])</f>
        <v>3576404.3300000005</v>
      </c>
      <c r="L1162" s="40">
        <f t="shared" si="18"/>
        <v>2.22375</v>
      </c>
      <c r="M1162" s="40"/>
      <c r="N1162" s="40"/>
      <c r="O1162" s="40"/>
      <c r="P1162" s="39"/>
      <c r="Q1162" s="39"/>
      <c r="R1162" s="39"/>
      <c r="S1162" s="39"/>
      <c r="T1162" s="39"/>
    </row>
    <row r="1163" spans="1:20" x14ac:dyDescent="0.25">
      <c r="A1163" t="s">
        <v>620</v>
      </c>
      <c r="B1163" s="37">
        <v>10</v>
      </c>
      <c r="C1163" t="str">
        <f>_xlfn.XLOOKUP(B1163,'Centro de Custo'!A$2:A$45,'Centro de Custo'!B$2:B$45)</f>
        <v>Retirada Mensal</v>
      </c>
      <c r="E1163" s="39">
        <v>-750</v>
      </c>
      <c r="F1163" s="40"/>
      <c r="G1163" s="41">
        <v>45979</v>
      </c>
      <c r="H1163" s="42">
        <f>YEAR(Tabela3[[#This Row],[Data]])</f>
        <v>2025</v>
      </c>
      <c r="I1163" s="42" t="str">
        <f>_xlfn.XLOOKUP(J1163,'Centro de Custo'!J$2:J$13,'Centro de Custo'!K$2:K$13)</f>
        <v>Novembro</v>
      </c>
      <c r="J1163" s="43">
        <f>MONTH(Tabela3[[#This Row],[Data]])</f>
        <v>11</v>
      </c>
      <c r="K1163" s="39">
        <f>SUM(E$3:Tabela3[[#This Row],[Valor]])</f>
        <v>3575654.3300000005</v>
      </c>
      <c r="L1163" s="40">
        <f t="shared" si="18"/>
        <v>2.22375</v>
      </c>
      <c r="M1163" s="40"/>
      <c r="N1163" s="40"/>
      <c r="O1163" s="40"/>
      <c r="P1163" s="39"/>
      <c r="Q1163" s="39"/>
      <c r="R1163" s="39"/>
      <c r="S1163" s="39"/>
      <c r="T1163" s="39"/>
    </row>
    <row r="1164" spans="1:20" x14ac:dyDescent="0.25">
      <c r="A1164" t="s">
        <v>621</v>
      </c>
      <c r="B1164" s="37">
        <v>3</v>
      </c>
      <c r="C1164" t="str">
        <f>_xlfn.XLOOKUP(B1164,'Centro de Custo'!A$2:A$45,'Centro de Custo'!B$2:B$45)</f>
        <v>Investimentos</v>
      </c>
      <c r="E1164" s="39">
        <v>60000</v>
      </c>
      <c r="F1164" s="40"/>
      <c r="G1164" s="41">
        <v>45981</v>
      </c>
      <c r="H1164" s="42">
        <f>YEAR(Tabela3[[#This Row],[Data]])</f>
        <v>2025</v>
      </c>
      <c r="I1164" s="42" t="str">
        <f>_xlfn.XLOOKUP(J1164,'Centro de Custo'!J$2:J$13,'Centro de Custo'!K$2:K$13)</f>
        <v>Novembro</v>
      </c>
      <c r="J1164" s="43">
        <f>MONTH(Tabela3[[#This Row],[Data]])</f>
        <v>11</v>
      </c>
      <c r="K1164" s="39">
        <f>SUM(E$3:Tabela3[[#This Row],[Valor]])</f>
        <v>3635654.3300000005</v>
      </c>
      <c r="L1164" s="40">
        <f t="shared" si="18"/>
        <v>2.22375</v>
      </c>
      <c r="M1164" s="40"/>
      <c r="N1164" s="40"/>
      <c r="O1164" s="40"/>
      <c r="P1164" s="39"/>
      <c r="Q1164" s="39"/>
      <c r="R1164" s="39"/>
      <c r="S1164" s="39"/>
      <c r="T1164" s="39"/>
    </row>
    <row r="1165" spans="1:20" x14ac:dyDescent="0.25">
      <c r="A1165" t="s">
        <v>622</v>
      </c>
      <c r="B1165" s="37">
        <v>50</v>
      </c>
      <c r="C1165" t="str">
        <f>_xlfn.XLOOKUP(B1165,'Centro de Custo'!A$2:A$45,'Centro de Custo'!B$2:B$45)</f>
        <v>Empréstimos</v>
      </c>
      <c r="E1165" s="39">
        <v>50000</v>
      </c>
      <c r="F1165" s="40"/>
      <c r="G1165" s="41">
        <v>45981</v>
      </c>
      <c r="H1165" s="42">
        <f>YEAR(Tabela3[[#This Row],[Data]])</f>
        <v>2025</v>
      </c>
      <c r="I1165" s="42" t="str">
        <f>_xlfn.XLOOKUP(J1165,'Centro de Custo'!J$2:J$13,'Centro de Custo'!K$2:K$13)</f>
        <v>Novembro</v>
      </c>
      <c r="J1165" s="43">
        <f>MONTH(Tabela3[[#This Row],[Data]])</f>
        <v>11</v>
      </c>
      <c r="K1165" s="39">
        <f>SUM(E$3:Tabela3[[#This Row],[Valor]])</f>
        <v>3685654.3300000005</v>
      </c>
      <c r="L1165" s="40">
        <f t="shared" si="18"/>
        <v>2.22375</v>
      </c>
      <c r="M1165" s="40"/>
      <c r="N1165" s="40"/>
      <c r="O1165" s="40"/>
      <c r="P1165" s="39"/>
      <c r="Q1165" s="39"/>
      <c r="R1165" s="39"/>
      <c r="S1165" s="39"/>
      <c r="T1165" s="39"/>
    </row>
    <row r="1166" spans="1:20" x14ac:dyDescent="0.25">
      <c r="A1166" t="s">
        <v>496</v>
      </c>
      <c r="B1166" s="37">
        <v>50</v>
      </c>
      <c r="C1166" t="str">
        <f>_xlfn.XLOOKUP(B1166,'Centro de Custo'!A$2:A$45,'Centro de Custo'!B$2:B$45)</f>
        <v>Empréstimos</v>
      </c>
      <c r="E1166" s="39">
        <v>25000</v>
      </c>
      <c r="F1166" s="40"/>
      <c r="G1166" s="41">
        <v>45981</v>
      </c>
      <c r="H1166" s="42">
        <f>YEAR(Tabela3[[#This Row],[Data]])</f>
        <v>2025</v>
      </c>
      <c r="I1166" s="42" t="str">
        <f>_xlfn.XLOOKUP(J1166,'Centro de Custo'!J$2:J$13,'Centro de Custo'!K$2:K$13)</f>
        <v>Novembro</v>
      </c>
      <c r="J1166" s="43">
        <f>MONTH(Tabela3[[#This Row],[Data]])</f>
        <v>11</v>
      </c>
      <c r="K1166" s="39">
        <f>SUM(E$3:Tabela3[[#This Row],[Valor]])</f>
        <v>3710654.3300000005</v>
      </c>
      <c r="L1166" s="40">
        <f t="shared" si="18"/>
        <v>2.22375</v>
      </c>
      <c r="M1166" s="40"/>
      <c r="N1166" s="40"/>
      <c r="O1166" s="40"/>
      <c r="P1166" s="39"/>
      <c r="Q1166" s="39"/>
      <c r="R1166" s="39"/>
      <c r="S1166" s="39"/>
      <c r="T1166" s="39"/>
    </row>
    <row r="1167" spans="1:20" x14ac:dyDescent="0.25">
      <c r="A1167" t="s">
        <v>244</v>
      </c>
      <c r="B1167" s="37">
        <v>13</v>
      </c>
      <c r="C1167" t="str">
        <f>_xlfn.XLOOKUP(B1167,'Centro de Custo'!A$2:A$45,'Centro de Custo'!B$2:B$45)</f>
        <v>Terceirizados</v>
      </c>
      <c r="E1167" s="39">
        <v>-500</v>
      </c>
      <c r="F1167" s="40"/>
      <c r="G1167" s="41">
        <v>45981</v>
      </c>
      <c r="H1167" s="42">
        <f>YEAR(Tabela3[[#This Row],[Data]])</f>
        <v>2025</v>
      </c>
      <c r="I1167" s="42" t="str">
        <f>_xlfn.XLOOKUP(J1167,'Centro de Custo'!J$2:J$13,'Centro de Custo'!K$2:K$13)</f>
        <v>Novembro</v>
      </c>
      <c r="J1167" s="43">
        <f>MONTH(Tabela3[[#This Row],[Data]])</f>
        <v>11</v>
      </c>
      <c r="K1167" s="39">
        <f>SUM(E$3:Tabela3[[#This Row],[Valor]])</f>
        <v>3710154.3300000005</v>
      </c>
      <c r="L1167" s="40">
        <f t="shared" si="18"/>
        <v>2.22375</v>
      </c>
      <c r="M1167" s="40"/>
      <c r="N1167" s="40"/>
      <c r="O1167" s="40"/>
      <c r="P1167" s="39"/>
      <c r="Q1167" s="39"/>
      <c r="R1167" s="39"/>
      <c r="S1167" s="39"/>
      <c r="T1167" s="39"/>
    </row>
    <row r="1168" spans="1:20" x14ac:dyDescent="0.25">
      <c r="A1168" t="s">
        <v>623</v>
      </c>
      <c r="B1168" s="37">
        <v>14</v>
      </c>
      <c r="C1168" t="str">
        <f>_xlfn.XLOOKUP(B1168,'Centro de Custo'!A$2:A$45,'Centro de Custo'!B$2:B$45)</f>
        <v>Outros</v>
      </c>
      <c r="E1168" s="39">
        <v>-54000</v>
      </c>
      <c r="F1168" s="40"/>
      <c r="G1168" s="41">
        <v>45981</v>
      </c>
      <c r="H1168" s="42">
        <f>YEAR(Tabela3[[#This Row],[Data]])</f>
        <v>2025</v>
      </c>
      <c r="I1168" s="42" t="str">
        <f>_xlfn.XLOOKUP(J1168,'Centro de Custo'!J$2:J$13,'Centro de Custo'!K$2:K$13)</f>
        <v>Novembro</v>
      </c>
      <c r="J1168" s="43">
        <f>MONTH(Tabela3[[#This Row],[Data]])</f>
        <v>11</v>
      </c>
      <c r="K1168" s="39">
        <f>SUM(E$3:Tabela3[[#This Row],[Valor]])</f>
        <v>3656154.3300000005</v>
      </c>
      <c r="L1168" s="40">
        <f t="shared" si="18"/>
        <v>2.22375</v>
      </c>
      <c r="M1168" s="40"/>
      <c r="N1168" s="40"/>
      <c r="O1168" s="40"/>
      <c r="P1168" s="39"/>
      <c r="Q1168" s="39"/>
      <c r="R1168" s="39"/>
      <c r="S1168" s="39"/>
      <c r="T1168" s="39"/>
    </row>
    <row r="1169" spans="1:20" x14ac:dyDescent="0.25">
      <c r="A1169" t="s">
        <v>492</v>
      </c>
      <c r="B1169" s="37">
        <v>51</v>
      </c>
      <c r="C1169" t="str">
        <f>_xlfn.XLOOKUP(B1169,'Centro de Custo'!A$2:A$45,'Centro de Custo'!B$2:B$45)</f>
        <v>Invoke</v>
      </c>
      <c r="E1169" s="39"/>
      <c r="F1169" s="40"/>
      <c r="G1169" s="41">
        <v>45986</v>
      </c>
      <c r="H1169" s="42">
        <f>YEAR(Tabela3[[#This Row],[Data]])</f>
        <v>2025</v>
      </c>
      <c r="I1169" s="42" t="str">
        <f>_xlfn.XLOOKUP(J1169,'Centro de Custo'!J$2:J$13,'Centro de Custo'!K$2:K$13)</f>
        <v>Novembro</v>
      </c>
      <c r="J1169" s="43">
        <f>MONTH(Tabela3[[#This Row],[Data]])</f>
        <v>11</v>
      </c>
      <c r="K1169" s="39">
        <f>SUM(E$3:Tabela3[[#This Row],[Valor]])</f>
        <v>3656154.3300000005</v>
      </c>
      <c r="L1169" s="40">
        <f t="shared" si="18"/>
        <v>2.22375</v>
      </c>
      <c r="M1169" s="40"/>
      <c r="N1169" s="40"/>
      <c r="O1169" s="40"/>
      <c r="P1169" s="39"/>
      <c r="Q1169" s="39"/>
      <c r="R1169" s="39"/>
      <c r="S1169" s="39"/>
      <c r="T1169" s="39"/>
    </row>
    <row r="1170" spans="1:20" x14ac:dyDescent="0.25">
      <c r="A1170" t="s">
        <v>624</v>
      </c>
      <c r="B1170" s="37">
        <v>11</v>
      </c>
      <c r="C1170" t="str">
        <f>_xlfn.XLOOKUP(B1170,'Centro de Custo'!A$2:A$45,'Centro de Custo'!B$2:B$45)</f>
        <v>Distribuição de Lucro</v>
      </c>
      <c r="E1170" s="39"/>
      <c r="F1170" s="40"/>
      <c r="G1170" s="41">
        <v>45986</v>
      </c>
      <c r="H1170" s="42">
        <f>YEAR(Tabela3[[#This Row],[Data]])</f>
        <v>2025</v>
      </c>
      <c r="I1170" s="42" t="str">
        <f>_xlfn.XLOOKUP(J1170,'Centro de Custo'!J$2:J$13,'Centro de Custo'!K$2:K$13)</f>
        <v>Novembro</v>
      </c>
      <c r="J1170" s="43">
        <f>MONTH(Tabela3[[#This Row],[Data]])</f>
        <v>11</v>
      </c>
      <c r="K1170" s="39">
        <f>SUM(E$3:Tabela3[[#This Row],[Valor]])</f>
        <v>3656154.3300000005</v>
      </c>
      <c r="L1170" s="40">
        <f t="shared" si="18"/>
        <v>2.22375</v>
      </c>
      <c r="M1170" s="40"/>
      <c r="N1170" s="40"/>
      <c r="O1170" s="40"/>
      <c r="P1170" s="39"/>
      <c r="Q1170" s="39"/>
      <c r="R1170" s="39"/>
      <c r="S1170" s="39"/>
      <c r="T1170" s="39"/>
    </row>
    <row r="1171" spans="1:20" x14ac:dyDescent="0.25">
      <c r="A1171" s="46" t="s">
        <v>625</v>
      </c>
      <c r="B1171" s="37">
        <v>30</v>
      </c>
      <c r="C1171" t="str">
        <f>_xlfn.XLOOKUP(B1171,'Centro de Custo'!A$2:A$45,'Centro de Custo'!B$2:B$45)</f>
        <v>Impostos</v>
      </c>
      <c r="E1171" s="39">
        <v>-13748.99</v>
      </c>
      <c r="F1171" s="40"/>
      <c r="G1171" s="41">
        <v>45988</v>
      </c>
      <c r="H1171" s="42">
        <f>YEAR(Tabela3[[#This Row],[Data]])</f>
        <v>2025</v>
      </c>
      <c r="I1171" s="42" t="str">
        <f>_xlfn.XLOOKUP(J1171,'Centro de Custo'!J$2:J$13,'Centro de Custo'!K$2:K$13)</f>
        <v>Novembro</v>
      </c>
      <c r="J1171" s="43">
        <f>MONTH(Tabela3[[#This Row],[Data]])</f>
        <v>11</v>
      </c>
      <c r="K1171" s="39">
        <f>SUM(E$3:Tabela3[[#This Row],[Valor]])</f>
        <v>3642405.3400000003</v>
      </c>
      <c r="L1171" s="40">
        <f t="shared" si="18"/>
        <v>2.22375</v>
      </c>
      <c r="M1171" s="40"/>
      <c r="N1171" s="40"/>
      <c r="O1171" s="40"/>
      <c r="P1171" s="39"/>
      <c r="Q1171" s="39"/>
      <c r="R1171" s="39"/>
      <c r="S1171" s="39"/>
      <c r="T1171" s="39"/>
    </row>
    <row r="1172" spans="1:20" x14ac:dyDescent="0.25">
      <c r="A1172" t="s">
        <v>347</v>
      </c>
      <c r="B1172" s="37">
        <v>50</v>
      </c>
      <c r="C1172" t="str">
        <f>_xlfn.XLOOKUP(B1172,'Centro de Custo'!A$2:A$45,'Centro de Custo'!B$2:B$45)</f>
        <v>Empréstimos</v>
      </c>
      <c r="E1172" s="39">
        <v>137000</v>
      </c>
      <c r="F1172" s="40"/>
      <c r="G1172" s="41">
        <v>45991</v>
      </c>
      <c r="H1172" s="42">
        <f>YEAR(Tabela3[[#This Row],[Data]])</f>
        <v>2025</v>
      </c>
      <c r="I1172" s="42" t="str">
        <f>_xlfn.XLOOKUP(J1172,'Centro de Custo'!J$2:J$13,'Centro de Custo'!K$2:K$13)</f>
        <v>Novembro</v>
      </c>
      <c r="J1172" s="43">
        <f>MONTH(Tabela3[[#This Row],[Data]])</f>
        <v>11</v>
      </c>
      <c r="K1172" s="39">
        <f>SUM(E$3:Tabela3[[#This Row],[Valor]])</f>
        <v>3779405.3400000003</v>
      </c>
      <c r="L1172" s="40">
        <f t="shared" si="18"/>
        <v>2.22375</v>
      </c>
      <c r="M1172" s="40"/>
      <c r="N1172" s="40"/>
      <c r="O1172" s="40"/>
      <c r="P1172" s="39"/>
      <c r="Q1172" s="39"/>
      <c r="R1172" s="39"/>
      <c r="S1172" s="39"/>
      <c r="T1172" s="39"/>
    </row>
    <row r="1173" spans="1:20" x14ac:dyDescent="0.25">
      <c r="A1173" t="s">
        <v>626</v>
      </c>
      <c r="B1173" s="37">
        <v>50</v>
      </c>
      <c r="C1173" t="str">
        <f>_xlfn.XLOOKUP(B1173,'Centro de Custo'!A$2:A$45,'Centro de Custo'!B$2:B$45)</f>
        <v>Empréstimos</v>
      </c>
      <c r="E1173" s="39">
        <v>72000</v>
      </c>
      <c r="F1173" s="40"/>
      <c r="G1173" s="41">
        <v>45991</v>
      </c>
      <c r="H1173" s="42">
        <f>YEAR(Tabela3[[#This Row],[Data]])</f>
        <v>2025</v>
      </c>
      <c r="I1173" s="42" t="str">
        <f>_xlfn.XLOOKUP(J1173,'Centro de Custo'!J$2:J$13,'Centro de Custo'!K$2:K$13)</f>
        <v>Novembro</v>
      </c>
      <c r="J1173" s="43">
        <f>MONTH(Tabela3[[#This Row],[Data]])</f>
        <v>11</v>
      </c>
      <c r="K1173" s="39">
        <f>SUM(E$3:Tabela3[[#This Row],[Valor]])</f>
        <v>3851405.3400000003</v>
      </c>
      <c r="L1173" s="40">
        <f t="shared" si="18"/>
        <v>2.22375</v>
      </c>
      <c r="M1173" s="40"/>
      <c r="N1173" s="40"/>
      <c r="O1173" s="40"/>
      <c r="P1173" s="39"/>
      <c r="Q1173" s="39"/>
      <c r="R1173" s="39"/>
      <c r="S1173" s="39"/>
      <c r="T1173" s="39"/>
    </row>
    <row r="1174" spans="1:20" x14ac:dyDescent="0.25">
      <c r="A1174" t="s">
        <v>627</v>
      </c>
      <c r="B1174" s="37">
        <v>50</v>
      </c>
      <c r="C1174" t="str">
        <f>_xlfn.XLOOKUP(B1174,'Centro de Custo'!A$2:A$45,'Centro de Custo'!B$2:B$45)</f>
        <v>Empréstimos</v>
      </c>
      <c r="E1174" s="39">
        <v>48700</v>
      </c>
      <c r="F1174" s="40"/>
      <c r="G1174" s="41">
        <v>45991</v>
      </c>
      <c r="H1174" s="42">
        <f>YEAR(Tabela3[[#This Row],[Data]])</f>
        <v>2025</v>
      </c>
      <c r="I1174" s="42" t="str">
        <f>_xlfn.XLOOKUP(J1174,'Centro de Custo'!J$2:J$13,'Centro de Custo'!K$2:K$13)</f>
        <v>Novembro</v>
      </c>
      <c r="J1174" s="43">
        <f>MONTH(Tabela3[[#This Row],[Data]])</f>
        <v>11</v>
      </c>
      <c r="K1174" s="39">
        <f>SUM(E$3:Tabela3[[#This Row],[Valor]])</f>
        <v>3900105.3400000003</v>
      </c>
      <c r="L1174" s="40">
        <f t="shared" si="18"/>
        <v>2.22375</v>
      </c>
      <c r="M1174" s="40"/>
      <c r="N1174" s="40"/>
      <c r="O1174" s="40"/>
      <c r="P1174" s="39"/>
      <c r="Q1174" s="39"/>
      <c r="R1174" s="39"/>
      <c r="S1174" s="39"/>
      <c r="T1174" s="39"/>
    </row>
    <row r="1175" spans="1:20" x14ac:dyDescent="0.25">
      <c r="A1175" t="s">
        <v>536</v>
      </c>
      <c r="B1175" s="37">
        <v>20</v>
      </c>
      <c r="C1175" t="str">
        <f>_xlfn.XLOOKUP(B1175,'Centro de Custo'!A$2:A$45,'Centro de Custo'!B$2:B$45)</f>
        <v>Desp. ADM</v>
      </c>
      <c r="E1175" s="39">
        <v>-3754</v>
      </c>
      <c r="F1175" s="40"/>
      <c r="G1175" s="41">
        <v>45992</v>
      </c>
      <c r="H1175" s="42">
        <f>YEAR(Tabela3[[#This Row],[Data]])</f>
        <v>2025</v>
      </c>
      <c r="I1175" s="42" t="str">
        <f>_xlfn.XLOOKUP(J1175,'Centro de Custo'!J$2:J$13,'Centro de Custo'!K$2:K$13)</f>
        <v>Dezembro</v>
      </c>
      <c r="J1175" s="43">
        <f>MONTH(Tabela3[[#This Row],[Data]])</f>
        <v>12</v>
      </c>
      <c r="K1175" s="39">
        <f>SUM(E$3:Tabela3[[#This Row],[Valor]])</f>
        <v>3896351.3400000003</v>
      </c>
      <c r="L1175" s="40">
        <f t="shared" si="18"/>
        <v>2.22375</v>
      </c>
      <c r="M1175" s="40"/>
      <c r="N1175" s="40"/>
      <c r="O1175" s="40"/>
      <c r="P1175" s="39"/>
      <c r="Q1175" s="39"/>
      <c r="R1175" s="39"/>
      <c r="S1175" s="39"/>
      <c r="T1175" s="39"/>
    </row>
    <row r="1176" spans="1:20" x14ac:dyDescent="0.25">
      <c r="A1176" t="s">
        <v>426</v>
      </c>
      <c r="B1176" s="37">
        <v>5</v>
      </c>
      <c r="C1176" t="str">
        <f>_xlfn.XLOOKUP(B1176,'Centro de Custo'!A$2:A$45,'Centro de Custo'!B$2:B$45)</f>
        <v>Consultoria</v>
      </c>
      <c r="E1176" s="39">
        <v>-850</v>
      </c>
      <c r="F1176" s="40"/>
      <c r="G1176" s="41">
        <v>45994</v>
      </c>
      <c r="H1176" s="42">
        <f>YEAR(Tabela3[[#This Row],[Data]])</f>
        <v>2025</v>
      </c>
      <c r="I1176" s="42" t="str">
        <f>_xlfn.XLOOKUP(J1176,'Centro de Custo'!J$2:J$13,'Centro de Custo'!K$2:K$13)</f>
        <v>Dezembro</v>
      </c>
      <c r="J1176" s="43">
        <f>MONTH(Tabela3[[#This Row],[Data]])</f>
        <v>12</v>
      </c>
      <c r="K1176" s="39">
        <f>SUM(E$3:Tabela3[[#This Row],[Valor]])</f>
        <v>3895501.3400000003</v>
      </c>
      <c r="L1176" s="40">
        <f t="shared" si="18"/>
        <v>2.22375</v>
      </c>
      <c r="M1176" s="40"/>
      <c r="N1176" s="40"/>
      <c r="O1176" s="40"/>
      <c r="P1176" s="39"/>
      <c r="Q1176" s="39"/>
      <c r="R1176" s="39"/>
      <c r="S1176" s="39"/>
      <c r="T1176" s="39"/>
    </row>
    <row r="1177" spans="1:20" x14ac:dyDescent="0.25">
      <c r="A1177" t="s">
        <v>399</v>
      </c>
      <c r="B1177" s="37">
        <v>10</v>
      </c>
      <c r="C1177" t="str">
        <f>_xlfn.XLOOKUP(B1177,'Centro de Custo'!A$2:A$45,'Centro de Custo'!B$2:B$45)</f>
        <v>Retirada Mensal</v>
      </c>
      <c r="E1177" s="39">
        <v>-7000</v>
      </c>
      <c r="F1177" s="40"/>
      <c r="G1177" s="41">
        <v>45994</v>
      </c>
      <c r="H1177" s="42">
        <f>YEAR(Tabela3[[#This Row],[Data]])</f>
        <v>2025</v>
      </c>
      <c r="I1177" s="42" t="str">
        <f>_xlfn.XLOOKUP(J1177,'Centro de Custo'!J$2:J$13,'Centro de Custo'!K$2:K$13)</f>
        <v>Dezembro</v>
      </c>
      <c r="J1177" s="43">
        <f>MONTH(Tabela3[[#This Row],[Data]])</f>
        <v>12</v>
      </c>
      <c r="K1177" s="39">
        <f>SUM(E$3:Tabela3[[#This Row],[Valor]])</f>
        <v>3888501.3400000003</v>
      </c>
      <c r="L1177" s="40">
        <f t="shared" si="18"/>
        <v>2.22375</v>
      </c>
      <c r="M1177" s="40"/>
      <c r="N1177" s="40"/>
      <c r="O1177" s="40"/>
      <c r="P1177" s="39"/>
      <c r="Q1177" s="39"/>
      <c r="R1177" s="39"/>
      <c r="S1177" s="39"/>
      <c r="T1177" s="39"/>
    </row>
    <row r="1178" spans="1:20" x14ac:dyDescent="0.25">
      <c r="A1178" t="s">
        <v>383</v>
      </c>
      <c r="B1178" s="37">
        <v>12</v>
      </c>
      <c r="C1178" t="str">
        <f>_xlfn.XLOOKUP(B1178,'Centro de Custo'!A$2:A$45,'Centro de Custo'!B$2:B$45)</f>
        <v>Direitos Autorais Terceiros</v>
      </c>
      <c r="E1178" s="39">
        <v>-12000</v>
      </c>
      <c r="F1178" s="40"/>
      <c r="G1178" s="41">
        <v>45994</v>
      </c>
      <c r="H1178" s="42">
        <f>YEAR(Tabela3[[#This Row],[Data]])</f>
        <v>2025</v>
      </c>
      <c r="I1178" s="42" t="str">
        <f>_xlfn.XLOOKUP(J1178,'Centro de Custo'!J$2:J$13,'Centro de Custo'!K$2:K$13)</f>
        <v>Dezembro</v>
      </c>
      <c r="J1178" s="43">
        <f>MONTH(Tabela3[[#This Row],[Data]])</f>
        <v>12</v>
      </c>
      <c r="K1178" s="39">
        <f>SUM(E$3:Tabela3[[#This Row],[Valor]])</f>
        <v>3876501.3400000003</v>
      </c>
      <c r="L1178" s="40">
        <f t="shared" si="18"/>
        <v>2.22375</v>
      </c>
      <c r="M1178" s="40"/>
      <c r="N1178" s="40"/>
      <c r="O1178" s="40"/>
      <c r="P1178" s="39"/>
      <c r="Q1178" s="39"/>
      <c r="R1178" s="39"/>
      <c r="S1178" s="39"/>
      <c r="T1178" s="39"/>
    </row>
    <row r="1179" spans="1:20" x14ac:dyDescent="0.25">
      <c r="A1179" t="s">
        <v>548</v>
      </c>
      <c r="B1179" s="37">
        <v>43</v>
      </c>
      <c r="C1179" t="str">
        <f>_xlfn.XLOOKUP(B1179,'Centro de Custo'!A$2:A$45,'Centro de Custo'!B$2:B$45)</f>
        <v>Setor Privado</v>
      </c>
      <c r="E1179" s="39">
        <v>-15000</v>
      </c>
      <c r="F1179" s="40"/>
      <c r="G1179" s="41">
        <v>45994</v>
      </c>
      <c r="H1179" s="42">
        <f>YEAR(Tabela3[[#This Row],[Data]])</f>
        <v>2025</v>
      </c>
      <c r="I1179" s="42" t="str">
        <f>_xlfn.XLOOKUP(J1179,'Centro de Custo'!J$2:J$13,'Centro de Custo'!K$2:K$13)</f>
        <v>Dezembro</v>
      </c>
      <c r="J1179" s="43">
        <f>MONTH(Tabela3[[#This Row],[Data]])</f>
        <v>12</v>
      </c>
      <c r="K1179" s="39">
        <f>SUM(E$3:Tabela3[[#This Row],[Valor]])</f>
        <v>3861501.3400000003</v>
      </c>
      <c r="L1179" s="40">
        <f t="shared" si="18"/>
        <v>2.22375</v>
      </c>
      <c r="M1179" s="40"/>
      <c r="N1179" s="40"/>
      <c r="O1179" s="40"/>
      <c r="P1179" s="39"/>
      <c r="Q1179" s="39"/>
      <c r="R1179" s="39"/>
      <c r="S1179" s="39"/>
      <c r="T1179" s="39"/>
    </row>
    <row r="1180" spans="1:20" x14ac:dyDescent="0.25">
      <c r="A1180" t="s">
        <v>60</v>
      </c>
      <c r="B1180" s="37">
        <v>20</v>
      </c>
      <c r="C1180" t="str">
        <f>_xlfn.XLOOKUP(B1180,'Centro de Custo'!A$2:A$45,'Centro de Custo'!B$2:B$45)</f>
        <v>Desp. ADM</v>
      </c>
      <c r="E1180" s="39">
        <v>-530.36</v>
      </c>
      <c r="F1180" s="40"/>
      <c r="G1180" s="41">
        <v>45995</v>
      </c>
      <c r="H1180" s="42">
        <f>YEAR(Tabela3[[#This Row],[Data]])</f>
        <v>2025</v>
      </c>
      <c r="I1180" s="42" t="str">
        <f>_xlfn.XLOOKUP(J1180,'Centro de Custo'!J$2:J$13,'Centro de Custo'!K$2:K$13)</f>
        <v>Dezembro</v>
      </c>
      <c r="J1180" s="43">
        <f>MONTH(Tabela3[[#This Row],[Data]])</f>
        <v>12</v>
      </c>
      <c r="K1180" s="39">
        <f>SUM(E$3:Tabela3[[#This Row],[Valor]])</f>
        <v>3860970.9800000004</v>
      </c>
      <c r="L1180" s="40">
        <f t="shared" si="18"/>
        <v>2.22375</v>
      </c>
      <c r="M1180" s="40"/>
      <c r="N1180" s="40"/>
      <c r="O1180" s="40"/>
      <c r="P1180" s="39"/>
      <c r="Q1180" s="39"/>
      <c r="R1180" s="39"/>
      <c r="S1180" s="39"/>
      <c r="T1180" s="39"/>
    </row>
    <row r="1181" spans="1:20" x14ac:dyDescent="0.25">
      <c r="A1181" t="s">
        <v>167</v>
      </c>
      <c r="B1181" s="37">
        <v>20</v>
      </c>
      <c r="C1181" t="str">
        <f>_xlfn.XLOOKUP(B1181,'Centro de Custo'!A$2:A$45,'Centro de Custo'!B$2:B$45)</f>
        <v>Desp. ADM</v>
      </c>
      <c r="E1181" s="39">
        <v>-606.82</v>
      </c>
      <c r="F1181" s="40"/>
      <c r="G1181" s="41">
        <v>45995</v>
      </c>
      <c r="H1181" s="42">
        <f>YEAR(Tabela3[[#This Row],[Data]])</f>
        <v>2025</v>
      </c>
      <c r="I1181" s="42" t="str">
        <f>_xlfn.XLOOKUP(J1181,'Centro de Custo'!J$2:J$13,'Centro de Custo'!K$2:K$13)</f>
        <v>Dezembro</v>
      </c>
      <c r="J1181" s="43">
        <f>MONTH(Tabela3[[#This Row],[Data]])</f>
        <v>12</v>
      </c>
      <c r="K1181" s="39">
        <f>SUM(E$3:Tabela3[[#This Row],[Valor]])</f>
        <v>3860364.1600000006</v>
      </c>
      <c r="L1181" s="40">
        <f t="shared" si="18"/>
        <v>2.22375</v>
      </c>
      <c r="M1181" s="40"/>
      <c r="N1181" s="40"/>
      <c r="O1181" s="40"/>
      <c r="P1181" s="39"/>
      <c r="Q1181" s="39"/>
      <c r="R1181" s="39"/>
      <c r="S1181" s="39"/>
      <c r="T1181" s="39"/>
    </row>
    <row r="1182" spans="1:20" x14ac:dyDescent="0.25">
      <c r="A1182" t="s">
        <v>169</v>
      </c>
      <c r="B1182" s="37">
        <v>20</v>
      </c>
      <c r="C1182" t="str">
        <f>_xlfn.XLOOKUP(B1182,'Centro de Custo'!A$2:A$45,'Centro de Custo'!B$2:B$45)</f>
        <v>Desp. ADM</v>
      </c>
      <c r="E1182" s="39">
        <v>-606.82</v>
      </c>
      <c r="F1182" s="40"/>
      <c r="G1182" s="41">
        <v>45995</v>
      </c>
      <c r="H1182" s="42">
        <f>YEAR(Tabela3[[#This Row],[Data]])</f>
        <v>2025</v>
      </c>
      <c r="I1182" s="42" t="str">
        <f>_xlfn.XLOOKUP(J1182,'Centro de Custo'!J$2:J$13,'Centro de Custo'!K$2:K$13)</f>
        <v>Dezembro</v>
      </c>
      <c r="J1182" s="43">
        <f>MONTH(Tabela3[[#This Row],[Data]])</f>
        <v>12</v>
      </c>
      <c r="K1182" s="39">
        <f>SUM(E$3:Tabela3[[#This Row],[Valor]])</f>
        <v>3859757.340000001</v>
      </c>
      <c r="L1182" s="40">
        <f t="shared" si="18"/>
        <v>2.22375</v>
      </c>
      <c r="M1182" s="40"/>
      <c r="N1182" s="40"/>
      <c r="O1182" s="40"/>
      <c r="P1182" s="39"/>
      <c r="Q1182" s="39"/>
      <c r="R1182" s="39"/>
      <c r="S1182" s="39"/>
      <c r="T1182" s="39"/>
    </row>
    <row r="1183" spans="1:20" x14ac:dyDescent="0.25">
      <c r="A1183" t="s">
        <v>591</v>
      </c>
      <c r="B1183" s="37">
        <v>20</v>
      </c>
      <c r="C1183" t="str">
        <f>_xlfn.XLOOKUP(B1183,'Centro de Custo'!A$2:A$45,'Centro de Custo'!B$2:B$45)</f>
        <v>Desp. ADM</v>
      </c>
      <c r="E1183" s="39">
        <v>-4000</v>
      </c>
      <c r="F1183" s="40"/>
      <c r="G1183" s="41">
        <v>45995</v>
      </c>
      <c r="H1183" s="42">
        <f>YEAR(Tabela3[[#This Row],[Data]])</f>
        <v>2025</v>
      </c>
      <c r="I1183" s="42" t="str">
        <f>_xlfn.XLOOKUP(J1183,'Centro de Custo'!J$2:J$13,'Centro de Custo'!K$2:K$13)</f>
        <v>Dezembro</v>
      </c>
      <c r="J1183" s="43">
        <f>MONTH(Tabela3[[#This Row],[Data]])</f>
        <v>12</v>
      </c>
      <c r="K1183" s="39">
        <f>SUM(E$3:Tabela3[[#This Row],[Valor]])</f>
        <v>3855757.340000001</v>
      </c>
      <c r="L1183" s="40">
        <f t="shared" si="18"/>
        <v>2.22375</v>
      </c>
      <c r="M1183" s="40"/>
      <c r="N1183" s="40"/>
      <c r="O1183" s="40"/>
      <c r="P1183" s="39"/>
      <c r="Q1183" s="39"/>
      <c r="R1183" s="39"/>
      <c r="S1183" s="39"/>
      <c r="T1183" s="39"/>
    </row>
    <row r="1184" spans="1:20" x14ac:dyDescent="0.25">
      <c r="A1184" t="s">
        <v>178</v>
      </c>
      <c r="B1184" s="37">
        <v>20</v>
      </c>
      <c r="C1184" t="str">
        <f>_xlfn.XLOOKUP(B1184,'Centro de Custo'!A$2:A$45,'Centro de Custo'!B$2:B$45)</f>
        <v>Desp. ADM</v>
      </c>
      <c r="E1184" s="39">
        <v>-174.9</v>
      </c>
      <c r="F1184" s="40"/>
      <c r="G1184" s="41">
        <v>45996</v>
      </c>
      <c r="H1184" s="42">
        <f>YEAR(Tabela3[[#This Row],[Data]])</f>
        <v>2025</v>
      </c>
      <c r="I1184" s="42" t="str">
        <f>_xlfn.XLOOKUP(J1184,'Centro de Custo'!J$2:J$13,'Centro de Custo'!K$2:K$13)</f>
        <v>Dezembro</v>
      </c>
      <c r="J1184" s="43">
        <f>MONTH(Tabela3[[#This Row],[Data]])</f>
        <v>12</v>
      </c>
      <c r="K1184" s="39">
        <f>SUM(E$3:Tabela3[[#This Row],[Valor]])</f>
        <v>3855582.440000001</v>
      </c>
      <c r="L1184" s="40">
        <f t="shared" si="18"/>
        <v>2.22375</v>
      </c>
      <c r="M1184" s="40"/>
      <c r="N1184" s="40"/>
      <c r="O1184" s="40"/>
      <c r="P1184" s="39"/>
      <c r="Q1184" s="39"/>
      <c r="R1184" s="39"/>
      <c r="S1184" s="39"/>
      <c r="T1184" s="39"/>
    </row>
    <row r="1185" spans="1:20" x14ac:dyDescent="0.25">
      <c r="A1185" t="s">
        <v>512</v>
      </c>
      <c r="B1185" s="37">
        <v>20</v>
      </c>
      <c r="C1185" t="str">
        <f>_xlfn.XLOOKUP(B1185,'Centro de Custo'!A$2:A$45,'Centro de Custo'!B$2:B$45)</f>
        <v>Desp. ADM</v>
      </c>
      <c r="E1185" s="39">
        <v>-2600</v>
      </c>
      <c r="F1185" s="40"/>
      <c r="G1185" s="41">
        <v>45996</v>
      </c>
      <c r="H1185" s="42">
        <f>YEAR(Tabela3[[#This Row],[Data]])</f>
        <v>2025</v>
      </c>
      <c r="I1185" s="42" t="str">
        <f>_xlfn.XLOOKUP(J1185,'Centro de Custo'!J$2:J$13,'Centro de Custo'!K$2:K$13)</f>
        <v>Dezembro</v>
      </c>
      <c r="J1185" s="43">
        <f>MONTH(Tabela3[[#This Row],[Data]])</f>
        <v>12</v>
      </c>
      <c r="K1185" s="39">
        <f>SUM(E$3:Tabela3[[#This Row],[Valor]])</f>
        <v>3852982.440000001</v>
      </c>
      <c r="L1185" s="40">
        <f t="shared" si="18"/>
        <v>2.22375</v>
      </c>
      <c r="M1185" s="40"/>
      <c r="N1185" s="40"/>
      <c r="O1185" s="40"/>
      <c r="P1185" s="39"/>
      <c r="Q1185" s="39"/>
      <c r="R1185" s="39"/>
      <c r="S1185" s="39"/>
      <c r="T1185" s="39"/>
    </row>
    <row r="1186" spans="1:20" x14ac:dyDescent="0.25">
      <c r="A1186" t="s">
        <v>613</v>
      </c>
      <c r="B1186" s="37">
        <v>10</v>
      </c>
      <c r="C1186" t="str">
        <f>_xlfn.XLOOKUP(B1186,'Centro de Custo'!A$2:A$45,'Centro de Custo'!B$2:B$45)</f>
        <v>Retirada Mensal</v>
      </c>
      <c r="E1186" s="39">
        <v>-70000</v>
      </c>
      <c r="F1186" s="40"/>
      <c r="G1186" s="41">
        <v>45996</v>
      </c>
      <c r="H1186" s="42">
        <f>YEAR(Tabela3[[#This Row],[Data]])</f>
        <v>2025</v>
      </c>
      <c r="I1186" s="42" t="str">
        <f>_xlfn.XLOOKUP(J1186,'Centro de Custo'!J$2:J$13,'Centro de Custo'!K$2:K$13)</f>
        <v>Dezembro</v>
      </c>
      <c r="J1186" s="43">
        <f>MONTH(Tabela3[[#This Row],[Data]])</f>
        <v>12</v>
      </c>
      <c r="K1186" s="39">
        <f>SUM(E$3:Tabela3[[#This Row],[Valor]])</f>
        <v>3782982.440000001</v>
      </c>
      <c r="L1186" s="40">
        <f t="shared" si="18"/>
        <v>2.22375</v>
      </c>
      <c r="M1186" s="40"/>
      <c r="N1186" s="40"/>
      <c r="O1186" s="40"/>
      <c r="P1186" s="39"/>
      <c r="Q1186" s="39"/>
      <c r="R1186" s="39"/>
      <c r="S1186" s="39"/>
      <c r="T1186" s="39"/>
    </row>
    <row r="1187" spans="1:20" x14ac:dyDescent="0.25">
      <c r="A1187" t="s">
        <v>190</v>
      </c>
      <c r="B1187" s="37">
        <v>20</v>
      </c>
      <c r="C1187" t="str">
        <f>_xlfn.XLOOKUP(B1187,'Centro de Custo'!A$2:A$45,'Centro de Custo'!B$2:B$45)</f>
        <v>Desp. ADM</v>
      </c>
      <c r="E1187" s="39">
        <v>-2099.93</v>
      </c>
      <c r="F1187" s="40"/>
      <c r="G1187" s="41">
        <v>45998</v>
      </c>
      <c r="H1187" s="42">
        <f>YEAR(Tabela3[[#This Row],[Data]])</f>
        <v>2025</v>
      </c>
      <c r="I1187" s="42" t="str">
        <f>_xlfn.XLOOKUP(J1187,'Centro de Custo'!J$2:J$13,'Centro de Custo'!K$2:K$13)</f>
        <v>Dezembro</v>
      </c>
      <c r="J1187" s="43">
        <f>MONTH(Tabela3[[#This Row],[Data]])</f>
        <v>12</v>
      </c>
      <c r="K1187" s="39">
        <f>SUM(E$3:Tabela3[[#This Row],[Valor]])</f>
        <v>3780882.5100000007</v>
      </c>
      <c r="L1187" s="40">
        <f t="shared" si="18"/>
        <v>2.22375</v>
      </c>
      <c r="M1187" s="40"/>
      <c r="N1187" s="40"/>
      <c r="O1187" s="40"/>
      <c r="P1187" s="39"/>
      <c r="Q1187" s="39"/>
      <c r="R1187" s="39"/>
      <c r="S1187" s="39"/>
      <c r="T1187" s="39"/>
    </row>
    <row r="1188" spans="1:20" x14ac:dyDescent="0.25">
      <c r="A1188" t="s">
        <v>190</v>
      </c>
      <c r="B1188" s="37">
        <v>20</v>
      </c>
      <c r="C1188" t="str">
        <f>_xlfn.XLOOKUP(B1188,'Centro de Custo'!A$2:A$45,'Centro de Custo'!B$2:B$45)</f>
        <v>Desp. ADM</v>
      </c>
      <c r="E1188" s="39">
        <v>-4886.44</v>
      </c>
      <c r="F1188" s="40"/>
      <c r="G1188" s="41">
        <v>45998</v>
      </c>
      <c r="H1188" s="42">
        <f>YEAR(Tabela3[[#This Row],[Data]])</f>
        <v>2025</v>
      </c>
      <c r="I1188" s="42" t="str">
        <f>_xlfn.XLOOKUP(J1188,'Centro de Custo'!J$2:J$13,'Centro de Custo'!K$2:K$13)</f>
        <v>Dezembro</v>
      </c>
      <c r="J1188" s="43">
        <f>MONTH(Tabela3[[#This Row],[Data]])</f>
        <v>12</v>
      </c>
      <c r="K1188" s="39">
        <f>SUM(E$3:Tabela3[[#This Row],[Valor]])</f>
        <v>3775996.0700000008</v>
      </c>
      <c r="L1188" s="40">
        <f t="shared" si="18"/>
        <v>2.22375</v>
      </c>
      <c r="M1188" s="40"/>
      <c r="N1188" s="40"/>
      <c r="O1188" s="40"/>
      <c r="P1188" s="39"/>
      <c r="Q1188" s="39"/>
      <c r="R1188" s="39"/>
      <c r="S1188" s="39"/>
      <c r="T1188" s="39"/>
    </row>
    <row r="1189" spans="1:20" x14ac:dyDescent="0.25">
      <c r="A1189" t="s">
        <v>576</v>
      </c>
      <c r="B1189" s="37">
        <v>51</v>
      </c>
      <c r="C1189" t="str">
        <f>_xlfn.XLOOKUP(B1189,'Centro de Custo'!A$2:A$45,'Centro de Custo'!B$2:B$45)</f>
        <v>Invoke</v>
      </c>
      <c r="E1189" s="39">
        <v>-47000</v>
      </c>
      <c r="F1189" s="40"/>
      <c r="G1189" s="41">
        <v>45998</v>
      </c>
      <c r="H1189" s="42">
        <f>YEAR(Tabela3[[#This Row],[Data]])</f>
        <v>2025</v>
      </c>
      <c r="I1189" s="42" t="str">
        <f>_xlfn.XLOOKUP(J1189,'Centro de Custo'!J$2:J$13,'Centro de Custo'!K$2:K$13)</f>
        <v>Dezembro</v>
      </c>
      <c r="J1189" s="43">
        <f>MONTH(Tabela3[[#This Row],[Data]])</f>
        <v>12</v>
      </c>
      <c r="K1189" s="39">
        <f>SUM(E$3:Tabela3[[#This Row],[Valor]])</f>
        <v>3728996.0700000008</v>
      </c>
      <c r="L1189" s="40">
        <f t="shared" si="18"/>
        <v>2.22375</v>
      </c>
      <c r="M1189" s="37"/>
      <c r="N1189" s="40"/>
      <c r="O1189" s="40"/>
      <c r="P1189" s="39"/>
      <c r="Q1189" s="39"/>
      <c r="R1189" s="39"/>
      <c r="S1189" s="39"/>
      <c r="T1189" s="39"/>
    </row>
    <row r="1190" spans="1:20" x14ac:dyDescent="0.25">
      <c r="A1190" t="s">
        <v>576</v>
      </c>
      <c r="B1190" s="37">
        <v>52</v>
      </c>
      <c r="C1190" t="str">
        <f>_xlfn.XLOOKUP(B1190,'Centro de Custo'!A$2:A$45,'Centro de Custo'!B$2:B$45)</f>
        <v>Guardião Escolar</v>
      </c>
      <c r="E1190" s="39">
        <v>-50000</v>
      </c>
      <c r="F1190" s="40"/>
      <c r="G1190" s="41">
        <v>45998</v>
      </c>
      <c r="H1190" s="42">
        <f>YEAR(Tabela3[[#This Row],[Data]])</f>
        <v>2025</v>
      </c>
      <c r="I1190" s="42" t="str">
        <f>_xlfn.XLOOKUP(J1190,'Centro de Custo'!J$2:J$13,'Centro de Custo'!K$2:K$13)</f>
        <v>Dezembro</v>
      </c>
      <c r="J1190" s="43">
        <f>MONTH(Tabela3[[#This Row],[Data]])</f>
        <v>12</v>
      </c>
      <c r="K1190" s="39">
        <f>SUM(E$3:Tabela3[[#This Row],[Valor]])</f>
        <v>3678996.0700000008</v>
      </c>
      <c r="L1190" s="40">
        <f t="shared" si="18"/>
        <v>2.22375</v>
      </c>
      <c r="M1190" s="37"/>
      <c r="N1190" s="40"/>
      <c r="O1190" s="40"/>
      <c r="P1190" s="39"/>
      <c r="Q1190" s="39"/>
      <c r="R1190" s="39"/>
      <c r="S1190" s="39"/>
      <c r="T1190" s="39"/>
    </row>
    <row r="1191" spans="1:20" x14ac:dyDescent="0.25">
      <c r="A1191" t="s">
        <v>594</v>
      </c>
      <c r="B1191" s="37">
        <v>20</v>
      </c>
      <c r="C1191" t="str">
        <f>_xlfn.XLOOKUP(B1191,'Centro de Custo'!A$2:A$45,'Centro de Custo'!B$2:B$45)</f>
        <v>Desp. ADM</v>
      </c>
      <c r="E1191" s="39">
        <v>-25000</v>
      </c>
      <c r="F1191" s="40"/>
      <c r="G1191" s="41">
        <v>46000</v>
      </c>
      <c r="H1191" s="42">
        <f>YEAR(Tabela3[[#This Row],[Data]])</f>
        <v>2025</v>
      </c>
      <c r="I1191" s="42" t="str">
        <f>_xlfn.XLOOKUP(J1191,'Centro de Custo'!J$2:J$13,'Centro de Custo'!K$2:K$13)</f>
        <v>Dezembro</v>
      </c>
      <c r="J1191" s="43">
        <f>MONTH(Tabela3[[#This Row],[Data]])</f>
        <v>12</v>
      </c>
      <c r="K1191" s="39">
        <f>SUM(E$3:Tabela3[[#This Row],[Valor]])</f>
        <v>3653996.0700000008</v>
      </c>
      <c r="L1191" s="40">
        <f t="shared" si="18"/>
        <v>2.22375</v>
      </c>
      <c r="M1191" s="40"/>
      <c r="N1191" s="40"/>
      <c r="O1191" s="40"/>
      <c r="P1191" s="39"/>
      <c r="Q1191" s="39"/>
      <c r="R1191" s="39"/>
      <c r="S1191" s="39"/>
      <c r="T1191" s="39"/>
    </row>
    <row r="1192" spans="1:20" x14ac:dyDescent="0.25">
      <c r="A1192" t="s">
        <v>628</v>
      </c>
      <c r="B1192" s="37">
        <v>50</v>
      </c>
      <c r="C1192" t="str">
        <f>_xlfn.XLOOKUP(B1192,'Centro de Custo'!A$2:A$45,'Centro de Custo'!B$2:B$45)</f>
        <v>Empréstimos</v>
      </c>
      <c r="E1192" s="39">
        <v>50000</v>
      </c>
      <c r="F1192" s="40"/>
      <c r="G1192" s="41">
        <v>46001</v>
      </c>
      <c r="H1192" s="42">
        <f>YEAR(Tabela3[[#This Row],[Data]])</f>
        <v>2025</v>
      </c>
      <c r="I1192" s="42" t="str">
        <f>_xlfn.XLOOKUP(J1192,'Centro de Custo'!J$2:J$13,'Centro de Custo'!K$2:K$13)</f>
        <v>Dezembro</v>
      </c>
      <c r="J1192" s="43">
        <f>MONTH(Tabela3[[#This Row],[Data]])</f>
        <v>12</v>
      </c>
      <c r="K1192" s="39">
        <f>SUM(E$3:Tabela3[[#This Row],[Valor]])</f>
        <v>3703996.0700000008</v>
      </c>
      <c r="L1192" s="40">
        <f t="shared" si="18"/>
        <v>2.22375</v>
      </c>
      <c r="M1192" s="40"/>
      <c r="N1192" s="40"/>
      <c r="O1192" s="40"/>
      <c r="P1192" s="39"/>
      <c r="Q1192" s="39"/>
      <c r="R1192" s="39"/>
      <c r="S1192" s="39"/>
      <c r="T1192" s="39"/>
    </row>
    <row r="1193" spans="1:20" x14ac:dyDescent="0.25">
      <c r="A1193" t="s">
        <v>629</v>
      </c>
      <c r="B1193" s="37">
        <v>50</v>
      </c>
      <c r="C1193" t="str">
        <f>_xlfn.XLOOKUP(B1193,'Centro de Custo'!A$2:A$45,'Centro de Custo'!B$2:B$45)</f>
        <v>Empréstimos</v>
      </c>
      <c r="E1193" s="39">
        <v>50000</v>
      </c>
      <c r="F1193" s="40"/>
      <c r="G1193" s="41">
        <v>46001</v>
      </c>
      <c r="H1193" s="42">
        <f>YEAR(Tabela3[[#This Row],[Data]])</f>
        <v>2025</v>
      </c>
      <c r="I1193" s="42" t="str">
        <f>_xlfn.XLOOKUP(J1193,'Centro de Custo'!J$2:J$13,'Centro de Custo'!K$2:K$13)</f>
        <v>Dezembro</v>
      </c>
      <c r="J1193" s="43">
        <f>MONTH(Tabela3[[#This Row],[Data]])</f>
        <v>12</v>
      </c>
      <c r="K1193" s="39">
        <f>SUM(E$3:Tabela3[[#This Row],[Valor]])</f>
        <v>3753996.0700000008</v>
      </c>
      <c r="L1193" s="40">
        <f t="shared" si="18"/>
        <v>2.22375</v>
      </c>
      <c r="M1193" s="40"/>
      <c r="N1193" s="40"/>
      <c r="O1193" s="40"/>
      <c r="P1193" s="39"/>
      <c r="Q1193" s="39"/>
      <c r="R1193" s="39"/>
      <c r="S1193" s="39"/>
      <c r="T1193" s="39"/>
    </row>
    <row r="1194" spans="1:20" x14ac:dyDescent="0.25">
      <c r="A1194" t="s">
        <v>630</v>
      </c>
      <c r="B1194" s="37">
        <v>50</v>
      </c>
      <c r="C1194" t="str">
        <f>_xlfn.XLOOKUP(B1194,'Centro de Custo'!A$2:A$45,'Centro de Custo'!B$2:B$45)</f>
        <v>Empréstimos</v>
      </c>
      <c r="E1194" s="39">
        <v>48500</v>
      </c>
      <c r="F1194" s="40"/>
      <c r="G1194" s="41">
        <v>46001</v>
      </c>
      <c r="H1194" s="42">
        <f>YEAR(Tabela3[[#This Row],[Data]])</f>
        <v>2025</v>
      </c>
      <c r="I1194" s="42" t="str">
        <f>_xlfn.XLOOKUP(J1194,'Centro de Custo'!J$2:J$13,'Centro de Custo'!K$2:K$13)</f>
        <v>Dezembro</v>
      </c>
      <c r="J1194" s="43">
        <f>MONTH(Tabela3[[#This Row],[Data]])</f>
        <v>12</v>
      </c>
      <c r="K1194" s="39">
        <f>SUM(E$3:Tabela3[[#This Row],[Valor]])</f>
        <v>3802496.0700000008</v>
      </c>
      <c r="L1194" s="40">
        <f t="shared" si="18"/>
        <v>2.22375</v>
      </c>
      <c r="M1194" s="40"/>
      <c r="N1194" s="40"/>
      <c r="O1194" s="40"/>
      <c r="P1194" s="39"/>
      <c r="Q1194" s="39"/>
      <c r="R1194" s="39"/>
      <c r="S1194" s="39"/>
      <c r="T1194" s="39"/>
    </row>
    <row r="1195" spans="1:20" x14ac:dyDescent="0.25">
      <c r="A1195" t="s">
        <v>506</v>
      </c>
      <c r="B1195" s="37">
        <v>50</v>
      </c>
      <c r="C1195" t="str">
        <f>_xlfn.XLOOKUP(B1195,'Centro de Custo'!A$2:A$45,'Centro de Custo'!B$2:B$45)</f>
        <v>Empréstimos</v>
      </c>
      <c r="E1195" s="39">
        <v>40000</v>
      </c>
      <c r="F1195" s="40"/>
      <c r="G1195" s="41">
        <v>46001</v>
      </c>
      <c r="H1195" s="42">
        <f>YEAR(Tabela3[[#This Row],[Data]])</f>
        <v>2025</v>
      </c>
      <c r="I1195" s="42" t="str">
        <f>_xlfn.XLOOKUP(J1195,'Centro de Custo'!J$2:J$13,'Centro de Custo'!K$2:K$13)</f>
        <v>Dezembro</v>
      </c>
      <c r="J1195" s="43">
        <f>MONTH(Tabela3[[#This Row],[Data]])</f>
        <v>12</v>
      </c>
      <c r="K1195" s="39">
        <f>SUM(E$3:Tabela3[[#This Row],[Valor]])</f>
        <v>3842496.0700000008</v>
      </c>
      <c r="L1195" s="40">
        <f t="shared" si="18"/>
        <v>2.22375</v>
      </c>
      <c r="M1195" s="40"/>
      <c r="N1195" s="40"/>
      <c r="O1195" s="40"/>
      <c r="P1195" s="39"/>
      <c r="Q1195" s="39"/>
      <c r="R1195" s="39"/>
      <c r="S1195" s="39"/>
      <c r="T1195" s="39"/>
    </row>
    <row r="1196" spans="1:20" x14ac:dyDescent="0.25">
      <c r="A1196" t="s">
        <v>631</v>
      </c>
      <c r="B1196" s="37">
        <v>30</v>
      </c>
      <c r="C1196" t="str">
        <f>_xlfn.XLOOKUP(B1196,'Centro de Custo'!A$2:A$45,'Centro de Custo'!B$2:B$45)</f>
        <v>Impostos</v>
      </c>
      <c r="E1196" s="39">
        <v>1600</v>
      </c>
      <c r="F1196" s="40"/>
      <c r="G1196" s="41">
        <v>46001</v>
      </c>
      <c r="H1196" s="42">
        <f>YEAR(Tabela3[[#This Row],[Data]])</f>
        <v>2025</v>
      </c>
      <c r="I1196" s="42" t="str">
        <f>_xlfn.XLOOKUP(J1196,'Centro de Custo'!J$2:J$13,'Centro de Custo'!K$2:K$13)</f>
        <v>Dezembro</v>
      </c>
      <c r="J1196" s="43">
        <f>MONTH(Tabela3[[#This Row],[Data]])</f>
        <v>12</v>
      </c>
      <c r="K1196" s="39">
        <f>SUM(E$3:Tabela3[[#This Row],[Valor]])</f>
        <v>3844096.0700000008</v>
      </c>
      <c r="L1196" s="40">
        <f t="shared" si="18"/>
        <v>2.22375</v>
      </c>
      <c r="M1196" s="40"/>
      <c r="N1196" s="40"/>
      <c r="O1196" s="40"/>
      <c r="P1196" s="39"/>
      <c r="Q1196" s="39"/>
      <c r="R1196" s="39"/>
      <c r="S1196" s="39"/>
      <c r="T1196" s="39"/>
    </row>
    <row r="1197" spans="1:20" x14ac:dyDescent="0.25">
      <c r="A1197" t="s">
        <v>547</v>
      </c>
      <c r="B1197" s="37">
        <v>31</v>
      </c>
      <c r="C1197" t="str">
        <f>_xlfn.XLOOKUP(B1197,'Centro de Custo'!A$2:A$45,'Centro de Custo'!B$2:B$45)</f>
        <v>Marketing</v>
      </c>
      <c r="E1197" s="39">
        <v>-4500</v>
      </c>
      <c r="F1197" s="40"/>
      <c r="G1197" s="41">
        <v>46001</v>
      </c>
      <c r="H1197" s="42">
        <f>YEAR(Tabela3[[#This Row],[Data]])</f>
        <v>2025</v>
      </c>
      <c r="I1197" s="42" t="str">
        <f>_xlfn.XLOOKUP(J1197,'Centro de Custo'!J$2:J$13,'Centro de Custo'!K$2:K$13)</f>
        <v>Dezembro</v>
      </c>
      <c r="J1197" s="43">
        <f>MONTH(Tabela3[[#This Row],[Data]])</f>
        <v>12</v>
      </c>
      <c r="K1197" s="39">
        <f>SUM(E$3:Tabela3[[#This Row],[Valor]])</f>
        <v>3839596.0700000008</v>
      </c>
      <c r="L1197" s="40">
        <f t="shared" si="18"/>
        <v>2.22375</v>
      </c>
      <c r="M1197" s="40"/>
      <c r="N1197" s="40"/>
      <c r="O1197" s="40"/>
      <c r="P1197" s="39"/>
      <c r="Q1197" s="39"/>
      <c r="R1197" s="39"/>
      <c r="S1197" s="39"/>
      <c r="T1197" s="39"/>
    </row>
    <row r="1198" spans="1:20" x14ac:dyDescent="0.25">
      <c r="A1198" t="s">
        <v>632</v>
      </c>
      <c r="B1198" s="37">
        <v>10</v>
      </c>
      <c r="C1198" t="str">
        <f>_xlfn.XLOOKUP(B1198,'Centro de Custo'!A$2:A$45,'Centro de Custo'!B$2:B$45)</f>
        <v>Retirada Mensal</v>
      </c>
      <c r="E1198" s="39">
        <v>-750</v>
      </c>
      <c r="F1198" s="40"/>
      <c r="G1198" s="41">
        <v>46009</v>
      </c>
      <c r="H1198" s="42">
        <f>YEAR(Tabela3[[#This Row],[Data]])</f>
        <v>2025</v>
      </c>
      <c r="I1198" s="42" t="str">
        <f>_xlfn.XLOOKUP(J1198,'Centro de Custo'!J$2:J$13,'Centro de Custo'!K$2:K$13)</f>
        <v>Dezembro</v>
      </c>
      <c r="J1198" s="43">
        <f>MONTH(Tabela3[[#This Row],[Data]])</f>
        <v>12</v>
      </c>
      <c r="K1198" s="39">
        <f>SUM(E$3:Tabela3[[#This Row],[Valor]])</f>
        <v>3838846.0700000008</v>
      </c>
      <c r="L1198" s="40">
        <f t="shared" si="18"/>
        <v>2.22375</v>
      </c>
      <c r="M1198" s="40"/>
      <c r="N1198" s="40"/>
      <c r="O1198" s="40"/>
      <c r="P1198" s="39"/>
      <c r="Q1198" s="39"/>
      <c r="R1198" s="39"/>
      <c r="S1198" s="39"/>
      <c r="T1198" s="39"/>
    </row>
    <row r="1199" spans="1:20" x14ac:dyDescent="0.25">
      <c r="A1199" t="s">
        <v>633</v>
      </c>
      <c r="B1199" s="37">
        <v>50</v>
      </c>
      <c r="C1199" t="str">
        <f>_xlfn.XLOOKUP(B1199,'Centro de Custo'!A$2:A$45,'Centro de Custo'!B$2:B$45)</f>
        <v>Empréstimos</v>
      </c>
      <c r="E1199" s="39">
        <v>100000</v>
      </c>
      <c r="F1199" s="40"/>
      <c r="G1199" s="41">
        <v>46011</v>
      </c>
      <c r="H1199" s="42">
        <f>YEAR(Tabela3[[#This Row],[Data]])</f>
        <v>2025</v>
      </c>
      <c r="I1199" s="42" t="str">
        <f>_xlfn.XLOOKUP(J1199,'Centro de Custo'!J$2:J$13,'Centro de Custo'!K$2:K$13)</f>
        <v>Dezembro</v>
      </c>
      <c r="J1199" s="43">
        <f>MONTH(Tabela3[[#This Row],[Data]])</f>
        <v>12</v>
      </c>
      <c r="K1199" s="39">
        <f>SUM(E$3:Tabela3[[#This Row],[Valor]])</f>
        <v>3938846.0700000008</v>
      </c>
      <c r="L1199" s="40">
        <f t="shared" si="18"/>
        <v>2.22375</v>
      </c>
      <c r="M1199" s="40"/>
      <c r="N1199" s="40"/>
      <c r="O1199" s="40"/>
      <c r="P1199" s="39"/>
      <c r="Q1199" s="39"/>
      <c r="R1199" s="39"/>
      <c r="S1199" s="39"/>
      <c r="T1199" s="39"/>
    </row>
    <row r="1200" spans="1:20" x14ac:dyDescent="0.25">
      <c r="A1200" t="s">
        <v>621</v>
      </c>
      <c r="B1200" s="37">
        <v>3</v>
      </c>
      <c r="C1200" t="str">
        <f>_xlfn.XLOOKUP(B1200,'Centro de Custo'!A$2:A$45,'Centro de Custo'!B$2:B$45)</f>
        <v>Investimentos</v>
      </c>
      <c r="E1200" s="39">
        <v>60000</v>
      </c>
      <c r="F1200" s="40"/>
      <c r="G1200" s="41">
        <v>46011</v>
      </c>
      <c r="H1200" s="42">
        <f>YEAR(Tabela3[[#This Row],[Data]])</f>
        <v>2025</v>
      </c>
      <c r="I1200" s="42" t="str">
        <f>_xlfn.XLOOKUP(J1200,'Centro de Custo'!J$2:J$13,'Centro de Custo'!K$2:K$13)</f>
        <v>Dezembro</v>
      </c>
      <c r="J1200" s="43">
        <f>MONTH(Tabela3[[#This Row],[Data]])</f>
        <v>12</v>
      </c>
      <c r="K1200" s="39">
        <f>SUM(E$3:Tabela3[[#This Row],[Valor]])</f>
        <v>3998846.0700000008</v>
      </c>
      <c r="L1200" s="40">
        <f t="shared" si="18"/>
        <v>2.22375</v>
      </c>
      <c r="M1200" s="40"/>
      <c r="N1200" s="40"/>
      <c r="O1200" s="40"/>
      <c r="P1200" s="39"/>
      <c r="Q1200" s="39"/>
      <c r="R1200" s="39"/>
      <c r="S1200" s="39"/>
      <c r="T1200" s="39"/>
    </row>
    <row r="1201" spans="1:20" x14ac:dyDescent="0.25">
      <c r="A1201" t="s">
        <v>621</v>
      </c>
      <c r="B1201" s="37">
        <v>3</v>
      </c>
      <c r="C1201" t="str">
        <f>_xlfn.XLOOKUP(B1201,'Centro de Custo'!A$2:A$45,'Centro de Custo'!B$2:B$45)</f>
        <v>Investimentos</v>
      </c>
      <c r="E1201" s="39">
        <v>60000</v>
      </c>
      <c r="F1201" s="40"/>
      <c r="G1201" s="41">
        <v>46011</v>
      </c>
      <c r="H1201" s="42">
        <f>YEAR(Tabela3[[#This Row],[Data]])</f>
        <v>2025</v>
      </c>
      <c r="I1201" s="42" t="str">
        <f>_xlfn.XLOOKUP(J1201,'Centro de Custo'!J$2:J$13,'Centro de Custo'!K$2:K$13)</f>
        <v>Dezembro</v>
      </c>
      <c r="J1201" s="43">
        <f>MONTH(Tabela3[[#This Row],[Data]])</f>
        <v>12</v>
      </c>
      <c r="K1201" s="39">
        <f>SUM(E$3:Tabela3[[#This Row],[Valor]])</f>
        <v>4058846.0700000008</v>
      </c>
      <c r="L1201" s="40">
        <f t="shared" si="18"/>
        <v>2.22375</v>
      </c>
      <c r="M1201" s="40"/>
      <c r="N1201" s="40"/>
      <c r="O1201" s="40"/>
      <c r="P1201" s="39"/>
      <c r="Q1201" s="39"/>
      <c r="R1201" s="39"/>
      <c r="S1201" s="39"/>
      <c r="T1201" s="39"/>
    </row>
    <row r="1202" spans="1:20" x14ac:dyDescent="0.25">
      <c r="A1202" t="s">
        <v>244</v>
      </c>
      <c r="B1202" s="37">
        <v>13</v>
      </c>
      <c r="C1202" t="str">
        <f>_xlfn.XLOOKUP(B1202,'Centro de Custo'!A$2:A$45,'Centro de Custo'!B$2:B$45)</f>
        <v>Terceirizados</v>
      </c>
      <c r="E1202" s="39">
        <v>-500</v>
      </c>
      <c r="F1202" s="40"/>
      <c r="G1202" s="41">
        <v>46011</v>
      </c>
      <c r="H1202" s="42">
        <f>YEAR(Tabela3[[#This Row],[Data]])</f>
        <v>2025</v>
      </c>
      <c r="I1202" s="42" t="str">
        <f>_xlfn.XLOOKUP(J1202,'Centro de Custo'!J$2:J$13,'Centro de Custo'!K$2:K$13)</f>
        <v>Dezembro</v>
      </c>
      <c r="J1202" s="43">
        <f>MONTH(Tabela3[[#This Row],[Data]])</f>
        <v>12</v>
      </c>
      <c r="K1202" s="39">
        <f>SUM(E$3:Tabela3[[#This Row],[Valor]])</f>
        <v>4058346.0700000008</v>
      </c>
      <c r="L1202" s="40">
        <f t="shared" si="18"/>
        <v>2.22375</v>
      </c>
      <c r="M1202" s="40"/>
      <c r="N1202" s="40"/>
      <c r="O1202" s="40"/>
      <c r="P1202" s="39"/>
      <c r="Q1202" s="39"/>
      <c r="R1202" s="39"/>
      <c r="S1202" s="39"/>
      <c r="T1202" s="39"/>
    </row>
    <row r="1203" spans="1:20" x14ac:dyDescent="0.25">
      <c r="A1203" t="s">
        <v>634</v>
      </c>
      <c r="B1203" s="37">
        <v>12</v>
      </c>
      <c r="C1203" t="str">
        <f>_xlfn.XLOOKUP(B1203,'Centro de Custo'!A$2:A$45,'Centro de Custo'!B$2:B$45)</f>
        <v>Direitos Autorais Terceiros</v>
      </c>
      <c r="E1203" s="39">
        <v>-55230</v>
      </c>
      <c r="F1203" s="40"/>
      <c r="G1203" s="41">
        <v>46011</v>
      </c>
      <c r="H1203" s="42">
        <f>YEAR(Tabela3[[#This Row],[Data]])</f>
        <v>2025</v>
      </c>
      <c r="I1203" s="42" t="str">
        <f>_xlfn.XLOOKUP(J1203,'Centro de Custo'!J$2:J$13,'Centro de Custo'!K$2:K$13)</f>
        <v>Dezembro</v>
      </c>
      <c r="J1203" s="43">
        <f>MONTH(Tabela3[[#This Row],[Data]])</f>
        <v>12</v>
      </c>
      <c r="K1203" s="39">
        <f>SUM(E$3:Tabela3[[#This Row],[Valor]])</f>
        <v>4003116.0700000008</v>
      </c>
      <c r="L1203" s="40">
        <f t="shared" si="18"/>
        <v>2.22375</v>
      </c>
      <c r="M1203" s="40"/>
      <c r="N1203" s="40"/>
      <c r="O1203" s="40"/>
      <c r="P1203" s="39"/>
      <c r="Q1203" s="39"/>
      <c r="R1203" s="39"/>
      <c r="S1203" s="39"/>
      <c r="T1203" s="39"/>
    </row>
    <row r="1204" spans="1:20" x14ac:dyDescent="0.25">
      <c r="A1204" t="s">
        <v>492</v>
      </c>
      <c r="B1204" s="37">
        <v>3</v>
      </c>
      <c r="C1204" t="str">
        <f>_xlfn.XLOOKUP(B1203,'Centro de Custo'!A$2:A$45,'Centro de Custo'!B$2:B$45)</f>
        <v>Direitos Autorais Terceiros</v>
      </c>
      <c r="E1204" s="39">
        <v>-35000</v>
      </c>
      <c r="F1204" s="40"/>
      <c r="G1204" s="41">
        <v>46016</v>
      </c>
      <c r="H1204" s="42">
        <f>YEAR(Tabela3[[#This Row],[Data]])</f>
        <v>2025</v>
      </c>
      <c r="I1204" s="42" t="str">
        <f>_xlfn.XLOOKUP(J1204,'Centro de Custo'!J$2:J$13,'Centro de Custo'!K$2:K$13)</f>
        <v>Dezembro</v>
      </c>
      <c r="J1204" s="43">
        <f>MONTH(Tabela3[[#This Row],[Data]])</f>
        <v>12</v>
      </c>
      <c r="K1204" s="39">
        <f>SUM(E$3:Tabela3[[#This Row],[Valor]])</f>
        <v>3968116.0700000008</v>
      </c>
      <c r="L1204" s="40">
        <f t="shared" si="18"/>
        <v>2.22375</v>
      </c>
      <c r="M1204" s="40"/>
      <c r="N1204" s="40"/>
      <c r="O1204" s="40"/>
      <c r="P1204" s="39"/>
      <c r="Q1204" s="39"/>
      <c r="R1204" s="39"/>
      <c r="S1204" s="39"/>
      <c r="T1204" s="39"/>
    </row>
    <row r="1205" spans="1:20" x14ac:dyDescent="0.25">
      <c r="A1205" s="46" t="s">
        <v>635</v>
      </c>
      <c r="B1205" s="37">
        <v>30</v>
      </c>
      <c r="C1205" t="str">
        <f>_xlfn.XLOOKUP(B1205,'Centro de Custo'!A$2:A$45,'Centro de Custo'!B$2:B$45)</f>
        <v>Impostos</v>
      </c>
      <c r="E1205" s="39">
        <v>-13748.99</v>
      </c>
      <c r="F1205" s="40"/>
      <c r="G1205" s="41">
        <v>46018</v>
      </c>
      <c r="H1205" s="42">
        <f>YEAR(Tabela3[[#This Row],[Data]])</f>
        <v>2025</v>
      </c>
      <c r="I1205" s="42" t="str">
        <f>_xlfn.XLOOKUP(J1205,'Centro de Custo'!J$2:J$13,'Centro de Custo'!K$2:K$13)</f>
        <v>Dezembro</v>
      </c>
      <c r="J1205" s="43">
        <f>MONTH(Tabela3[[#This Row],[Data]])</f>
        <v>12</v>
      </c>
      <c r="K1205" s="39">
        <f>SUM(E$3:Tabela3[[#This Row],[Valor]])</f>
        <v>3954367.0800000005</v>
      </c>
      <c r="L1205" s="40">
        <f t="shared" si="18"/>
        <v>2.22375</v>
      </c>
      <c r="M1205" s="40"/>
      <c r="N1205" s="40"/>
      <c r="O1205" s="40"/>
      <c r="P1205" s="39"/>
      <c r="Q1205" s="39"/>
      <c r="R1205" s="39"/>
      <c r="S1205" s="39"/>
      <c r="T1205" s="39"/>
    </row>
    <row r="1206" spans="1:20" x14ac:dyDescent="0.25">
      <c r="A1206" t="s">
        <v>576</v>
      </c>
      <c r="B1206" s="37">
        <v>51</v>
      </c>
      <c r="C1206" t="str">
        <f>_xlfn.XLOOKUP(B1206,'Centro de Custo'!A$2:A$45,'Centro de Custo'!B$2:B$45)</f>
        <v>Invoke</v>
      </c>
      <c r="E1206" s="39">
        <v>-47000</v>
      </c>
      <c r="F1206" s="40"/>
      <c r="G1206" s="41">
        <v>46029</v>
      </c>
      <c r="H1206" s="42">
        <f>YEAR(Tabela3[[#This Row],[Data]])</f>
        <v>2026</v>
      </c>
      <c r="I1206" s="42" t="str">
        <f>_xlfn.XLOOKUP(J1206,'Centro de Custo'!J$2:J$13,'Centro de Custo'!K$2:K$13)</f>
        <v>Janeiro</v>
      </c>
      <c r="J1206" s="43">
        <f>MONTH(Tabela3[[#This Row],[Data]])</f>
        <v>1</v>
      </c>
      <c r="K1206" s="39">
        <f>SUM(E$3:Tabela3[[#This Row],[Valor]])</f>
        <v>3907367.0800000005</v>
      </c>
      <c r="L1206" s="40">
        <f t="shared" si="18"/>
        <v>2.22375</v>
      </c>
      <c r="M1206" s="37"/>
      <c r="N1206" s="40"/>
      <c r="O1206" s="40"/>
      <c r="P1206" s="39"/>
      <c r="Q1206" s="39"/>
      <c r="R1206" s="39"/>
      <c r="S1206" s="39"/>
      <c r="T1206" s="39"/>
    </row>
    <row r="1207" spans="1:20" x14ac:dyDescent="0.25">
      <c r="A1207" t="s">
        <v>576</v>
      </c>
      <c r="B1207" s="37">
        <v>52</v>
      </c>
      <c r="C1207" t="str">
        <f>_xlfn.XLOOKUP(B1207,'Centro de Custo'!A$2:A$45,'Centro de Custo'!B$2:B$45)</f>
        <v>Guardião Escolar</v>
      </c>
      <c r="E1207" s="39">
        <v>-50000</v>
      </c>
      <c r="F1207" s="40"/>
      <c r="G1207" s="41">
        <v>46029</v>
      </c>
      <c r="H1207" s="42">
        <f>YEAR(Tabela3[[#This Row],[Data]])</f>
        <v>2026</v>
      </c>
      <c r="I1207" s="42" t="str">
        <f>_xlfn.XLOOKUP(J1207,'Centro de Custo'!J$2:J$13,'Centro de Custo'!K$2:K$13)</f>
        <v>Janeiro</v>
      </c>
      <c r="J1207" s="43">
        <f>MONTH(Tabela3[[#This Row],[Data]])</f>
        <v>1</v>
      </c>
      <c r="K1207" s="39">
        <f>SUM(E$3:Tabela3[[#This Row],[Valor]])</f>
        <v>3857367.0800000005</v>
      </c>
      <c r="L1207" s="40">
        <f t="shared" si="18"/>
        <v>2.22375</v>
      </c>
      <c r="M1207" s="37"/>
      <c r="N1207" s="40"/>
      <c r="O1207" s="40"/>
      <c r="P1207" s="39"/>
      <c r="Q1207" s="39"/>
      <c r="R1207" s="39"/>
      <c r="S1207" s="39"/>
      <c r="T1207" s="39"/>
    </row>
    <row r="1208" spans="1:20" x14ac:dyDescent="0.25">
      <c r="A1208" t="s">
        <v>621</v>
      </c>
      <c r="B1208" s="37">
        <v>3</v>
      </c>
      <c r="C1208" t="str">
        <f>_xlfn.XLOOKUP(B1208,'Centro de Custo'!A$2:A$45,'Centro de Custo'!B$2:B$45)</f>
        <v>Investimentos</v>
      </c>
      <c r="E1208" s="39">
        <v>60000</v>
      </c>
      <c r="F1208" s="40"/>
      <c r="G1208" s="41">
        <v>46042</v>
      </c>
      <c r="H1208" s="42">
        <f>YEAR(Tabela3[[#This Row],[Data]])</f>
        <v>2026</v>
      </c>
      <c r="I1208" s="42" t="str">
        <f>_xlfn.XLOOKUP(J1208,'Centro de Custo'!J$2:J$13,'Centro de Custo'!K$2:K$13)</f>
        <v>Janeiro</v>
      </c>
      <c r="J1208" s="43">
        <f>MONTH(Tabela3[[#This Row],[Data]])</f>
        <v>1</v>
      </c>
      <c r="K1208" s="39">
        <f>SUM(E$3:Tabela3[[#This Row],[Valor]])</f>
        <v>3917367.0800000005</v>
      </c>
      <c r="L1208" s="40">
        <f t="shared" si="18"/>
        <v>2.22375</v>
      </c>
      <c r="M1208" s="40"/>
      <c r="N1208" s="40"/>
      <c r="O1208" s="40"/>
      <c r="P1208" s="39"/>
      <c r="Q1208" s="39"/>
      <c r="R1208" s="39"/>
      <c r="S1208" s="39"/>
      <c r="T1208" s="39"/>
    </row>
    <row r="1209" spans="1:20" x14ac:dyDescent="0.25">
      <c r="A1209" t="s">
        <v>636</v>
      </c>
      <c r="B1209" s="37">
        <v>30</v>
      </c>
      <c r="C1209" t="str">
        <f>_xlfn.XLOOKUP(B1209,'Centro de Custo'!A$2:A$45,'Centro de Custo'!B$2:B$45)</f>
        <v>Impostos</v>
      </c>
      <c r="E1209" s="39">
        <v>-100000</v>
      </c>
      <c r="F1209" s="40"/>
      <c r="G1209" s="41">
        <v>46042</v>
      </c>
      <c r="H1209" s="42">
        <f>YEAR(Tabela3[[#This Row],[Data]])</f>
        <v>2026</v>
      </c>
      <c r="I1209" s="42" t="str">
        <f>_xlfn.XLOOKUP(J1209,'Centro de Custo'!J$2:J$13,'Centro de Custo'!K$2:K$13)</f>
        <v>Janeiro</v>
      </c>
      <c r="J1209" s="43">
        <f>MONTH(Tabela3[[#This Row],[Data]])</f>
        <v>1</v>
      </c>
      <c r="K1209" s="39">
        <f>SUM(E$3:Tabela3[[#This Row],[Valor]])</f>
        <v>3817367.0800000005</v>
      </c>
      <c r="L1209" s="40">
        <f t="shared" si="18"/>
        <v>2.22375</v>
      </c>
      <c r="M1209" s="40"/>
      <c r="N1209" s="40"/>
      <c r="O1209" s="40"/>
      <c r="P1209" s="39"/>
      <c r="Q1209" s="39"/>
      <c r="R1209" s="39"/>
      <c r="S1209" s="39"/>
      <c r="T1209" s="39"/>
    </row>
    <row r="1210" spans="1:20" x14ac:dyDescent="0.25">
      <c r="A1210" t="s">
        <v>377</v>
      </c>
      <c r="B1210" s="37">
        <v>30</v>
      </c>
      <c r="C1210" t="str">
        <f>_xlfn.XLOOKUP(B1210,'Centro de Custo'!A$2:A$45,'Centro de Custo'!B$2:B$45)</f>
        <v>Impostos</v>
      </c>
      <c r="E1210" s="39">
        <v>-150000</v>
      </c>
      <c r="F1210" s="40"/>
      <c r="G1210" s="41">
        <v>46042</v>
      </c>
      <c r="H1210" s="42">
        <f>YEAR(Tabela3[[#This Row],[Data]])</f>
        <v>2026</v>
      </c>
      <c r="I1210" s="42" t="str">
        <f>_xlfn.XLOOKUP(J1210,'Centro de Custo'!J$2:J$13,'Centro de Custo'!K$2:K$13)</f>
        <v>Janeiro</v>
      </c>
      <c r="J1210" s="43">
        <f>MONTH(Tabela3[[#This Row],[Data]])</f>
        <v>1</v>
      </c>
      <c r="K1210" s="39">
        <f>SUM(E$3:Tabela3[[#This Row],[Valor]])</f>
        <v>3667367.0800000005</v>
      </c>
      <c r="L1210" s="40">
        <f t="shared" si="18"/>
        <v>2.22375</v>
      </c>
      <c r="M1210" s="40"/>
      <c r="N1210" s="40"/>
      <c r="O1210" s="40"/>
      <c r="P1210" s="39"/>
      <c r="Q1210" s="39"/>
      <c r="R1210" s="39"/>
      <c r="S1210" s="39"/>
      <c r="T1210" s="39"/>
    </row>
    <row r="1211" spans="1:20" x14ac:dyDescent="0.25">
      <c r="A1211" t="s">
        <v>576</v>
      </c>
      <c r="B1211" s="37">
        <v>51</v>
      </c>
      <c r="C1211" t="str">
        <f>_xlfn.XLOOKUP(B1211,'Centro de Custo'!A$2:A$45,'Centro de Custo'!B$2:B$45)</f>
        <v>Invoke</v>
      </c>
      <c r="E1211" s="39">
        <v>-47000</v>
      </c>
      <c r="F1211" s="40"/>
      <c r="G1211" s="41">
        <v>46060</v>
      </c>
      <c r="H1211" s="42">
        <f>YEAR(Tabela3[[#This Row],[Data]])</f>
        <v>2026</v>
      </c>
      <c r="I1211" s="42" t="str">
        <f>_xlfn.XLOOKUP(J1211,'Centro de Custo'!J$2:J$13,'Centro de Custo'!K$2:K$13)</f>
        <v>Fevereiro</v>
      </c>
      <c r="J1211" s="43">
        <f>MONTH(Tabela3[[#This Row],[Data]])</f>
        <v>2</v>
      </c>
      <c r="K1211" s="39">
        <f>SUM(E$3:Tabela3[[#This Row],[Valor]])</f>
        <v>3620367.0800000005</v>
      </c>
      <c r="L1211" s="40">
        <f t="shared" si="18"/>
        <v>2.22375</v>
      </c>
      <c r="M1211" s="37"/>
      <c r="N1211" s="40"/>
      <c r="O1211" s="40"/>
      <c r="P1211" s="39"/>
      <c r="Q1211" s="39"/>
      <c r="R1211" s="39"/>
      <c r="S1211" s="39"/>
      <c r="T1211" s="39"/>
    </row>
    <row r="1212" spans="1:20" x14ac:dyDescent="0.25">
      <c r="A1212" t="s">
        <v>576</v>
      </c>
      <c r="B1212" s="37">
        <v>52</v>
      </c>
      <c r="C1212" t="str">
        <f>_xlfn.XLOOKUP(B1212,'Centro de Custo'!A$2:A$45,'Centro de Custo'!B$2:B$45)</f>
        <v>Guardião Escolar</v>
      </c>
      <c r="E1212" s="39">
        <v>-50000</v>
      </c>
      <c r="F1212" s="40"/>
      <c r="G1212" s="41">
        <v>46060</v>
      </c>
      <c r="H1212" s="42">
        <f>YEAR(Tabela3[[#This Row],[Data]])</f>
        <v>2026</v>
      </c>
      <c r="I1212" s="42" t="str">
        <f>_xlfn.XLOOKUP(J1212,'Centro de Custo'!J$2:J$13,'Centro de Custo'!K$2:K$13)</f>
        <v>Fevereiro</v>
      </c>
      <c r="J1212" s="43">
        <f>MONTH(Tabela3[[#This Row],[Data]])</f>
        <v>2</v>
      </c>
      <c r="K1212" s="39">
        <f>SUM(E$3:Tabela3[[#This Row],[Valor]])</f>
        <v>3570367.0800000005</v>
      </c>
      <c r="L1212" s="40">
        <f t="shared" si="18"/>
        <v>2.22375</v>
      </c>
      <c r="M1212" s="37"/>
      <c r="N1212" s="40"/>
      <c r="O1212" s="40"/>
      <c r="P1212" s="39"/>
      <c r="Q1212" s="39"/>
      <c r="R1212" s="39"/>
      <c r="S1212" s="39"/>
      <c r="T1212" s="39"/>
    </row>
    <row r="1213" spans="1:20" x14ac:dyDescent="0.25">
      <c r="A1213" t="s">
        <v>621</v>
      </c>
      <c r="B1213" s="37">
        <v>3</v>
      </c>
      <c r="C1213" t="str">
        <f>_xlfn.XLOOKUP(B1213,'Centro de Custo'!A$2:A$45,'Centro de Custo'!B$2:B$45)</f>
        <v>Investimentos</v>
      </c>
      <c r="E1213" s="39">
        <v>60000</v>
      </c>
      <c r="F1213" s="40"/>
      <c r="G1213" s="41">
        <v>46073</v>
      </c>
      <c r="H1213" s="42">
        <f>YEAR(Tabela3[[#This Row],[Data]])</f>
        <v>2026</v>
      </c>
      <c r="I1213" s="42" t="str">
        <f>_xlfn.XLOOKUP(J1213,'Centro de Custo'!J$2:J$13,'Centro de Custo'!K$2:K$13)</f>
        <v>Fevereiro</v>
      </c>
      <c r="J1213" s="43">
        <f>MONTH(Tabela3[[#This Row],[Data]])</f>
        <v>2</v>
      </c>
      <c r="K1213" s="39">
        <f>SUM(E$3:Tabela3[[#This Row],[Valor]])</f>
        <v>3630367.0800000005</v>
      </c>
      <c r="L1213" s="40">
        <f t="shared" si="18"/>
        <v>2.22375</v>
      </c>
      <c r="M1213" s="40"/>
      <c r="N1213" s="40"/>
      <c r="O1213" s="40"/>
      <c r="P1213" s="39"/>
      <c r="Q1213" s="39"/>
      <c r="R1213" s="39"/>
      <c r="S1213" s="39"/>
      <c r="T1213" s="39"/>
    </row>
    <row r="1214" spans="1:20" x14ac:dyDescent="0.25">
      <c r="A1214" t="s">
        <v>576</v>
      </c>
      <c r="B1214" s="37">
        <v>51</v>
      </c>
      <c r="C1214" t="str">
        <f>_xlfn.XLOOKUP(B1214,'Centro de Custo'!A$2:A$45,'Centro de Custo'!B$2:B$45)</f>
        <v>Invoke</v>
      </c>
      <c r="E1214" s="39">
        <v>-47000</v>
      </c>
      <c r="F1214" s="40"/>
      <c r="G1214" s="41">
        <v>46088</v>
      </c>
      <c r="H1214" s="42">
        <f>YEAR(Tabela3[[#This Row],[Data]])</f>
        <v>2026</v>
      </c>
      <c r="I1214" s="42" t="str">
        <f>_xlfn.XLOOKUP(J1214,'Centro de Custo'!J$2:J$13,'Centro de Custo'!K$2:K$13)</f>
        <v>Março</v>
      </c>
      <c r="J1214" s="43">
        <f>MONTH(Tabela3[[#This Row],[Data]])</f>
        <v>3</v>
      </c>
      <c r="K1214" s="39">
        <f>SUM(E$3:Tabela3[[#This Row],[Valor]])</f>
        <v>3583367.0800000005</v>
      </c>
      <c r="L1214" s="40">
        <f t="shared" si="18"/>
        <v>2.22375</v>
      </c>
      <c r="M1214" s="37"/>
      <c r="N1214" s="40"/>
      <c r="O1214" s="40"/>
      <c r="P1214" s="39"/>
      <c r="Q1214" s="39"/>
      <c r="R1214" s="39"/>
      <c r="S1214" s="39"/>
      <c r="T1214" s="39"/>
    </row>
    <row r="1215" spans="1:20" x14ac:dyDescent="0.25">
      <c r="A1215" t="s">
        <v>576</v>
      </c>
      <c r="B1215" s="37">
        <v>52</v>
      </c>
      <c r="C1215" t="str">
        <f>_xlfn.XLOOKUP(B1215,'Centro de Custo'!A$2:A$45,'Centro de Custo'!B$2:B$45)</f>
        <v>Guardião Escolar</v>
      </c>
      <c r="E1215" s="39">
        <v>-50000</v>
      </c>
      <c r="F1215" s="40"/>
      <c r="G1215" s="41">
        <v>46088</v>
      </c>
      <c r="H1215" s="42">
        <f>YEAR(Tabela3[[#This Row],[Data]])</f>
        <v>2026</v>
      </c>
      <c r="I1215" s="42" t="str">
        <f>_xlfn.XLOOKUP(J1215,'Centro de Custo'!J$2:J$13,'Centro de Custo'!K$2:K$13)</f>
        <v>Março</v>
      </c>
      <c r="J1215" s="43">
        <f>MONTH(Tabela3[[#This Row],[Data]])</f>
        <v>3</v>
      </c>
      <c r="K1215" s="39">
        <f>SUM(E$3:Tabela3[[#This Row],[Valor]])</f>
        <v>3533367.0800000005</v>
      </c>
      <c r="L1215" s="40">
        <f t="shared" si="18"/>
        <v>2.22375</v>
      </c>
      <c r="M1215" s="37"/>
      <c r="N1215" s="40"/>
      <c r="O1215" s="40"/>
      <c r="P1215" s="39"/>
      <c r="Q1215" s="39"/>
      <c r="R1215" s="39"/>
      <c r="S1215" s="39"/>
      <c r="T1215" s="39"/>
    </row>
    <row r="1216" spans="1:20" x14ac:dyDescent="0.25">
      <c r="A1216" t="s">
        <v>633</v>
      </c>
      <c r="B1216" s="37">
        <v>50</v>
      </c>
      <c r="C1216" t="str">
        <f>_xlfn.XLOOKUP(B1216,'Centro de Custo'!A$2:A$45,'Centro de Custo'!B$2:B$45)</f>
        <v>Empréstimos</v>
      </c>
      <c r="E1216" s="39">
        <v>100000</v>
      </c>
      <c r="F1216" s="40"/>
      <c r="G1216" s="41">
        <v>46101</v>
      </c>
      <c r="H1216" s="42">
        <f>YEAR(Tabela3[[#This Row],[Data]])</f>
        <v>2026</v>
      </c>
      <c r="I1216" s="42" t="str">
        <f>_xlfn.XLOOKUP(J1216,'Centro de Custo'!J$2:J$13,'Centro de Custo'!K$2:K$13)</f>
        <v>Março</v>
      </c>
      <c r="J1216" s="43">
        <f>MONTH(Tabela3[[#This Row],[Data]])</f>
        <v>3</v>
      </c>
      <c r="K1216" s="39">
        <f>SUM(E$3:Tabela3[[#This Row],[Valor]])</f>
        <v>3633367.0800000005</v>
      </c>
      <c r="L1216" s="40">
        <f t="shared" si="18"/>
        <v>2.22375</v>
      </c>
      <c r="M1216" s="40"/>
      <c r="N1216" s="40"/>
      <c r="O1216" s="40"/>
      <c r="P1216" s="39"/>
      <c r="Q1216" s="39"/>
      <c r="R1216" s="39"/>
      <c r="S1216" s="39"/>
      <c r="T1216" s="39"/>
    </row>
    <row r="1217" spans="1:20" x14ac:dyDescent="0.25">
      <c r="A1217" t="s">
        <v>621</v>
      </c>
      <c r="B1217" s="37">
        <v>3</v>
      </c>
      <c r="C1217" t="str">
        <f>_xlfn.XLOOKUP(B1217,'Centro de Custo'!A$2:A$45,'Centro de Custo'!B$2:B$45)</f>
        <v>Investimentos</v>
      </c>
      <c r="E1217" s="39">
        <v>60000</v>
      </c>
      <c r="F1217" s="40"/>
      <c r="G1217" s="41">
        <v>46101</v>
      </c>
      <c r="H1217" s="42">
        <f>YEAR(Tabela3[[#This Row],[Data]])</f>
        <v>2026</v>
      </c>
      <c r="I1217" s="42" t="str">
        <f>_xlfn.XLOOKUP(J1217,'Centro de Custo'!J$2:J$13,'Centro de Custo'!K$2:K$13)</f>
        <v>Março</v>
      </c>
      <c r="J1217" s="43">
        <f>MONTH(Tabela3[[#This Row],[Data]])</f>
        <v>3</v>
      </c>
      <c r="K1217" s="39">
        <f>SUM(E$3:Tabela3[[#This Row],[Valor]])</f>
        <v>3693367.0800000005</v>
      </c>
      <c r="L1217" s="40">
        <f t="shared" si="18"/>
        <v>2.22375</v>
      </c>
      <c r="M1217" s="40"/>
      <c r="N1217" s="40"/>
      <c r="O1217" s="40"/>
      <c r="P1217" s="39"/>
      <c r="Q1217" s="39"/>
      <c r="R1217" s="39"/>
      <c r="S1217" s="39"/>
      <c r="T1217" s="39"/>
    </row>
    <row r="1218" spans="1:20" x14ac:dyDescent="0.25">
      <c r="A1218" t="s">
        <v>637</v>
      </c>
      <c r="B1218" s="37">
        <v>20</v>
      </c>
      <c r="C1218" t="str">
        <f>_xlfn.XLOOKUP(B1218,'Centro de Custo'!A$2:A$45,'Centro de Custo'!B$2:B$45)</f>
        <v>Desp. ADM</v>
      </c>
      <c r="E1218" s="39">
        <v>0</v>
      </c>
      <c r="F1218" s="40"/>
      <c r="G1218" s="41">
        <v>46101</v>
      </c>
      <c r="H1218" s="42">
        <f>YEAR(Tabela3[[#This Row],[Data]])</f>
        <v>2026</v>
      </c>
      <c r="I1218" s="42" t="str">
        <f>_xlfn.XLOOKUP(J1218,'Centro de Custo'!J$2:J$13,'Centro de Custo'!K$2:K$13)</f>
        <v>Março</v>
      </c>
      <c r="J1218" s="43">
        <f>MONTH(Tabela3[[#This Row],[Data]])</f>
        <v>3</v>
      </c>
      <c r="K1218" s="39">
        <f>SUM(E$3:Tabela3[[#This Row],[Valor]])</f>
        <v>3693367.0800000005</v>
      </c>
      <c r="L1218" s="40">
        <f t="shared" si="18"/>
        <v>2.22375</v>
      </c>
      <c r="M1218" s="40"/>
      <c r="N1218" s="40"/>
      <c r="O1218" s="40"/>
      <c r="P1218" s="39"/>
      <c r="Q1218" s="39"/>
      <c r="R1218" s="39"/>
      <c r="S1218" s="39"/>
      <c r="T1218" s="39"/>
    </row>
    <row r="1219" spans="1:20" x14ac:dyDescent="0.25">
      <c r="A1219" t="s">
        <v>638</v>
      </c>
      <c r="B1219" s="37">
        <v>20</v>
      </c>
      <c r="C1219" t="str">
        <f>_xlfn.XLOOKUP(B1219,'Centro de Custo'!A$2:A$45,'Centro de Custo'!B$2:B$45)</f>
        <v>Desp. ADM</v>
      </c>
      <c r="E1219" s="39">
        <v>-8000</v>
      </c>
      <c r="F1219" s="40"/>
      <c r="G1219" s="41">
        <v>46101</v>
      </c>
      <c r="H1219" s="42">
        <f>YEAR(Tabela3[[#This Row],[Data]])</f>
        <v>2026</v>
      </c>
      <c r="I1219" s="42" t="str">
        <f>_xlfn.XLOOKUP(J1219,'Centro de Custo'!J$2:J$13,'Centro de Custo'!K$2:K$13)</f>
        <v>Março</v>
      </c>
      <c r="J1219" s="43">
        <f>MONTH(Tabela3[[#This Row],[Data]])</f>
        <v>3</v>
      </c>
      <c r="K1219" s="39">
        <f>SUM(E$3:Tabela3[[#This Row],[Valor]])</f>
        <v>3685367.0800000005</v>
      </c>
      <c r="L1219" s="40">
        <f t="shared" ref="L1219:L1282" si="19">17.79/8</f>
        <v>2.22375</v>
      </c>
      <c r="M1219" s="40"/>
      <c r="N1219" s="40"/>
      <c r="O1219" s="40"/>
      <c r="P1219" s="39"/>
      <c r="Q1219" s="39"/>
      <c r="R1219" s="39"/>
      <c r="S1219" s="39"/>
      <c r="T1219" s="39"/>
    </row>
    <row r="1220" spans="1:20" x14ac:dyDescent="0.25">
      <c r="A1220" t="s">
        <v>576</v>
      </c>
      <c r="B1220" s="37">
        <v>51</v>
      </c>
      <c r="C1220" t="str">
        <f>_xlfn.XLOOKUP(B1220,'Centro de Custo'!A$2:A$45,'Centro de Custo'!B$2:B$45)</f>
        <v>Invoke</v>
      </c>
      <c r="E1220" s="39">
        <v>-46000</v>
      </c>
      <c r="F1220" s="40"/>
      <c r="G1220" s="41">
        <v>46119</v>
      </c>
      <c r="H1220" s="42">
        <f>YEAR(Tabela3[[#This Row],[Data]])</f>
        <v>2026</v>
      </c>
      <c r="I1220" s="42" t="str">
        <f>_xlfn.XLOOKUP(J1220,'Centro de Custo'!J$2:J$13,'Centro de Custo'!K$2:K$13)</f>
        <v>Abril</v>
      </c>
      <c r="J1220" s="43">
        <f>MONTH(Tabela3[[#This Row],[Data]])</f>
        <v>4</v>
      </c>
      <c r="K1220" s="39">
        <f>SUM(E$3:Tabela3[[#This Row],[Valor]])</f>
        <v>3639367.0800000005</v>
      </c>
      <c r="L1220" s="40">
        <f t="shared" si="19"/>
        <v>2.22375</v>
      </c>
      <c r="M1220" s="37"/>
      <c r="N1220" s="40"/>
      <c r="O1220" s="40"/>
      <c r="P1220" s="39"/>
      <c r="Q1220" s="39"/>
      <c r="R1220" s="39"/>
      <c r="S1220" s="39"/>
      <c r="T1220" s="39"/>
    </row>
    <row r="1221" spans="1:20" x14ac:dyDescent="0.25">
      <c r="A1221" t="s">
        <v>621</v>
      </c>
      <c r="B1221" s="37">
        <v>3</v>
      </c>
      <c r="C1221" t="str">
        <f>_xlfn.XLOOKUP(B1221,'Centro de Custo'!A$2:A$45,'Centro de Custo'!B$2:B$45)</f>
        <v>Investimentos</v>
      </c>
      <c r="E1221" s="39">
        <v>60000</v>
      </c>
      <c r="F1221" s="40"/>
      <c r="G1221" s="41">
        <v>46132</v>
      </c>
      <c r="H1221" s="42">
        <f>YEAR(Tabela3[[#This Row],[Data]])</f>
        <v>2026</v>
      </c>
      <c r="I1221" s="42" t="str">
        <f>_xlfn.XLOOKUP(J1221,'Centro de Custo'!J$2:J$13,'Centro de Custo'!K$2:K$13)</f>
        <v>Abril</v>
      </c>
      <c r="J1221" s="43">
        <f>MONTH(Tabela3[[#This Row],[Data]])</f>
        <v>4</v>
      </c>
      <c r="K1221" s="39">
        <f>SUM(E$3:Tabela3[[#This Row],[Valor]])</f>
        <v>3699367.0800000005</v>
      </c>
      <c r="L1221" s="40">
        <f t="shared" si="19"/>
        <v>2.22375</v>
      </c>
      <c r="M1221" s="40"/>
      <c r="N1221" s="40"/>
      <c r="O1221" s="40"/>
      <c r="P1221" s="39"/>
      <c r="Q1221" s="39"/>
      <c r="R1221" s="39"/>
      <c r="S1221" s="39"/>
      <c r="T1221" s="39"/>
    </row>
    <row r="1222" spans="1:20" x14ac:dyDescent="0.25">
      <c r="A1222" t="s">
        <v>639</v>
      </c>
      <c r="B1222" s="37">
        <v>20</v>
      </c>
      <c r="C1222" t="str">
        <f>_xlfn.XLOOKUP(B1222,'Centro de Custo'!A$2:A$45,'Centro de Custo'!B$2:B$45)</f>
        <v>Desp. ADM</v>
      </c>
      <c r="E1222" s="39">
        <v>5660</v>
      </c>
      <c r="F1222" s="40"/>
      <c r="G1222" s="41">
        <v>46152</v>
      </c>
      <c r="H1222" s="42">
        <f>YEAR(Tabela3[[#This Row],[Data]])</f>
        <v>2026</v>
      </c>
      <c r="I1222" s="42" t="str">
        <f>_xlfn.XLOOKUP(J1222,'Centro de Custo'!J$2:J$13,'Centro de Custo'!K$2:K$13)</f>
        <v>Maio</v>
      </c>
      <c r="J1222" s="43">
        <f>MONTH(Tabela3[[#This Row],[Data]])</f>
        <v>5</v>
      </c>
      <c r="K1222" s="39">
        <f>SUM(E$3:Tabela3[[#This Row],[Valor]])</f>
        <v>3705027.0800000005</v>
      </c>
      <c r="L1222" s="40">
        <f t="shared" si="19"/>
        <v>2.22375</v>
      </c>
      <c r="M1222" s="40"/>
      <c r="N1222" s="40"/>
      <c r="O1222" s="40"/>
      <c r="P1222" s="39"/>
      <c r="Q1222" s="39"/>
      <c r="R1222" s="39"/>
      <c r="S1222" s="39"/>
      <c r="T1222" s="39"/>
    </row>
    <row r="1223" spans="1:20" x14ac:dyDescent="0.25">
      <c r="A1223" t="s">
        <v>621</v>
      </c>
      <c r="B1223" s="37">
        <v>3</v>
      </c>
      <c r="C1223" t="str">
        <f>_xlfn.XLOOKUP(B1223,'Centro de Custo'!A$2:A$45,'Centro de Custo'!B$2:B$45)</f>
        <v>Investimentos</v>
      </c>
      <c r="E1223" s="39">
        <v>60000</v>
      </c>
      <c r="F1223" s="40"/>
      <c r="G1223" s="41">
        <v>46162</v>
      </c>
      <c r="H1223" s="42">
        <f>YEAR(Tabela3[[#This Row],[Data]])</f>
        <v>2026</v>
      </c>
      <c r="I1223" s="42" t="str">
        <f>_xlfn.XLOOKUP(J1223,'Centro de Custo'!J$2:J$13,'Centro de Custo'!K$2:K$13)</f>
        <v>Maio</v>
      </c>
      <c r="J1223" s="43">
        <f>MONTH(Tabela3[[#This Row],[Data]])</f>
        <v>5</v>
      </c>
      <c r="K1223" s="39">
        <f>SUM(E$3:Tabela3[[#This Row],[Valor]])</f>
        <v>3765027.0800000005</v>
      </c>
      <c r="L1223" s="40">
        <f t="shared" si="19"/>
        <v>2.22375</v>
      </c>
      <c r="M1223" s="40"/>
      <c r="N1223" s="40"/>
      <c r="O1223" s="40"/>
      <c r="P1223" s="39"/>
      <c r="Q1223" s="39"/>
      <c r="R1223" s="39"/>
      <c r="S1223" s="39"/>
      <c r="T1223" s="39"/>
    </row>
    <row r="1224" spans="1:20" x14ac:dyDescent="0.25">
      <c r="A1224" t="s">
        <v>633</v>
      </c>
      <c r="B1224" s="37">
        <v>50</v>
      </c>
      <c r="C1224" t="str">
        <f>_xlfn.XLOOKUP(B1224,'Centro de Custo'!A$2:A$45,'Centro de Custo'!B$2:B$45)</f>
        <v>Empréstimos</v>
      </c>
      <c r="E1224" s="39">
        <v>125000</v>
      </c>
      <c r="F1224" s="40"/>
      <c r="G1224" s="41">
        <v>46193</v>
      </c>
      <c r="H1224" s="42">
        <f>YEAR(Tabela3[[#This Row],[Data]])</f>
        <v>2026</v>
      </c>
      <c r="I1224" s="42" t="str">
        <f>_xlfn.XLOOKUP(J1224,'Centro de Custo'!J$2:J$13,'Centro de Custo'!K$2:K$13)</f>
        <v>Junho</v>
      </c>
      <c r="J1224" s="43">
        <f>MONTH(Tabela3[[#This Row],[Data]])</f>
        <v>6</v>
      </c>
      <c r="K1224" s="39">
        <f>SUM(E$3:Tabela3[[#This Row],[Valor]])</f>
        <v>3890027.0800000005</v>
      </c>
      <c r="L1224" s="40">
        <f t="shared" si="19"/>
        <v>2.22375</v>
      </c>
      <c r="M1224" s="40"/>
      <c r="N1224" s="40"/>
      <c r="O1224" s="40"/>
      <c r="P1224" s="39"/>
      <c r="Q1224" s="39"/>
      <c r="R1224" s="39"/>
      <c r="S1224" s="39"/>
      <c r="T1224" s="39"/>
    </row>
    <row r="1225" spans="1:20" x14ac:dyDescent="0.25">
      <c r="A1225" t="s">
        <v>621</v>
      </c>
      <c r="B1225" s="37">
        <v>3</v>
      </c>
      <c r="C1225" t="str">
        <f>_xlfn.XLOOKUP(B1225,'Centro de Custo'!A$2:A$45,'Centro de Custo'!B$2:B$45)</f>
        <v>Investimentos</v>
      </c>
      <c r="E1225" s="39">
        <v>60000</v>
      </c>
      <c r="F1225" s="40"/>
      <c r="G1225" s="41">
        <v>46193</v>
      </c>
      <c r="H1225" s="42">
        <f>YEAR(Tabela3[[#This Row],[Data]])</f>
        <v>2026</v>
      </c>
      <c r="I1225" s="42" t="str">
        <f>_xlfn.XLOOKUP(J1225,'Centro de Custo'!J$2:J$13,'Centro de Custo'!K$2:K$13)</f>
        <v>Junho</v>
      </c>
      <c r="J1225" s="43">
        <f>MONTH(Tabela3[[#This Row],[Data]])</f>
        <v>6</v>
      </c>
      <c r="K1225" s="39">
        <f>SUM(E$3:Tabela3[[#This Row],[Valor]])</f>
        <v>3950027.0800000005</v>
      </c>
      <c r="L1225" s="40">
        <f t="shared" si="19"/>
        <v>2.22375</v>
      </c>
      <c r="M1225" s="40"/>
      <c r="N1225" s="40"/>
      <c r="O1225" s="40"/>
      <c r="P1225" s="39"/>
      <c r="Q1225" s="39"/>
      <c r="R1225" s="39"/>
      <c r="S1225" s="39"/>
      <c r="T1225" s="39"/>
    </row>
    <row r="1226" spans="1:20" x14ac:dyDescent="0.25">
      <c r="A1226" t="s">
        <v>621</v>
      </c>
      <c r="B1226" s="37">
        <v>3</v>
      </c>
      <c r="C1226" t="str">
        <f>_xlfn.XLOOKUP(B1226,'Centro de Custo'!A$2:A$45,'Centro de Custo'!B$2:B$45)</f>
        <v>Investimentos</v>
      </c>
      <c r="E1226" s="39">
        <v>60000</v>
      </c>
      <c r="F1226" s="40"/>
      <c r="G1226" s="41">
        <v>46223</v>
      </c>
      <c r="H1226" s="42">
        <f>YEAR(Tabela3[[#This Row],[Data]])</f>
        <v>2026</v>
      </c>
      <c r="I1226" s="42" t="str">
        <f>_xlfn.XLOOKUP(J1226,'Centro de Custo'!J$2:J$13,'Centro de Custo'!K$2:K$13)</f>
        <v>Julho</v>
      </c>
      <c r="J1226" s="43">
        <f>MONTH(Tabela3[[#This Row],[Data]])</f>
        <v>7</v>
      </c>
      <c r="K1226" s="39">
        <f>SUM(E$3:Tabela3[[#This Row],[Valor]])</f>
        <v>4010027.0800000005</v>
      </c>
      <c r="L1226" s="40">
        <f t="shared" si="19"/>
        <v>2.22375</v>
      </c>
      <c r="M1226" s="40"/>
      <c r="N1226" s="40"/>
      <c r="O1226" s="40"/>
      <c r="P1226" s="39"/>
      <c r="Q1226" s="39"/>
      <c r="R1226" s="39"/>
      <c r="S1226" s="39"/>
      <c r="T1226" s="39"/>
    </row>
    <row r="1227" spans="1:20" x14ac:dyDescent="0.25">
      <c r="A1227" t="s">
        <v>621</v>
      </c>
      <c r="B1227" s="37">
        <v>3</v>
      </c>
      <c r="C1227" t="str">
        <f>_xlfn.XLOOKUP(B1227,'Centro de Custo'!A$2:A$45,'Centro de Custo'!B$2:B$45)</f>
        <v>Investimentos</v>
      </c>
      <c r="E1227" s="39">
        <v>60000</v>
      </c>
      <c r="F1227" s="40"/>
      <c r="G1227" s="41">
        <v>46254</v>
      </c>
      <c r="H1227" s="42">
        <f>YEAR(Tabela3[[#This Row],[Data]])</f>
        <v>2026</v>
      </c>
      <c r="I1227" s="42" t="str">
        <f>_xlfn.XLOOKUP(J1227,'Centro de Custo'!J$2:J$13,'Centro de Custo'!K$2:K$13)</f>
        <v>Agosto</v>
      </c>
      <c r="J1227" s="43">
        <f>MONTH(Tabela3[[#This Row],[Data]])</f>
        <v>8</v>
      </c>
      <c r="K1227" s="39">
        <f>SUM(E$3:Tabela3[[#This Row],[Valor]])</f>
        <v>4070027.0800000005</v>
      </c>
      <c r="L1227" s="40">
        <f t="shared" si="19"/>
        <v>2.22375</v>
      </c>
      <c r="M1227" s="40"/>
      <c r="N1227" s="40"/>
      <c r="O1227" s="40"/>
      <c r="P1227" s="39"/>
      <c r="Q1227" s="39"/>
      <c r="R1227" s="39"/>
      <c r="S1227" s="39"/>
      <c r="T1227" s="39"/>
    </row>
    <row r="1228" spans="1:20" x14ac:dyDescent="0.25">
      <c r="A1228" t="s">
        <v>621</v>
      </c>
      <c r="B1228" s="37">
        <v>3</v>
      </c>
      <c r="C1228" t="str">
        <f>_xlfn.XLOOKUP(B1228,'Centro de Custo'!A$2:A$45,'Centro de Custo'!B$2:B$45)</f>
        <v>Investimentos</v>
      </c>
      <c r="E1228" s="39">
        <v>60000</v>
      </c>
      <c r="F1228" s="40"/>
      <c r="G1228" s="41">
        <v>46285</v>
      </c>
      <c r="H1228" s="42">
        <f>YEAR(Tabela3[[#This Row],[Data]])</f>
        <v>2026</v>
      </c>
      <c r="I1228" s="42" t="str">
        <f>_xlfn.XLOOKUP(J1228,'Centro de Custo'!J$2:J$13,'Centro de Custo'!K$2:K$13)</f>
        <v>Setembro</v>
      </c>
      <c r="J1228" s="43">
        <f>MONTH(Tabela3[[#This Row],[Data]])</f>
        <v>9</v>
      </c>
      <c r="K1228" s="39">
        <f>SUM(E$3:Tabela3[[#This Row],[Valor]])</f>
        <v>4130027.0800000005</v>
      </c>
      <c r="L1228" s="40">
        <f t="shared" si="19"/>
        <v>2.22375</v>
      </c>
      <c r="M1228" s="40"/>
      <c r="N1228" s="40"/>
      <c r="O1228" s="40"/>
      <c r="P1228" s="39"/>
      <c r="Q1228" s="39"/>
      <c r="R1228" s="39"/>
      <c r="S1228" s="39"/>
      <c r="T1228" s="39"/>
    </row>
    <row r="1229" spans="1:20" x14ac:dyDescent="0.25">
      <c r="A1229" t="s">
        <v>611</v>
      </c>
      <c r="B1229" s="37">
        <v>20</v>
      </c>
      <c r="C1229" t="str">
        <f>_xlfn.XLOOKUP(B1229,'Centro de Custo'!A$2:A$45,'Centro de Custo'!B$2:B$45)</f>
        <v>Desp. ADM</v>
      </c>
      <c r="E1229" s="39">
        <v>81000</v>
      </c>
      <c r="F1229" s="40"/>
      <c r="G1229" s="41">
        <v>46336</v>
      </c>
      <c r="H1229" s="42">
        <f>YEAR(Tabela3[[#This Row],[Data]])</f>
        <v>2026</v>
      </c>
      <c r="I1229" s="42" t="str">
        <f>_xlfn.XLOOKUP(J1229,'Centro de Custo'!J$2:J$13,'Centro de Custo'!K$2:K$13)</f>
        <v>Novembro</v>
      </c>
      <c r="J1229" s="43">
        <f>MONTH(Tabela3[[#This Row],[Data]])</f>
        <v>11</v>
      </c>
      <c r="K1229" s="39">
        <f>SUM(E$3:Tabela3[[#This Row],[Valor]])</f>
        <v>4211027.08</v>
      </c>
      <c r="L1229" s="40">
        <f t="shared" si="19"/>
        <v>2.22375</v>
      </c>
      <c r="M1229" s="40"/>
      <c r="N1229" s="40"/>
      <c r="O1229" s="40"/>
      <c r="P1229" s="39"/>
      <c r="Q1229" s="39"/>
      <c r="R1229" s="39"/>
      <c r="S1229" s="39"/>
      <c r="T1229" s="39"/>
    </row>
    <row r="1230" spans="1:20" x14ac:dyDescent="0.25">
      <c r="A1230" t="s">
        <v>610</v>
      </c>
      <c r="B1230" s="37">
        <v>20</v>
      </c>
      <c r="C1230" t="str">
        <f>_xlfn.XLOOKUP(B1230,'Centro de Custo'!A$2:A$45,'Centro de Custo'!B$2:B$45)</f>
        <v>Desp. ADM</v>
      </c>
      <c r="E1230" s="39">
        <v>25000</v>
      </c>
      <c r="F1230" s="40"/>
      <c r="G1230" s="41">
        <v>46336</v>
      </c>
      <c r="H1230" s="42">
        <f>YEAR(Tabela3[[#This Row],[Data]])</f>
        <v>2026</v>
      </c>
      <c r="I1230" s="42" t="str">
        <f>_xlfn.XLOOKUP(J1230,'Centro de Custo'!J$2:J$13,'Centro de Custo'!K$2:K$13)</f>
        <v>Novembro</v>
      </c>
      <c r="J1230" s="43">
        <f>MONTH(Tabela3[[#This Row],[Data]])</f>
        <v>11</v>
      </c>
      <c r="K1230" s="39">
        <f>SUM(E$3:Tabela3[[#This Row],[Valor]])</f>
        <v>4236027.08</v>
      </c>
      <c r="L1230" s="40">
        <f t="shared" si="19"/>
        <v>2.22375</v>
      </c>
      <c r="M1230" s="40"/>
      <c r="N1230" s="40"/>
      <c r="O1230" s="40"/>
      <c r="P1230" s="39"/>
      <c r="Q1230" s="39"/>
      <c r="R1230" s="39"/>
      <c r="S1230" s="39"/>
      <c r="T1230" s="39"/>
    </row>
    <row r="1231" spans="2:20" x14ac:dyDescent="0.25">
      <c r="B1231" s="37"/>
      <c r="C1231">
        <f>_xlfn.XLOOKUP(B1231,'Centro de Custo'!A$2:A$45,'Centro de Custo'!B$2:B$45)</f>
        <v>0</v>
      </c>
      <c r="E1231" s="39"/>
      <c r="F1231" s="40"/>
      <c r="G1231" s="41"/>
      <c r="H1231" s="42">
        <f>YEAR(Tabela3[[#This Row],[Data]])</f>
        <v>1900</v>
      </c>
      <c r="I1231" s="42" t="str">
        <f>_xlfn.XLOOKUP(J1231,'Centro de Custo'!J$2:J$13,'Centro de Custo'!K$2:K$13)</f>
        <v>Janeiro</v>
      </c>
      <c r="J1231" s="43">
        <f>MONTH(Tabela3[[#This Row],[Data]])</f>
        <v>1</v>
      </c>
      <c r="K1231" s="39">
        <f>SUM(E$3:Tabela3[[#This Row],[Valor]])</f>
        <v>4236027.08</v>
      </c>
      <c r="L1231" s="40">
        <f t="shared" si="19"/>
        <v>2.22375</v>
      </c>
      <c r="M1231" s="40"/>
      <c r="N1231" s="40"/>
      <c r="O1231" s="40"/>
      <c r="P1231" s="39"/>
      <c r="Q1231" s="39"/>
      <c r="R1231" s="39"/>
      <c r="S1231" s="39"/>
      <c r="T1231" s="39"/>
    </row>
    <row r="1232" spans="2:20" x14ac:dyDescent="0.25">
      <c r="B1232" s="37"/>
      <c r="C1232">
        <f>_xlfn.XLOOKUP(B1232,'Centro de Custo'!A$2:A$45,'Centro de Custo'!B$2:B$45)</f>
        <v>0</v>
      </c>
      <c r="E1232" s="39"/>
      <c r="F1232" s="40"/>
      <c r="G1232" s="41"/>
      <c r="H1232" s="42">
        <f>YEAR(Tabela3[[#This Row],[Data]])</f>
        <v>1900</v>
      </c>
      <c r="I1232" s="42" t="str">
        <f>_xlfn.XLOOKUP(J1232,'Centro de Custo'!J$2:J$13,'Centro de Custo'!K$2:K$13)</f>
        <v>Janeiro</v>
      </c>
      <c r="J1232" s="43">
        <f>MONTH(Tabela3[[#This Row],[Data]])</f>
        <v>1</v>
      </c>
      <c r="K1232" s="39">
        <f>SUM(E$3:Tabela3[[#This Row],[Valor]])</f>
        <v>4236027.08</v>
      </c>
      <c r="L1232" s="40">
        <f t="shared" si="19"/>
        <v>2.22375</v>
      </c>
      <c r="M1232" s="40"/>
      <c r="N1232" s="40"/>
      <c r="O1232" s="40"/>
      <c r="P1232" s="39"/>
      <c r="Q1232" s="39"/>
      <c r="R1232" s="39"/>
      <c r="S1232" s="39"/>
      <c r="T1232" s="39"/>
    </row>
    <row r="1233" spans="2:20" x14ac:dyDescent="0.25">
      <c r="B1233" s="37"/>
      <c r="C1233">
        <f>_xlfn.XLOOKUP(B1233,'Centro de Custo'!A$2:A$45,'Centro de Custo'!B$2:B$45)</f>
        <v>0</v>
      </c>
      <c r="E1233" s="39"/>
      <c r="F1233" s="40"/>
      <c r="G1233" s="41"/>
      <c r="H1233" s="42">
        <f>YEAR(Tabela3[[#This Row],[Data]])</f>
        <v>1900</v>
      </c>
      <c r="I1233" s="42" t="str">
        <f>_xlfn.XLOOKUP(J1233,'Centro de Custo'!J$2:J$13,'Centro de Custo'!K$2:K$13)</f>
        <v>Janeiro</v>
      </c>
      <c r="J1233" s="43">
        <f>MONTH(Tabela3[[#This Row],[Data]])</f>
        <v>1</v>
      </c>
      <c r="K1233" s="39">
        <f>SUM(E$3:Tabela3[[#This Row],[Valor]])</f>
        <v>4236027.08</v>
      </c>
      <c r="L1233" s="40">
        <f t="shared" si="19"/>
        <v>2.22375</v>
      </c>
      <c r="M1233" s="40"/>
      <c r="N1233" s="40"/>
      <c r="O1233" s="40"/>
      <c r="P1233" s="39"/>
      <c r="Q1233" s="39"/>
      <c r="R1233" s="39"/>
      <c r="S1233" s="39"/>
      <c r="T1233" s="39"/>
    </row>
    <row r="1234" spans="2:20" x14ac:dyDescent="0.25">
      <c r="B1234" s="37"/>
      <c r="C1234">
        <f>_xlfn.XLOOKUP(B1234,'Centro de Custo'!A$2:A$45,'Centro de Custo'!B$2:B$45)</f>
        <v>0</v>
      </c>
      <c r="E1234" s="39"/>
      <c r="F1234" s="40"/>
      <c r="G1234" s="41"/>
      <c r="H1234" s="42">
        <f>YEAR(Tabela3[[#This Row],[Data]])</f>
        <v>1900</v>
      </c>
      <c r="I1234" s="42" t="str">
        <f>_xlfn.XLOOKUP(J1234,'Centro de Custo'!J$2:J$13,'Centro de Custo'!K$2:K$13)</f>
        <v>Janeiro</v>
      </c>
      <c r="J1234" s="43">
        <f>MONTH(Tabela3[[#This Row],[Data]])</f>
        <v>1</v>
      </c>
      <c r="K1234" s="39">
        <f>SUM(E$3:Tabela3[[#This Row],[Valor]])</f>
        <v>4236027.08</v>
      </c>
      <c r="L1234" s="40">
        <f t="shared" si="19"/>
        <v>2.22375</v>
      </c>
      <c r="M1234" s="40"/>
      <c r="N1234" s="40"/>
      <c r="O1234" s="40"/>
      <c r="P1234" s="39"/>
      <c r="Q1234" s="39"/>
      <c r="R1234" s="39"/>
      <c r="S1234" s="39"/>
      <c r="T1234" s="39"/>
    </row>
    <row r="1235" spans="2:20" x14ac:dyDescent="0.25">
      <c r="B1235" s="37"/>
      <c r="C1235">
        <f>_xlfn.XLOOKUP(B1235,'Centro de Custo'!A$2:A$45,'Centro de Custo'!B$2:B$45)</f>
        <v>0</v>
      </c>
      <c r="E1235" s="39"/>
      <c r="F1235" s="40"/>
      <c r="G1235" s="41"/>
      <c r="H1235" s="42">
        <f>YEAR(Tabela3[[#This Row],[Data]])</f>
        <v>1900</v>
      </c>
      <c r="I1235" s="42" t="str">
        <f>_xlfn.XLOOKUP(J1235,'Centro de Custo'!J$2:J$13,'Centro de Custo'!K$2:K$13)</f>
        <v>Janeiro</v>
      </c>
      <c r="J1235" s="43">
        <f>MONTH(Tabela3[[#This Row],[Data]])</f>
        <v>1</v>
      </c>
      <c r="K1235" s="39">
        <f>SUM(E$3:Tabela3[[#This Row],[Valor]])</f>
        <v>4236027.08</v>
      </c>
      <c r="L1235" s="40">
        <f t="shared" si="19"/>
        <v>2.22375</v>
      </c>
      <c r="M1235" s="40"/>
      <c r="N1235" s="40"/>
      <c r="O1235" s="40"/>
      <c r="P1235" s="39"/>
      <c r="Q1235" s="39"/>
      <c r="R1235" s="39"/>
      <c r="S1235" s="39"/>
      <c r="T1235" s="39"/>
    </row>
    <row r="1236" spans="2:20" x14ac:dyDescent="0.25">
      <c r="B1236" s="37"/>
      <c r="C1236">
        <f>_xlfn.XLOOKUP(B1236,'Centro de Custo'!A$2:A$45,'Centro de Custo'!B$2:B$45)</f>
        <v>0</v>
      </c>
      <c r="E1236" s="39"/>
      <c r="F1236" s="40"/>
      <c r="G1236" s="41"/>
      <c r="H1236" s="42">
        <f>YEAR(Tabela3[[#This Row],[Data]])</f>
        <v>1900</v>
      </c>
      <c r="I1236" s="42" t="str">
        <f>_xlfn.XLOOKUP(J1236,'Centro de Custo'!J$2:J$13,'Centro de Custo'!K$2:K$13)</f>
        <v>Janeiro</v>
      </c>
      <c r="J1236" s="43">
        <f>MONTH(Tabela3[[#This Row],[Data]])</f>
        <v>1</v>
      </c>
      <c r="K1236" s="39">
        <f>SUM(E$3:Tabela3[[#This Row],[Valor]])</f>
        <v>4236027.08</v>
      </c>
      <c r="L1236" s="40">
        <f t="shared" si="19"/>
        <v>2.22375</v>
      </c>
      <c r="M1236" s="40"/>
      <c r="N1236" s="40"/>
      <c r="O1236" s="40"/>
      <c r="P1236" s="39"/>
      <c r="Q1236" s="39"/>
      <c r="R1236" s="39"/>
      <c r="S1236" s="39"/>
      <c r="T1236" s="39"/>
    </row>
    <row r="1237" spans="2:20" x14ac:dyDescent="0.25">
      <c r="B1237" s="37"/>
      <c r="C1237">
        <f>_xlfn.XLOOKUP(B1237,'Centro de Custo'!A$2:A$45,'Centro de Custo'!B$2:B$45)</f>
        <v>0</v>
      </c>
      <c r="E1237" s="39"/>
      <c r="F1237" s="40"/>
      <c r="G1237" s="41"/>
      <c r="H1237" s="42">
        <f>YEAR(Tabela3[[#This Row],[Data]])</f>
        <v>1900</v>
      </c>
      <c r="I1237" s="42" t="str">
        <f>_xlfn.XLOOKUP(J1237,'Centro de Custo'!J$2:J$13,'Centro de Custo'!K$2:K$13)</f>
        <v>Janeiro</v>
      </c>
      <c r="J1237" s="43">
        <f>MONTH(Tabela3[[#This Row],[Data]])</f>
        <v>1</v>
      </c>
      <c r="K1237" s="39">
        <f>SUM(E$3:Tabela3[[#This Row],[Valor]])</f>
        <v>4236027.08</v>
      </c>
      <c r="L1237" s="40">
        <f t="shared" si="19"/>
        <v>2.22375</v>
      </c>
      <c r="M1237" s="40"/>
      <c r="N1237" s="40"/>
      <c r="O1237" s="40"/>
      <c r="P1237" s="39"/>
      <c r="Q1237" s="39"/>
      <c r="R1237" s="39"/>
      <c r="S1237" s="39"/>
      <c r="T1237" s="39"/>
    </row>
    <row r="1238" spans="2:20" x14ac:dyDescent="0.25">
      <c r="B1238" s="37"/>
      <c r="C1238">
        <f>_xlfn.XLOOKUP(B1238,'Centro de Custo'!A$2:A$45,'Centro de Custo'!B$2:B$45)</f>
        <v>0</v>
      </c>
      <c r="E1238" s="39"/>
      <c r="F1238" s="40"/>
      <c r="G1238" s="41"/>
      <c r="H1238" s="42">
        <f>YEAR(Tabela3[[#This Row],[Data]])</f>
        <v>1900</v>
      </c>
      <c r="I1238" s="42" t="str">
        <f>_xlfn.XLOOKUP(J1238,'Centro de Custo'!J$2:J$13,'Centro de Custo'!K$2:K$13)</f>
        <v>Janeiro</v>
      </c>
      <c r="J1238" s="43">
        <f>MONTH(Tabela3[[#This Row],[Data]])</f>
        <v>1</v>
      </c>
      <c r="K1238" s="39">
        <f>SUM(E$3:Tabela3[[#This Row],[Valor]])</f>
        <v>4236027.08</v>
      </c>
      <c r="L1238" s="40">
        <f t="shared" si="19"/>
        <v>2.22375</v>
      </c>
      <c r="M1238" s="40"/>
      <c r="N1238" s="40"/>
      <c r="O1238" s="40"/>
      <c r="P1238" s="39"/>
      <c r="Q1238" s="39"/>
      <c r="R1238" s="39"/>
      <c r="S1238" s="39"/>
      <c r="T1238" s="39"/>
    </row>
    <row r="1239" spans="2:20" x14ac:dyDescent="0.25">
      <c r="B1239" s="37"/>
      <c r="C1239">
        <f>_xlfn.XLOOKUP(B1239,'Centro de Custo'!A$2:A$45,'Centro de Custo'!B$2:B$45)</f>
        <v>0</v>
      </c>
      <c r="E1239" s="39"/>
      <c r="F1239" s="40"/>
      <c r="G1239" s="41"/>
      <c r="H1239" s="42">
        <f>YEAR(Tabela3[[#This Row],[Data]])</f>
        <v>1900</v>
      </c>
      <c r="I1239" s="42" t="str">
        <f>_xlfn.XLOOKUP(J1239,'Centro de Custo'!J$2:J$13,'Centro de Custo'!K$2:K$13)</f>
        <v>Janeiro</v>
      </c>
      <c r="J1239" s="43">
        <f>MONTH(Tabela3[[#This Row],[Data]])</f>
        <v>1</v>
      </c>
      <c r="K1239" s="39">
        <f>SUM(E$3:Tabela3[[#This Row],[Valor]])</f>
        <v>4236027.08</v>
      </c>
      <c r="L1239" s="40">
        <f t="shared" si="19"/>
        <v>2.22375</v>
      </c>
      <c r="M1239" s="40"/>
      <c r="N1239" s="40"/>
      <c r="O1239" s="40"/>
      <c r="P1239" s="39"/>
      <c r="Q1239" s="39"/>
      <c r="R1239" s="39"/>
      <c r="S1239" s="39"/>
      <c r="T1239" s="39"/>
    </row>
    <row r="1240" spans="2:20" x14ac:dyDescent="0.25">
      <c r="B1240" s="37"/>
      <c r="C1240">
        <f>_xlfn.XLOOKUP(B1240,'Centro de Custo'!A$2:A$45,'Centro de Custo'!B$2:B$45)</f>
        <v>0</v>
      </c>
      <c r="E1240" s="39"/>
      <c r="F1240" s="40"/>
      <c r="G1240" s="41"/>
      <c r="H1240" s="42">
        <f>YEAR(Tabela3[[#This Row],[Data]])</f>
        <v>1900</v>
      </c>
      <c r="I1240" s="42" t="str">
        <f>_xlfn.XLOOKUP(J1240,'Centro de Custo'!J$2:J$13,'Centro de Custo'!K$2:K$13)</f>
        <v>Janeiro</v>
      </c>
      <c r="J1240" s="43">
        <f>MONTH(Tabela3[[#This Row],[Data]])</f>
        <v>1</v>
      </c>
      <c r="K1240" s="39">
        <f>SUM(E$3:Tabela3[[#This Row],[Valor]])</f>
        <v>4236027.08</v>
      </c>
      <c r="L1240" s="40">
        <f t="shared" si="19"/>
        <v>2.22375</v>
      </c>
      <c r="M1240" s="40"/>
      <c r="N1240" s="40"/>
      <c r="O1240" s="40"/>
      <c r="P1240" s="39"/>
      <c r="Q1240" s="39"/>
      <c r="R1240" s="39"/>
      <c r="S1240" s="39"/>
      <c r="T1240" s="39"/>
    </row>
    <row r="1241" spans="2:20" x14ac:dyDescent="0.25">
      <c r="B1241" s="37"/>
      <c r="C1241">
        <f>_xlfn.XLOOKUP(B1241,'Centro de Custo'!A$2:A$45,'Centro de Custo'!B$2:B$45)</f>
        <v>0</v>
      </c>
      <c r="E1241" s="39"/>
      <c r="F1241" s="40"/>
      <c r="G1241" s="41"/>
      <c r="H1241" s="42">
        <f>YEAR(Tabela3[[#This Row],[Data]])</f>
        <v>1900</v>
      </c>
      <c r="I1241" s="42" t="str">
        <f>_xlfn.XLOOKUP(J1241,'Centro de Custo'!J$2:J$13,'Centro de Custo'!K$2:K$13)</f>
        <v>Janeiro</v>
      </c>
      <c r="J1241" s="43">
        <f>MONTH(Tabela3[[#This Row],[Data]])</f>
        <v>1</v>
      </c>
      <c r="K1241" s="39">
        <f>SUM(E$3:Tabela3[[#This Row],[Valor]])</f>
        <v>4236027.08</v>
      </c>
      <c r="L1241" s="40">
        <f t="shared" si="19"/>
        <v>2.22375</v>
      </c>
      <c r="M1241" s="40"/>
      <c r="N1241" s="40"/>
      <c r="O1241" s="40"/>
      <c r="P1241" s="39"/>
      <c r="Q1241" s="39"/>
      <c r="R1241" s="39"/>
      <c r="S1241" s="39"/>
      <c r="T1241" s="39"/>
    </row>
    <row r="1242" spans="2:20" x14ac:dyDescent="0.25">
      <c r="B1242" s="37"/>
      <c r="C1242">
        <f>_xlfn.XLOOKUP(B1242,'Centro de Custo'!A$2:A$45,'Centro de Custo'!B$2:B$45)</f>
        <v>0</v>
      </c>
      <c r="E1242" s="39"/>
      <c r="F1242" s="40"/>
      <c r="G1242" s="41"/>
      <c r="H1242" s="42">
        <f>YEAR(Tabela3[[#This Row],[Data]])</f>
        <v>1900</v>
      </c>
      <c r="I1242" s="42" t="str">
        <f>_xlfn.XLOOKUP(J1242,'Centro de Custo'!J$2:J$13,'Centro de Custo'!K$2:K$13)</f>
        <v>Janeiro</v>
      </c>
      <c r="J1242" s="43">
        <f>MONTH(Tabela3[[#This Row],[Data]])</f>
        <v>1</v>
      </c>
      <c r="K1242" s="39">
        <f>SUM(E$3:Tabela3[[#This Row],[Valor]])</f>
        <v>4236027.08</v>
      </c>
      <c r="L1242" s="40">
        <f t="shared" si="19"/>
        <v>2.22375</v>
      </c>
      <c r="M1242" s="40"/>
      <c r="N1242" s="40"/>
      <c r="O1242" s="40"/>
      <c r="P1242" s="39"/>
      <c r="Q1242" s="39"/>
      <c r="R1242" s="39"/>
      <c r="S1242" s="39"/>
      <c r="T1242" s="39"/>
    </row>
    <row r="1243" spans="2:20" x14ac:dyDescent="0.25">
      <c r="B1243" s="37"/>
      <c r="C1243">
        <f>_xlfn.XLOOKUP(B1243,'Centro de Custo'!A$2:A$45,'Centro de Custo'!B$2:B$45)</f>
        <v>0</v>
      </c>
      <c r="E1243" s="39"/>
      <c r="F1243" s="40"/>
      <c r="G1243" s="41"/>
      <c r="H1243" s="42">
        <f>YEAR(Tabela3[[#This Row],[Data]])</f>
        <v>1900</v>
      </c>
      <c r="I1243" s="42" t="str">
        <f>_xlfn.XLOOKUP(J1243,'Centro de Custo'!J$2:J$13,'Centro de Custo'!K$2:K$13)</f>
        <v>Janeiro</v>
      </c>
      <c r="J1243" s="43">
        <f>MONTH(Tabela3[[#This Row],[Data]])</f>
        <v>1</v>
      </c>
      <c r="K1243" s="39">
        <f>SUM(E$3:Tabela3[[#This Row],[Valor]])</f>
        <v>4236027.08</v>
      </c>
      <c r="L1243" s="40">
        <f t="shared" si="19"/>
        <v>2.22375</v>
      </c>
      <c r="M1243" s="40"/>
      <c r="N1243" s="40"/>
      <c r="O1243" s="40"/>
      <c r="P1243" s="39"/>
      <c r="Q1243" s="39"/>
      <c r="R1243" s="39"/>
      <c r="S1243" s="39"/>
      <c r="T1243" s="39"/>
    </row>
    <row r="1244" spans="2:20" x14ac:dyDescent="0.25">
      <c r="B1244" s="37"/>
      <c r="C1244">
        <f>_xlfn.XLOOKUP(B1244,'Centro de Custo'!A$2:A$45,'Centro de Custo'!B$2:B$45)</f>
        <v>0</v>
      </c>
      <c r="E1244" s="39"/>
      <c r="F1244" s="40"/>
      <c r="G1244" s="41"/>
      <c r="H1244" s="42">
        <f>YEAR(Tabela3[[#This Row],[Data]])</f>
        <v>1900</v>
      </c>
      <c r="I1244" s="42" t="str">
        <f>_xlfn.XLOOKUP(J1244,'Centro de Custo'!J$2:J$13,'Centro de Custo'!K$2:K$13)</f>
        <v>Janeiro</v>
      </c>
      <c r="J1244" s="43">
        <f>MONTH(Tabela3[[#This Row],[Data]])</f>
        <v>1</v>
      </c>
      <c r="K1244" s="39">
        <f>SUM(E$3:Tabela3[[#This Row],[Valor]])</f>
        <v>4236027.08</v>
      </c>
      <c r="L1244" s="40">
        <f t="shared" si="19"/>
        <v>2.22375</v>
      </c>
      <c r="M1244" s="40"/>
      <c r="N1244" s="40"/>
      <c r="O1244" s="40"/>
      <c r="P1244" s="39"/>
      <c r="Q1244" s="39"/>
      <c r="R1244" s="39"/>
      <c r="S1244" s="39"/>
      <c r="T1244" s="39"/>
    </row>
    <row r="1245" spans="2:20" x14ac:dyDescent="0.25">
      <c r="B1245" s="37"/>
      <c r="C1245">
        <f>_xlfn.XLOOKUP(B1245,'Centro de Custo'!A$2:A$45,'Centro de Custo'!B$2:B$45)</f>
        <v>0</v>
      </c>
      <c r="E1245" s="39"/>
      <c r="F1245" s="40"/>
      <c r="G1245" s="41"/>
      <c r="H1245" s="42">
        <f>YEAR(Tabela3[[#This Row],[Data]])</f>
        <v>1900</v>
      </c>
      <c r="I1245" s="42" t="str">
        <f>_xlfn.XLOOKUP(J1245,'Centro de Custo'!J$2:J$13,'Centro de Custo'!K$2:K$13)</f>
        <v>Janeiro</v>
      </c>
      <c r="J1245" s="43">
        <f>MONTH(Tabela3[[#This Row],[Data]])</f>
        <v>1</v>
      </c>
      <c r="K1245" s="39">
        <f>SUM(E$3:Tabela3[[#This Row],[Valor]])</f>
        <v>4236027.08</v>
      </c>
      <c r="L1245" s="40">
        <f t="shared" si="19"/>
        <v>2.22375</v>
      </c>
      <c r="M1245" s="40"/>
      <c r="N1245" s="40"/>
      <c r="O1245" s="40"/>
      <c r="P1245" s="39"/>
      <c r="Q1245" s="39"/>
      <c r="R1245" s="39"/>
      <c r="S1245" s="39"/>
      <c r="T1245" s="39"/>
    </row>
    <row r="1246" spans="2:20" x14ac:dyDescent="0.25">
      <c r="B1246" s="37"/>
      <c r="C1246">
        <f>_xlfn.XLOOKUP(B1246,'Centro de Custo'!A$2:A$45,'Centro de Custo'!B$2:B$45)</f>
        <v>0</v>
      </c>
      <c r="E1246" s="39"/>
      <c r="F1246" s="40"/>
      <c r="G1246" s="41"/>
      <c r="H1246" s="42">
        <f>YEAR(Tabela3[[#This Row],[Data]])</f>
        <v>1900</v>
      </c>
      <c r="I1246" s="42" t="str">
        <f>_xlfn.XLOOKUP(J1246,'Centro de Custo'!J$2:J$13,'Centro de Custo'!K$2:K$13)</f>
        <v>Janeiro</v>
      </c>
      <c r="J1246" s="43">
        <f>MONTH(Tabela3[[#This Row],[Data]])</f>
        <v>1</v>
      </c>
      <c r="K1246" s="39">
        <f>SUM(E$3:Tabela3[[#This Row],[Valor]])</f>
        <v>4236027.08</v>
      </c>
      <c r="L1246" s="40">
        <f t="shared" si="19"/>
        <v>2.22375</v>
      </c>
      <c r="M1246" s="40"/>
      <c r="N1246" s="40"/>
      <c r="O1246" s="40"/>
      <c r="P1246" s="39"/>
      <c r="Q1246" s="39"/>
      <c r="R1246" s="39"/>
      <c r="S1246" s="39"/>
      <c r="T1246" s="39"/>
    </row>
    <row r="1247" spans="2:20" x14ac:dyDescent="0.25">
      <c r="B1247" s="37"/>
      <c r="C1247">
        <f>_xlfn.XLOOKUP(B1247,'Centro de Custo'!A$2:A$45,'Centro de Custo'!B$2:B$45)</f>
        <v>0</v>
      </c>
      <c r="E1247" s="39"/>
      <c r="F1247" s="40"/>
      <c r="G1247" s="41"/>
      <c r="H1247" s="42">
        <f>YEAR(Tabela3[[#This Row],[Data]])</f>
        <v>1900</v>
      </c>
      <c r="I1247" s="42" t="str">
        <f>_xlfn.XLOOKUP(J1247,'Centro de Custo'!J$2:J$13,'Centro de Custo'!K$2:K$13)</f>
        <v>Janeiro</v>
      </c>
      <c r="J1247" s="43">
        <f>MONTH(Tabela3[[#This Row],[Data]])</f>
        <v>1</v>
      </c>
      <c r="K1247" s="39">
        <f>SUM(E$3:Tabela3[[#This Row],[Valor]])</f>
        <v>4236027.08</v>
      </c>
      <c r="L1247" s="40">
        <f t="shared" si="19"/>
        <v>2.22375</v>
      </c>
      <c r="M1247" s="40"/>
      <c r="N1247" s="40"/>
      <c r="O1247" s="40"/>
      <c r="P1247" s="39"/>
      <c r="Q1247" s="39"/>
      <c r="R1247" s="39"/>
      <c r="S1247" s="39"/>
      <c r="T1247" s="39"/>
    </row>
    <row r="1248" spans="2:20" x14ac:dyDescent="0.25">
      <c r="B1248" s="37"/>
      <c r="C1248">
        <f>_xlfn.XLOOKUP(B1248,'Centro de Custo'!A$2:A$45,'Centro de Custo'!B$2:B$45)</f>
        <v>0</v>
      </c>
      <c r="E1248" s="39"/>
      <c r="F1248" s="40"/>
      <c r="G1248" s="41"/>
      <c r="H1248" s="42">
        <f>YEAR(Tabela3[[#This Row],[Data]])</f>
        <v>1900</v>
      </c>
      <c r="I1248" s="42" t="str">
        <f>_xlfn.XLOOKUP(J1248,'Centro de Custo'!J$2:J$13,'Centro de Custo'!K$2:K$13)</f>
        <v>Janeiro</v>
      </c>
      <c r="J1248" s="43">
        <f>MONTH(Tabela3[[#This Row],[Data]])</f>
        <v>1</v>
      </c>
      <c r="K1248" s="39">
        <f>SUM(E$3:Tabela3[[#This Row],[Valor]])</f>
        <v>4236027.08</v>
      </c>
      <c r="L1248" s="40">
        <f t="shared" si="19"/>
        <v>2.22375</v>
      </c>
      <c r="M1248" s="40"/>
      <c r="N1248" s="40"/>
      <c r="O1248" s="40"/>
      <c r="P1248" s="39"/>
      <c r="Q1248" s="39"/>
      <c r="R1248" s="39"/>
      <c r="S1248" s="39"/>
      <c r="T1248" s="39"/>
    </row>
    <row r="1249" spans="2:20" x14ac:dyDescent="0.25">
      <c r="B1249" s="37"/>
      <c r="C1249">
        <f>_xlfn.XLOOKUP(B1249,'Centro de Custo'!A$2:A$45,'Centro de Custo'!B$2:B$45)</f>
        <v>0</v>
      </c>
      <c r="E1249" s="39"/>
      <c r="F1249" s="40"/>
      <c r="G1249" s="41"/>
      <c r="H1249" s="42">
        <f>YEAR(Tabela3[[#This Row],[Data]])</f>
        <v>1900</v>
      </c>
      <c r="I1249" s="42" t="str">
        <f>_xlfn.XLOOKUP(J1249,'Centro de Custo'!J$2:J$13,'Centro de Custo'!K$2:K$13)</f>
        <v>Janeiro</v>
      </c>
      <c r="J1249" s="43">
        <f>MONTH(Tabela3[[#This Row],[Data]])</f>
        <v>1</v>
      </c>
      <c r="K1249" s="39">
        <f>SUM(E$3:Tabela3[[#This Row],[Valor]])</f>
        <v>4236027.08</v>
      </c>
      <c r="L1249" s="40">
        <f t="shared" si="19"/>
        <v>2.22375</v>
      </c>
      <c r="M1249" s="40"/>
      <c r="N1249" s="40"/>
      <c r="O1249" s="40"/>
      <c r="P1249" s="39"/>
      <c r="Q1249" s="39"/>
      <c r="R1249" s="39"/>
      <c r="S1249" s="39"/>
      <c r="T1249" s="39"/>
    </row>
    <row r="1250" spans="2:20" x14ac:dyDescent="0.25">
      <c r="B1250" s="37"/>
      <c r="C1250">
        <f>_xlfn.XLOOKUP(B1250,'Centro de Custo'!A$2:A$45,'Centro de Custo'!B$2:B$45)</f>
        <v>0</v>
      </c>
      <c r="E1250" s="39"/>
      <c r="F1250" s="40"/>
      <c r="G1250" s="41"/>
      <c r="H1250" s="42">
        <f>YEAR(Tabela3[[#This Row],[Data]])</f>
        <v>1900</v>
      </c>
      <c r="I1250" s="42" t="str">
        <f>_xlfn.XLOOKUP(J1250,'Centro de Custo'!J$2:J$13,'Centro de Custo'!K$2:K$13)</f>
        <v>Janeiro</v>
      </c>
      <c r="J1250" s="43">
        <f>MONTH(Tabela3[[#This Row],[Data]])</f>
        <v>1</v>
      </c>
      <c r="K1250" s="39">
        <f>SUM(E$3:Tabela3[[#This Row],[Valor]])</f>
        <v>4236027.08</v>
      </c>
      <c r="L1250" s="40">
        <f t="shared" si="19"/>
        <v>2.22375</v>
      </c>
      <c r="M1250" s="40"/>
      <c r="N1250" s="40"/>
      <c r="O1250" s="40"/>
      <c r="P1250" s="39"/>
      <c r="Q1250" s="39"/>
      <c r="R1250" s="39"/>
      <c r="S1250" s="39"/>
      <c r="T1250" s="39"/>
    </row>
    <row r="1251" spans="2:20" x14ac:dyDescent="0.25">
      <c r="B1251" s="37"/>
      <c r="C1251">
        <f>_xlfn.XLOOKUP(B1251,'Centro de Custo'!A$2:A$45,'Centro de Custo'!B$2:B$45)</f>
        <v>0</v>
      </c>
      <c r="E1251" s="39"/>
      <c r="F1251" s="40"/>
      <c r="G1251" s="41"/>
      <c r="H1251" s="42">
        <f>YEAR(Tabela3[[#This Row],[Data]])</f>
        <v>1900</v>
      </c>
      <c r="I1251" s="42" t="str">
        <f>_xlfn.XLOOKUP(J1251,'Centro de Custo'!J$2:J$13,'Centro de Custo'!K$2:K$13)</f>
        <v>Janeiro</v>
      </c>
      <c r="J1251" s="43">
        <f>MONTH(Tabela3[[#This Row],[Data]])</f>
        <v>1</v>
      </c>
      <c r="K1251" s="39">
        <f>SUM(E$3:Tabela3[[#This Row],[Valor]])</f>
        <v>4236027.08</v>
      </c>
      <c r="L1251" s="40">
        <f t="shared" si="19"/>
        <v>2.22375</v>
      </c>
      <c r="M1251" s="40"/>
      <c r="N1251" s="40"/>
      <c r="O1251" s="40"/>
      <c r="P1251" s="39"/>
      <c r="Q1251" s="39"/>
      <c r="R1251" s="39"/>
      <c r="S1251" s="39"/>
      <c r="T1251" s="39"/>
    </row>
    <row r="1252" spans="2:20" x14ac:dyDescent="0.25">
      <c r="B1252" s="37"/>
      <c r="C1252">
        <f>_xlfn.XLOOKUP(B1252,'Centro de Custo'!A$2:A$45,'Centro de Custo'!B$2:B$45)</f>
        <v>0</v>
      </c>
      <c r="E1252" s="39"/>
      <c r="F1252" s="40"/>
      <c r="G1252" s="41"/>
      <c r="H1252" s="42">
        <f>YEAR(Tabela3[[#This Row],[Data]])</f>
        <v>1900</v>
      </c>
      <c r="I1252" s="42" t="str">
        <f>_xlfn.XLOOKUP(J1252,'Centro de Custo'!J$2:J$13,'Centro de Custo'!K$2:K$13)</f>
        <v>Janeiro</v>
      </c>
      <c r="J1252" s="43">
        <f>MONTH(Tabela3[[#This Row],[Data]])</f>
        <v>1</v>
      </c>
      <c r="K1252" s="39">
        <f>SUM(E$3:Tabela3[[#This Row],[Valor]])</f>
        <v>4236027.08</v>
      </c>
      <c r="L1252" s="40">
        <f t="shared" si="19"/>
        <v>2.22375</v>
      </c>
      <c r="M1252" s="40"/>
      <c r="N1252" s="40"/>
      <c r="O1252" s="40"/>
      <c r="P1252" s="39"/>
      <c r="Q1252" s="39"/>
      <c r="R1252" s="39"/>
      <c r="S1252" s="39"/>
      <c r="T1252" s="39"/>
    </row>
    <row r="1253" spans="2:20" x14ac:dyDescent="0.25">
      <c r="B1253" s="37"/>
      <c r="C1253">
        <f>_xlfn.XLOOKUP(B1253,'Centro de Custo'!A$2:A$45,'Centro de Custo'!B$2:B$45)</f>
        <v>0</v>
      </c>
      <c r="E1253" s="39"/>
      <c r="F1253" s="40"/>
      <c r="G1253" s="41"/>
      <c r="H1253" s="42">
        <f>YEAR(Tabela3[[#This Row],[Data]])</f>
        <v>1900</v>
      </c>
      <c r="I1253" s="42" t="str">
        <f>_xlfn.XLOOKUP(J1253,'Centro de Custo'!J$2:J$13,'Centro de Custo'!K$2:K$13)</f>
        <v>Janeiro</v>
      </c>
      <c r="J1253" s="43">
        <f>MONTH(Tabela3[[#This Row],[Data]])</f>
        <v>1</v>
      </c>
      <c r="K1253" s="39">
        <f>SUM(E$3:Tabela3[[#This Row],[Valor]])</f>
        <v>4236027.08</v>
      </c>
      <c r="L1253" s="40">
        <f t="shared" si="19"/>
        <v>2.22375</v>
      </c>
      <c r="M1253" s="40"/>
      <c r="N1253" s="40"/>
      <c r="O1253" s="40"/>
      <c r="P1253" s="39"/>
      <c r="Q1253" s="39"/>
      <c r="R1253" s="39"/>
      <c r="S1253" s="39"/>
      <c r="T1253" s="39"/>
    </row>
    <row r="1254" spans="2:20" x14ac:dyDescent="0.25">
      <c r="B1254" s="37"/>
      <c r="C1254">
        <f>_xlfn.XLOOKUP(B1254,'Centro de Custo'!A$2:A$45,'Centro de Custo'!B$2:B$45)</f>
        <v>0</v>
      </c>
      <c r="E1254" s="39"/>
      <c r="F1254" s="40"/>
      <c r="G1254" s="41"/>
      <c r="H1254" s="42">
        <f>YEAR(Tabela3[[#This Row],[Data]])</f>
        <v>1900</v>
      </c>
      <c r="I1254" s="42" t="str">
        <f>_xlfn.XLOOKUP(J1254,'Centro de Custo'!J$2:J$13,'Centro de Custo'!K$2:K$13)</f>
        <v>Janeiro</v>
      </c>
      <c r="J1254" s="43">
        <f>MONTH(Tabela3[[#This Row],[Data]])</f>
        <v>1</v>
      </c>
      <c r="K1254" s="39">
        <f>SUM(E$3:Tabela3[[#This Row],[Valor]])</f>
        <v>4236027.08</v>
      </c>
      <c r="L1254" s="40">
        <f t="shared" si="19"/>
        <v>2.22375</v>
      </c>
      <c r="M1254" s="40"/>
      <c r="N1254" s="40"/>
      <c r="O1254" s="40"/>
      <c r="P1254" s="39"/>
      <c r="Q1254" s="39"/>
      <c r="R1254" s="39"/>
      <c r="S1254" s="39"/>
      <c r="T1254" s="39"/>
    </row>
    <row r="1255" spans="2:20" x14ac:dyDescent="0.25">
      <c r="B1255" s="37"/>
      <c r="C1255">
        <f>_xlfn.XLOOKUP(B1255,'Centro de Custo'!A$2:A$45,'Centro de Custo'!B$2:B$45)</f>
        <v>0</v>
      </c>
      <c r="E1255" s="39"/>
      <c r="F1255" s="40"/>
      <c r="G1255" s="41"/>
      <c r="H1255" s="42">
        <f>YEAR(Tabela3[[#This Row],[Data]])</f>
        <v>1900</v>
      </c>
      <c r="I1255" s="42" t="str">
        <f>_xlfn.XLOOKUP(J1255,'Centro de Custo'!J$2:J$13,'Centro de Custo'!K$2:K$13)</f>
        <v>Janeiro</v>
      </c>
      <c r="J1255" s="43">
        <f>MONTH(Tabela3[[#This Row],[Data]])</f>
        <v>1</v>
      </c>
      <c r="K1255" s="39">
        <f>SUM(E$3:Tabela3[[#This Row],[Valor]])</f>
        <v>4236027.08</v>
      </c>
      <c r="L1255" s="40">
        <f t="shared" si="19"/>
        <v>2.22375</v>
      </c>
      <c r="M1255" s="40"/>
      <c r="N1255" s="40"/>
      <c r="O1255" s="40"/>
      <c r="P1255" s="39"/>
      <c r="Q1255" s="39"/>
      <c r="R1255" s="39"/>
      <c r="S1255" s="39"/>
      <c r="T1255" s="39"/>
    </row>
    <row r="1256" spans="2:20" x14ac:dyDescent="0.25">
      <c r="B1256" s="37"/>
      <c r="C1256">
        <f>_xlfn.XLOOKUP(B1256,'Centro de Custo'!A$2:A$45,'Centro de Custo'!B$2:B$45)</f>
        <v>0</v>
      </c>
      <c r="E1256" s="39"/>
      <c r="F1256" s="40"/>
      <c r="G1256" s="41"/>
      <c r="H1256" s="42">
        <f>YEAR(Tabela3[[#This Row],[Data]])</f>
        <v>1900</v>
      </c>
      <c r="I1256" s="42" t="str">
        <f>_xlfn.XLOOKUP(J1256,'Centro de Custo'!J$2:J$13,'Centro de Custo'!K$2:K$13)</f>
        <v>Janeiro</v>
      </c>
      <c r="J1256" s="43">
        <f>MONTH(Tabela3[[#This Row],[Data]])</f>
        <v>1</v>
      </c>
      <c r="K1256" s="39">
        <f>SUM(E$3:Tabela3[[#This Row],[Valor]])</f>
        <v>4236027.08</v>
      </c>
      <c r="L1256" s="40">
        <f t="shared" si="19"/>
        <v>2.22375</v>
      </c>
      <c r="M1256" s="40"/>
      <c r="N1256" s="40"/>
      <c r="O1256" s="40"/>
      <c r="P1256" s="39"/>
      <c r="Q1256" s="39"/>
      <c r="R1256" s="39"/>
      <c r="S1256" s="39"/>
      <c r="T1256" s="39"/>
    </row>
    <row r="1257" spans="2:20" x14ac:dyDescent="0.25">
      <c r="B1257" s="37"/>
      <c r="C1257">
        <f>_xlfn.XLOOKUP(B1257,'Centro de Custo'!A$2:A$45,'Centro de Custo'!B$2:B$45)</f>
        <v>0</v>
      </c>
      <c r="E1257" s="39"/>
      <c r="F1257" s="40"/>
      <c r="G1257" s="41"/>
      <c r="H1257" s="42">
        <f>YEAR(Tabela3[[#This Row],[Data]])</f>
        <v>1900</v>
      </c>
      <c r="I1257" s="42" t="str">
        <f>_xlfn.XLOOKUP(J1257,'Centro de Custo'!J$2:J$13,'Centro de Custo'!K$2:K$13)</f>
        <v>Janeiro</v>
      </c>
      <c r="J1257" s="43">
        <f>MONTH(Tabela3[[#This Row],[Data]])</f>
        <v>1</v>
      </c>
      <c r="K1257" s="39">
        <f>SUM(E$3:Tabela3[[#This Row],[Valor]])</f>
        <v>4236027.08</v>
      </c>
      <c r="L1257" s="40">
        <f t="shared" si="19"/>
        <v>2.22375</v>
      </c>
      <c r="M1257" s="40"/>
      <c r="N1257" s="40"/>
      <c r="O1257" s="40"/>
      <c r="P1257" s="39"/>
      <c r="Q1257" s="39"/>
      <c r="R1257" s="39"/>
      <c r="S1257" s="39"/>
      <c r="T1257" s="39"/>
    </row>
    <row r="1258" spans="2:20" x14ac:dyDescent="0.25">
      <c r="B1258" s="37"/>
      <c r="C1258">
        <f>_xlfn.XLOOKUP(B1258,'Centro de Custo'!A$2:A$45,'Centro de Custo'!B$2:B$45)</f>
        <v>0</v>
      </c>
      <c r="E1258" s="39"/>
      <c r="F1258" s="40"/>
      <c r="G1258" s="41"/>
      <c r="H1258" s="42">
        <f>YEAR(Tabela3[[#This Row],[Data]])</f>
        <v>1900</v>
      </c>
      <c r="I1258" s="42" t="str">
        <f>_xlfn.XLOOKUP(J1258,'Centro de Custo'!J$2:J$13,'Centro de Custo'!K$2:K$13)</f>
        <v>Janeiro</v>
      </c>
      <c r="J1258" s="43">
        <f>MONTH(Tabela3[[#This Row],[Data]])</f>
        <v>1</v>
      </c>
      <c r="K1258" s="39">
        <f>SUM(E$3:Tabela3[[#This Row],[Valor]])</f>
        <v>4236027.08</v>
      </c>
      <c r="L1258" s="40">
        <f t="shared" si="19"/>
        <v>2.22375</v>
      </c>
      <c r="M1258" s="40"/>
      <c r="N1258" s="40"/>
      <c r="O1258" s="40"/>
      <c r="P1258" s="39"/>
      <c r="Q1258" s="39"/>
      <c r="R1258" s="39"/>
      <c r="S1258" s="39"/>
      <c r="T1258" s="39"/>
    </row>
    <row r="1259" spans="2:20" x14ac:dyDescent="0.25">
      <c r="B1259" s="37"/>
      <c r="C1259">
        <f>_xlfn.XLOOKUP(B1259,'Centro de Custo'!A$2:A$45,'Centro de Custo'!B$2:B$45)</f>
        <v>0</v>
      </c>
      <c r="E1259" s="39"/>
      <c r="F1259" s="40"/>
      <c r="G1259" s="41"/>
      <c r="H1259" s="42">
        <f>YEAR(Tabela3[[#This Row],[Data]])</f>
        <v>1900</v>
      </c>
      <c r="I1259" s="42" t="str">
        <f>_xlfn.XLOOKUP(J1259,'Centro de Custo'!J$2:J$13,'Centro de Custo'!K$2:K$13)</f>
        <v>Janeiro</v>
      </c>
      <c r="J1259" s="43">
        <f>MONTH(Tabela3[[#This Row],[Data]])</f>
        <v>1</v>
      </c>
      <c r="K1259" s="39">
        <f>SUM(E$3:Tabela3[[#This Row],[Valor]])</f>
        <v>4236027.08</v>
      </c>
      <c r="L1259" s="40">
        <f t="shared" si="19"/>
        <v>2.22375</v>
      </c>
      <c r="M1259" s="40"/>
      <c r="N1259" s="40"/>
      <c r="O1259" s="40"/>
      <c r="P1259" s="39"/>
      <c r="Q1259" s="39"/>
      <c r="R1259" s="39"/>
      <c r="S1259" s="39"/>
      <c r="T1259" s="39"/>
    </row>
    <row r="1260" spans="2:20" x14ac:dyDescent="0.25">
      <c r="B1260" s="37"/>
      <c r="C1260">
        <f>_xlfn.XLOOKUP(B1260,'Centro de Custo'!A$2:A$45,'Centro de Custo'!B$2:B$45)</f>
        <v>0</v>
      </c>
      <c r="E1260" s="39"/>
      <c r="F1260" s="40"/>
      <c r="G1260" s="41"/>
      <c r="H1260" s="42">
        <f>YEAR(Tabela3[[#This Row],[Data]])</f>
        <v>1900</v>
      </c>
      <c r="I1260" s="42" t="str">
        <f>_xlfn.XLOOKUP(J1260,'Centro de Custo'!J$2:J$13,'Centro de Custo'!K$2:K$13)</f>
        <v>Janeiro</v>
      </c>
      <c r="J1260" s="43">
        <f>MONTH(Tabela3[[#This Row],[Data]])</f>
        <v>1</v>
      </c>
      <c r="K1260" s="39">
        <f>SUM(E$3:Tabela3[[#This Row],[Valor]])</f>
        <v>4236027.08</v>
      </c>
      <c r="L1260" s="40">
        <f t="shared" si="19"/>
        <v>2.22375</v>
      </c>
      <c r="M1260" s="40"/>
      <c r="N1260" s="40"/>
      <c r="O1260" s="40"/>
      <c r="P1260" s="39"/>
      <c r="Q1260" s="39"/>
      <c r="R1260" s="39"/>
      <c r="S1260" s="39"/>
      <c r="T1260" s="39"/>
    </row>
    <row r="1261" spans="2:20" x14ac:dyDescent="0.25">
      <c r="B1261" s="37"/>
      <c r="C1261">
        <f>_xlfn.XLOOKUP(B1261,'Centro de Custo'!A$2:A$45,'Centro de Custo'!B$2:B$45)</f>
        <v>0</v>
      </c>
      <c r="E1261" s="39"/>
      <c r="F1261" s="40"/>
      <c r="G1261" s="41"/>
      <c r="H1261" s="42">
        <f>YEAR(Tabela3[[#This Row],[Data]])</f>
        <v>1900</v>
      </c>
      <c r="I1261" s="42" t="str">
        <f>_xlfn.XLOOKUP(J1261,'Centro de Custo'!J$2:J$13,'Centro de Custo'!K$2:K$13)</f>
        <v>Janeiro</v>
      </c>
      <c r="J1261" s="43">
        <f>MONTH(Tabela3[[#This Row],[Data]])</f>
        <v>1</v>
      </c>
      <c r="K1261" s="39">
        <f>SUM(E$3:Tabela3[[#This Row],[Valor]])</f>
        <v>4236027.08</v>
      </c>
      <c r="L1261" s="40">
        <f t="shared" si="19"/>
        <v>2.22375</v>
      </c>
      <c r="M1261" s="40"/>
      <c r="N1261" s="40"/>
      <c r="O1261" s="40"/>
      <c r="P1261" s="39"/>
      <c r="Q1261" s="39"/>
      <c r="R1261" s="39"/>
      <c r="S1261" s="39"/>
      <c r="T1261" s="39"/>
    </row>
    <row r="1262" spans="2:20" x14ac:dyDescent="0.25">
      <c r="B1262" s="37"/>
      <c r="C1262">
        <f>_xlfn.XLOOKUP(B1262,'Centro de Custo'!A$2:A$45,'Centro de Custo'!B$2:B$45)</f>
        <v>0</v>
      </c>
      <c r="E1262" s="39"/>
      <c r="F1262" s="40"/>
      <c r="G1262" s="41"/>
      <c r="H1262" s="42">
        <f>YEAR(Tabela3[[#This Row],[Data]])</f>
        <v>1900</v>
      </c>
      <c r="I1262" s="42" t="str">
        <f>_xlfn.XLOOKUP(J1262,'Centro de Custo'!J$2:J$13,'Centro de Custo'!K$2:K$13)</f>
        <v>Janeiro</v>
      </c>
      <c r="J1262" s="43">
        <f>MONTH(Tabela3[[#This Row],[Data]])</f>
        <v>1</v>
      </c>
      <c r="K1262" s="39">
        <f>SUM(E$3:Tabela3[[#This Row],[Valor]])</f>
        <v>4236027.08</v>
      </c>
      <c r="L1262" s="40">
        <f t="shared" si="19"/>
        <v>2.22375</v>
      </c>
      <c r="M1262" s="40"/>
      <c r="N1262" s="40"/>
      <c r="O1262" s="40"/>
      <c r="P1262" s="39"/>
      <c r="Q1262" s="39"/>
      <c r="R1262" s="39"/>
      <c r="S1262" s="39"/>
      <c r="T1262" s="39"/>
    </row>
    <row r="1263" spans="2:20" x14ac:dyDescent="0.25">
      <c r="B1263" s="37"/>
      <c r="C1263">
        <f>_xlfn.XLOOKUP(B1263,'Centro de Custo'!A$2:A$45,'Centro de Custo'!B$2:B$45)</f>
        <v>0</v>
      </c>
      <c r="E1263" s="39"/>
      <c r="F1263" s="40"/>
      <c r="G1263" s="41"/>
      <c r="H1263" s="42">
        <f>YEAR(Tabela3[[#This Row],[Data]])</f>
        <v>1900</v>
      </c>
      <c r="I1263" s="42" t="str">
        <f>_xlfn.XLOOKUP(J1263,'Centro de Custo'!J$2:J$13,'Centro de Custo'!K$2:K$13)</f>
        <v>Janeiro</v>
      </c>
      <c r="J1263" s="43">
        <f>MONTH(Tabela3[[#This Row],[Data]])</f>
        <v>1</v>
      </c>
      <c r="K1263" s="39">
        <f>SUM(E$3:Tabela3[[#This Row],[Valor]])</f>
        <v>4236027.08</v>
      </c>
      <c r="L1263" s="40">
        <f t="shared" si="19"/>
        <v>2.22375</v>
      </c>
      <c r="M1263" s="40"/>
      <c r="N1263" s="40"/>
      <c r="O1263" s="40"/>
      <c r="P1263" s="39"/>
      <c r="Q1263" s="39"/>
      <c r="R1263" s="39"/>
      <c r="S1263" s="39"/>
      <c r="T1263" s="39"/>
    </row>
    <row r="1264" spans="2:20" x14ac:dyDescent="0.25">
      <c r="B1264" s="37"/>
      <c r="C1264">
        <f>_xlfn.XLOOKUP(B1264,'Centro de Custo'!A$2:A$45,'Centro de Custo'!B$2:B$45)</f>
        <v>0</v>
      </c>
      <c r="E1264" s="39"/>
      <c r="F1264" s="40"/>
      <c r="G1264" s="41"/>
      <c r="H1264" s="42">
        <f>YEAR(Tabela3[[#This Row],[Data]])</f>
        <v>1900</v>
      </c>
      <c r="I1264" s="42" t="str">
        <f>_xlfn.XLOOKUP(J1264,'Centro de Custo'!J$2:J$13,'Centro de Custo'!K$2:K$13)</f>
        <v>Janeiro</v>
      </c>
      <c r="J1264" s="43">
        <f>MONTH(Tabela3[[#This Row],[Data]])</f>
        <v>1</v>
      </c>
      <c r="K1264" s="39">
        <f>SUM(E$3:Tabela3[[#This Row],[Valor]])</f>
        <v>4236027.08</v>
      </c>
      <c r="L1264" s="40">
        <f t="shared" si="19"/>
        <v>2.22375</v>
      </c>
      <c r="M1264" s="40"/>
      <c r="N1264" s="40"/>
      <c r="O1264" s="40"/>
      <c r="P1264" s="39"/>
      <c r="Q1264" s="39"/>
      <c r="R1264" s="39"/>
      <c r="S1264" s="39"/>
      <c r="T1264" s="39"/>
    </row>
    <row r="1265" spans="2:20" x14ac:dyDescent="0.25">
      <c r="B1265" s="37"/>
      <c r="C1265">
        <f>_xlfn.XLOOKUP(B1265,'Centro de Custo'!A$2:A$45,'Centro de Custo'!B$2:B$45)</f>
        <v>0</v>
      </c>
      <c r="E1265" s="39"/>
      <c r="F1265" s="40"/>
      <c r="G1265" s="41"/>
      <c r="H1265" s="42">
        <f>YEAR(Tabela3[[#This Row],[Data]])</f>
        <v>1900</v>
      </c>
      <c r="I1265" s="42" t="str">
        <f>_xlfn.XLOOKUP(J1265,'Centro de Custo'!J$2:J$13,'Centro de Custo'!K$2:K$13)</f>
        <v>Janeiro</v>
      </c>
      <c r="J1265" s="43">
        <f>MONTH(Tabela3[[#This Row],[Data]])</f>
        <v>1</v>
      </c>
      <c r="K1265" s="39">
        <f>SUM(E$3:Tabela3[[#This Row],[Valor]])</f>
        <v>4236027.08</v>
      </c>
      <c r="L1265" s="40">
        <f t="shared" si="19"/>
        <v>2.22375</v>
      </c>
      <c r="M1265" s="40"/>
      <c r="N1265" s="40"/>
      <c r="O1265" s="40"/>
      <c r="P1265" s="39"/>
      <c r="Q1265" s="39"/>
      <c r="R1265" s="39"/>
      <c r="S1265" s="39"/>
      <c r="T1265" s="39"/>
    </row>
    <row r="1266" spans="2:20" x14ac:dyDescent="0.25">
      <c r="B1266" s="37"/>
      <c r="C1266">
        <f>_xlfn.XLOOKUP(B1266,'Centro de Custo'!A$2:A$45,'Centro de Custo'!B$2:B$45)</f>
        <v>0</v>
      </c>
      <c r="E1266" s="39"/>
      <c r="F1266" s="40"/>
      <c r="G1266" s="41"/>
      <c r="H1266" s="42">
        <f>YEAR(Tabela3[[#This Row],[Data]])</f>
        <v>1900</v>
      </c>
      <c r="I1266" s="42" t="str">
        <f>_xlfn.XLOOKUP(J1266,'Centro de Custo'!J$2:J$13,'Centro de Custo'!K$2:K$13)</f>
        <v>Janeiro</v>
      </c>
      <c r="J1266" s="43">
        <f>MONTH(Tabela3[[#This Row],[Data]])</f>
        <v>1</v>
      </c>
      <c r="K1266" s="39">
        <f>SUM(E$3:Tabela3[[#This Row],[Valor]])</f>
        <v>4236027.08</v>
      </c>
      <c r="L1266" s="40">
        <f t="shared" si="19"/>
        <v>2.22375</v>
      </c>
      <c r="M1266" s="40"/>
      <c r="N1266" s="40"/>
      <c r="O1266" s="40"/>
      <c r="P1266" s="39"/>
      <c r="Q1266" s="39"/>
      <c r="R1266" s="39"/>
      <c r="S1266" s="39"/>
      <c r="T1266" s="39"/>
    </row>
    <row r="1267" spans="2:20" x14ac:dyDescent="0.25">
      <c r="B1267" s="37"/>
      <c r="C1267">
        <f>_xlfn.XLOOKUP(B1267,'Centro de Custo'!A$2:A$45,'Centro de Custo'!B$2:B$45)</f>
        <v>0</v>
      </c>
      <c r="E1267" s="39"/>
      <c r="F1267" s="40"/>
      <c r="G1267" s="41"/>
      <c r="H1267" s="42">
        <f>YEAR(Tabela3[[#This Row],[Data]])</f>
        <v>1900</v>
      </c>
      <c r="I1267" s="42" t="str">
        <f>_xlfn.XLOOKUP(J1267,'Centro de Custo'!J$2:J$13,'Centro de Custo'!K$2:K$13)</f>
        <v>Janeiro</v>
      </c>
      <c r="J1267" s="43">
        <f>MONTH(Tabela3[[#This Row],[Data]])</f>
        <v>1</v>
      </c>
      <c r="K1267" s="39">
        <f>SUM(E$3:Tabela3[[#This Row],[Valor]])</f>
        <v>4236027.08</v>
      </c>
      <c r="L1267" s="40">
        <f t="shared" si="19"/>
        <v>2.22375</v>
      </c>
      <c r="M1267" s="40"/>
      <c r="N1267" s="40"/>
      <c r="O1267" s="40"/>
      <c r="P1267" s="39"/>
      <c r="Q1267" s="39"/>
      <c r="R1267" s="39"/>
      <c r="S1267" s="39"/>
      <c r="T1267" s="39"/>
    </row>
    <row r="1268" spans="2:20" x14ac:dyDescent="0.25">
      <c r="B1268" s="37"/>
      <c r="C1268">
        <f>_xlfn.XLOOKUP(B1268,'Centro de Custo'!A$2:A$45,'Centro de Custo'!B$2:B$45)</f>
        <v>0</v>
      </c>
      <c r="E1268" s="39"/>
      <c r="F1268" s="40"/>
      <c r="G1268" s="41"/>
      <c r="H1268" s="42">
        <f>YEAR(Tabela3[[#This Row],[Data]])</f>
        <v>1900</v>
      </c>
      <c r="I1268" s="42" t="str">
        <f>_xlfn.XLOOKUP(J1268,'Centro de Custo'!J$2:J$13,'Centro de Custo'!K$2:K$13)</f>
        <v>Janeiro</v>
      </c>
      <c r="J1268" s="43">
        <f>MONTH(Tabela3[[#This Row],[Data]])</f>
        <v>1</v>
      </c>
      <c r="K1268" s="39">
        <f>SUM(E$3:Tabela3[[#This Row],[Valor]])</f>
        <v>4236027.08</v>
      </c>
      <c r="L1268" s="40">
        <f t="shared" si="19"/>
        <v>2.22375</v>
      </c>
      <c r="M1268" s="40"/>
      <c r="N1268" s="40"/>
      <c r="O1268" s="40"/>
      <c r="P1268" s="39"/>
      <c r="Q1268" s="39"/>
      <c r="R1268" s="39"/>
      <c r="S1268" s="39"/>
      <c r="T1268" s="39"/>
    </row>
    <row r="1269" spans="2:20" x14ac:dyDescent="0.25">
      <c r="B1269" s="37"/>
      <c r="C1269">
        <f>_xlfn.XLOOKUP(B1269,'Centro de Custo'!A$2:A$45,'Centro de Custo'!B$2:B$45)</f>
        <v>0</v>
      </c>
      <c r="E1269" s="39"/>
      <c r="F1269" s="40"/>
      <c r="G1269" s="41"/>
      <c r="H1269" s="42">
        <f>YEAR(Tabela3[[#This Row],[Data]])</f>
        <v>1900</v>
      </c>
      <c r="I1269" s="42" t="str">
        <f>_xlfn.XLOOKUP(J1269,'Centro de Custo'!J$2:J$13,'Centro de Custo'!K$2:K$13)</f>
        <v>Janeiro</v>
      </c>
      <c r="J1269" s="43">
        <f>MONTH(Tabela3[[#This Row],[Data]])</f>
        <v>1</v>
      </c>
      <c r="K1269" s="39">
        <f>SUM(E$3:Tabela3[[#This Row],[Valor]])</f>
        <v>4236027.08</v>
      </c>
      <c r="L1269" s="40">
        <f t="shared" si="19"/>
        <v>2.22375</v>
      </c>
      <c r="M1269" s="40"/>
      <c r="N1269" s="40"/>
      <c r="O1269" s="40"/>
      <c r="P1269" s="39"/>
      <c r="Q1269" s="39"/>
      <c r="R1269" s="39"/>
      <c r="S1269" s="39"/>
      <c r="T1269" s="39"/>
    </row>
    <row r="1270" spans="2:20" x14ac:dyDescent="0.25">
      <c r="B1270" s="37"/>
      <c r="C1270">
        <f>_xlfn.XLOOKUP(B1270,'Centro de Custo'!A$2:A$45,'Centro de Custo'!B$2:B$45)</f>
        <v>0</v>
      </c>
      <c r="E1270" s="39"/>
      <c r="F1270" s="40"/>
      <c r="G1270" s="41"/>
      <c r="H1270" s="42">
        <f>YEAR(Tabela3[[#This Row],[Data]])</f>
        <v>1900</v>
      </c>
      <c r="I1270" s="42" t="str">
        <f>_xlfn.XLOOKUP(J1270,'Centro de Custo'!J$2:J$13,'Centro de Custo'!K$2:K$13)</f>
        <v>Janeiro</v>
      </c>
      <c r="J1270" s="43">
        <f>MONTH(Tabela3[[#This Row],[Data]])</f>
        <v>1</v>
      </c>
      <c r="K1270" s="39">
        <f>SUM(E$3:Tabela3[[#This Row],[Valor]])</f>
        <v>4236027.08</v>
      </c>
      <c r="L1270" s="40">
        <f t="shared" si="19"/>
        <v>2.22375</v>
      </c>
      <c r="M1270" s="40"/>
      <c r="N1270" s="40"/>
      <c r="O1270" s="40"/>
      <c r="P1270" s="39"/>
      <c r="Q1270" s="39"/>
      <c r="R1270" s="39"/>
      <c r="S1270" s="39"/>
      <c r="T1270" s="39"/>
    </row>
    <row r="1271" spans="2:20" x14ac:dyDescent="0.25">
      <c r="B1271" s="37"/>
      <c r="C1271">
        <f>_xlfn.XLOOKUP(B1271,'Centro de Custo'!A$2:A$45,'Centro de Custo'!B$2:B$45)</f>
        <v>0</v>
      </c>
      <c r="E1271" s="39"/>
      <c r="F1271" s="40"/>
      <c r="G1271" s="41"/>
      <c r="H1271" s="42">
        <f>YEAR(Tabela3[[#This Row],[Data]])</f>
        <v>1900</v>
      </c>
      <c r="I1271" s="42" t="str">
        <f>_xlfn.XLOOKUP(J1271,'Centro de Custo'!J$2:J$13,'Centro de Custo'!K$2:K$13)</f>
        <v>Janeiro</v>
      </c>
      <c r="J1271" s="43">
        <f>MONTH(Tabela3[[#This Row],[Data]])</f>
        <v>1</v>
      </c>
      <c r="K1271" s="39">
        <f>SUM(E$3:Tabela3[[#This Row],[Valor]])</f>
        <v>4236027.08</v>
      </c>
      <c r="L1271" s="40">
        <f t="shared" si="19"/>
        <v>2.22375</v>
      </c>
      <c r="M1271" s="40"/>
      <c r="N1271" s="40"/>
      <c r="O1271" s="40"/>
      <c r="P1271" s="39"/>
      <c r="Q1271" s="39"/>
      <c r="R1271" s="39"/>
      <c r="S1271" s="39"/>
      <c r="T1271" s="39"/>
    </row>
    <row r="1272" spans="2:20" x14ac:dyDescent="0.25">
      <c r="B1272" s="37"/>
      <c r="C1272">
        <f>_xlfn.XLOOKUP(B1272,'Centro de Custo'!A$2:A$45,'Centro de Custo'!B$2:B$45)</f>
        <v>0</v>
      </c>
      <c r="E1272" s="39"/>
      <c r="F1272" s="40"/>
      <c r="G1272" s="41"/>
      <c r="H1272" s="42">
        <f>YEAR(Tabela3[[#This Row],[Data]])</f>
        <v>1900</v>
      </c>
      <c r="I1272" s="42" t="str">
        <f>_xlfn.XLOOKUP(J1272,'Centro de Custo'!J$2:J$13,'Centro de Custo'!K$2:K$13)</f>
        <v>Janeiro</v>
      </c>
      <c r="J1272" s="43">
        <f>MONTH(Tabela3[[#This Row],[Data]])</f>
        <v>1</v>
      </c>
      <c r="K1272" s="39">
        <f>SUM(E$3:Tabela3[[#This Row],[Valor]])</f>
        <v>4236027.08</v>
      </c>
      <c r="L1272" s="40">
        <f t="shared" si="19"/>
        <v>2.22375</v>
      </c>
      <c r="M1272" s="40"/>
      <c r="N1272" s="40"/>
      <c r="O1272" s="40"/>
      <c r="P1272" s="39"/>
      <c r="Q1272" s="39"/>
      <c r="R1272" s="39"/>
      <c r="S1272" s="39"/>
      <c r="T1272" s="39"/>
    </row>
    <row r="1273" spans="2:20" x14ac:dyDescent="0.25">
      <c r="B1273" s="37"/>
      <c r="C1273">
        <f>_xlfn.XLOOKUP(B1273,'Centro de Custo'!A$2:A$45,'Centro de Custo'!B$2:B$45)</f>
        <v>0</v>
      </c>
      <c r="E1273" s="39"/>
      <c r="F1273" s="40"/>
      <c r="G1273" s="41"/>
      <c r="H1273" s="42">
        <f>YEAR(Tabela3[[#This Row],[Data]])</f>
        <v>1900</v>
      </c>
      <c r="I1273" s="42" t="str">
        <f>_xlfn.XLOOKUP(J1273,'Centro de Custo'!J$2:J$13,'Centro de Custo'!K$2:K$13)</f>
        <v>Janeiro</v>
      </c>
      <c r="J1273" s="43">
        <f>MONTH(Tabela3[[#This Row],[Data]])</f>
        <v>1</v>
      </c>
      <c r="K1273" s="39">
        <f>SUM(E$3:Tabela3[[#This Row],[Valor]])</f>
        <v>4236027.08</v>
      </c>
      <c r="L1273" s="40">
        <f t="shared" si="19"/>
        <v>2.22375</v>
      </c>
      <c r="M1273" s="40"/>
      <c r="N1273" s="40"/>
      <c r="O1273" s="40"/>
      <c r="P1273" s="39"/>
      <c r="Q1273" s="39"/>
      <c r="R1273" s="39"/>
      <c r="S1273" s="39"/>
      <c r="T1273" s="39"/>
    </row>
    <row r="1274" spans="2:20" x14ac:dyDescent="0.25">
      <c r="B1274" s="37"/>
      <c r="C1274">
        <f>_xlfn.XLOOKUP(B1274,'Centro de Custo'!A$2:A$45,'Centro de Custo'!B$2:B$45)</f>
        <v>0</v>
      </c>
      <c r="E1274" s="39"/>
      <c r="F1274" s="40"/>
      <c r="G1274" s="41"/>
      <c r="H1274" s="42">
        <f>YEAR(Tabela3[[#This Row],[Data]])</f>
        <v>1900</v>
      </c>
      <c r="I1274" s="42" t="str">
        <f>_xlfn.XLOOKUP(J1274,'Centro de Custo'!J$2:J$13,'Centro de Custo'!K$2:K$13)</f>
        <v>Janeiro</v>
      </c>
      <c r="J1274" s="43">
        <f>MONTH(Tabela3[[#This Row],[Data]])</f>
        <v>1</v>
      </c>
      <c r="K1274" s="39">
        <f>SUM(E$3:Tabela3[[#This Row],[Valor]])</f>
        <v>4236027.08</v>
      </c>
      <c r="L1274" s="40">
        <f t="shared" si="19"/>
        <v>2.22375</v>
      </c>
      <c r="M1274" s="40"/>
      <c r="N1274" s="40"/>
      <c r="O1274" s="40"/>
      <c r="P1274" s="39"/>
      <c r="Q1274" s="39"/>
      <c r="R1274" s="39"/>
      <c r="S1274" s="39"/>
      <c r="T1274" s="39"/>
    </row>
    <row r="1275" spans="2:20" x14ac:dyDescent="0.25">
      <c r="B1275" s="37"/>
      <c r="C1275">
        <f>_xlfn.XLOOKUP(B1275,'Centro de Custo'!A$2:A$45,'Centro de Custo'!B$2:B$45)</f>
        <v>0</v>
      </c>
      <c r="E1275" s="39"/>
      <c r="F1275" s="40"/>
      <c r="G1275" s="41"/>
      <c r="H1275" s="42">
        <f>YEAR(Tabela3[[#This Row],[Data]])</f>
        <v>1900</v>
      </c>
      <c r="I1275" s="42" t="str">
        <f>_xlfn.XLOOKUP(J1275,'Centro de Custo'!J$2:J$13,'Centro de Custo'!K$2:K$13)</f>
        <v>Janeiro</v>
      </c>
      <c r="J1275" s="43">
        <f>MONTH(Tabela3[[#This Row],[Data]])</f>
        <v>1</v>
      </c>
      <c r="K1275" s="39">
        <f>SUM(E$3:Tabela3[[#This Row],[Valor]])</f>
        <v>4236027.08</v>
      </c>
      <c r="L1275" s="40">
        <f t="shared" si="19"/>
        <v>2.22375</v>
      </c>
      <c r="M1275" s="40"/>
      <c r="N1275" s="40"/>
      <c r="O1275" s="40"/>
      <c r="P1275" s="39"/>
      <c r="Q1275" s="39"/>
      <c r="R1275" s="39"/>
      <c r="S1275" s="39"/>
      <c r="T1275" s="39"/>
    </row>
    <row r="1276" spans="2:20" x14ac:dyDescent="0.25">
      <c r="B1276" s="37"/>
      <c r="C1276">
        <f>_xlfn.XLOOKUP(B1276,'Centro de Custo'!A$2:A$45,'Centro de Custo'!B$2:B$45)</f>
        <v>0</v>
      </c>
      <c r="E1276" s="39"/>
      <c r="F1276" s="40"/>
      <c r="G1276" s="41"/>
      <c r="H1276" s="42">
        <f>YEAR(Tabela3[[#This Row],[Data]])</f>
        <v>1900</v>
      </c>
      <c r="I1276" s="42" t="str">
        <f>_xlfn.XLOOKUP(J1276,'Centro de Custo'!J$2:J$13,'Centro de Custo'!K$2:K$13)</f>
        <v>Janeiro</v>
      </c>
      <c r="J1276" s="43">
        <f>MONTH(Tabela3[[#This Row],[Data]])</f>
        <v>1</v>
      </c>
      <c r="K1276" s="39">
        <f>SUM(E$3:Tabela3[[#This Row],[Valor]])</f>
        <v>4236027.08</v>
      </c>
      <c r="L1276" s="40">
        <f t="shared" si="19"/>
        <v>2.22375</v>
      </c>
      <c r="M1276" s="40"/>
      <c r="N1276" s="40"/>
      <c r="O1276" s="40"/>
      <c r="P1276" s="39"/>
      <c r="Q1276" s="39"/>
      <c r="R1276" s="39"/>
      <c r="S1276" s="39"/>
      <c r="T1276" s="39"/>
    </row>
    <row r="1277" spans="2:20" x14ac:dyDescent="0.25">
      <c r="B1277" s="37"/>
      <c r="C1277">
        <f>_xlfn.XLOOKUP(B1277,'Centro de Custo'!A$2:A$45,'Centro de Custo'!B$2:B$45)</f>
        <v>0</v>
      </c>
      <c r="E1277" s="39"/>
      <c r="F1277" s="40"/>
      <c r="G1277" s="41"/>
      <c r="H1277" s="42">
        <f>YEAR(Tabela3[[#This Row],[Data]])</f>
        <v>1900</v>
      </c>
      <c r="I1277" s="42" t="str">
        <f>_xlfn.XLOOKUP(J1277,'Centro de Custo'!J$2:J$13,'Centro de Custo'!K$2:K$13)</f>
        <v>Janeiro</v>
      </c>
      <c r="J1277" s="43">
        <f>MONTH(Tabela3[[#This Row],[Data]])</f>
        <v>1</v>
      </c>
      <c r="K1277" s="39">
        <f>SUM(E$3:Tabela3[[#This Row],[Valor]])</f>
        <v>4236027.08</v>
      </c>
      <c r="L1277" s="40">
        <f t="shared" si="19"/>
        <v>2.22375</v>
      </c>
      <c r="M1277" s="40"/>
      <c r="N1277" s="40"/>
      <c r="O1277" s="40"/>
      <c r="P1277" s="39"/>
      <c r="Q1277" s="39"/>
      <c r="R1277" s="39"/>
      <c r="S1277" s="39"/>
      <c r="T1277" s="39"/>
    </row>
    <row r="1278" spans="2:20" x14ac:dyDescent="0.25">
      <c r="B1278" s="37"/>
      <c r="C1278">
        <f>_xlfn.XLOOKUP(B1278,'Centro de Custo'!A$2:A$45,'Centro de Custo'!B$2:B$45)</f>
        <v>0</v>
      </c>
      <c r="E1278" s="39"/>
      <c r="F1278" s="40"/>
      <c r="G1278" s="41"/>
      <c r="H1278" s="42">
        <f>YEAR(Tabela3[[#This Row],[Data]])</f>
        <v>1900</v>
      </c>
      <c r="I1278" s="42" t="str">
        <f>_xlfn.XLOOKUP(J1278,'Centro de Custo'!J$2:J$13,'Centro de Custo'!K$2:K$13)</f>
        <v>Janeiro</v>
      </c>
      <c r="J1278" s="43">
        <f>MONTH(Tabela3[[#This Row],[Data]])</f>
        <v>1</v>
      </c>
      <c r="K1278" s="39">
        <f>SUM(E$3:Tabela3[[#This Row],[Valor]])</f>
        <v>4236027.08</v>
      </c>
      <c r="L1278" s="40">
        <f t="shared" si="19"/>
        <v>2.22375</v>
      </c>
      <c r="M1278" s="40"/>
      <c r="N1278" s="40"/>
      <c r="O1278" s="40"/>
      <c r="P1278" s="39"/>
      <c r="Q1278" s="39"/>
      <c r="R1278" s="39"/>
      <c r="S1278" s="39"/>
      <c r="T1278" s="39"/>
    </row>
    <row r="1279" spans="2:20" x14ac:dyDescent="0.25">
      <c r="B1279" s="37"/>
      <c r="C1279">
        <f>_xlfn.XLOOKUP(B1279,'Centro de Custo'!A$2:A$45,'Centro de Custo'!B$2:B$45)</f>
        <v>0</v>
      </c>
      <c r="E1279" s="39"/>
      <c r="F1279" s="40"/>
      <c r="G1279" s="41"/>
      <c r="H1279" s="42">
        <f>YEAR(Tabela3[[#This Row],[Data]])</f>
        <v>1900</v>
      </c>
      <c r="I1279" s="42" t="str">
        <f>_xlfn.XLOOKUP(J1279,'Centro de Custo'!J$2:J$13,'Centro de Custo'!K$2:K$13)</f>
        <v>Janeiro</v>
      </c>
      <c r="J1279" s="43">
        <f>MONTH(Tabela3[[#This Row],[Data]])</f>
        <v>1</v>
      </c>
      <c r="K1279" s="39">
        <f>SUM(E$3:Tabela3[[#This Row],[Valor]])</f>
        <v>4236027.08</v>
      </c>
      <c r="L1279" s="40">
        <f t="shared" si="19"/>
        <v>2.22375</v>
      </c>
      <c r="M1279" s="40"/>
      <c r="N1279" s="40"/>
      <c r="O1279" s="40"/>
      <c r="P1279" s="39"/>
      <c r="Q1279" s="39"/>
      <c r="R1279" s="39"/>
      <c r="S1279" s="39"/>
      <c r="T1279" s="39"/>
    </row>
    <row r="1280" spans="2:20" x14ac:dyDescent="0.25">
      <c r="B1280" s="37"/>
      <c r="C1280">
        <f>_xlfn.XLOOKUP(B1280,'Centro de Custo'!A$2:A$45,'Centro de Custo'!B$2:B$45)</f>
        <v>0</v>
      </c>
      <c r="E1280" s="39"/>
      <c r="F1280" s="40"/>
      <c r="G1280" s="41"/>
      <c r="H1280" s="42">
        <f>YEAR(Tabela3[[#This Row],[Data]])</f>
        <v>1900</v>
      </c>
      <c r="I1280" s="42" t="str">
        <f>_xlfn.XLOOKUP(J1280,'Centro de Custo'!J$2:J$13,'Centro de Custo'!K$2:K$13)</f>
        <v>Janeiro</v>
      </c>
      <c r="J1280" s="43">
        <f>MONTH(Tabela3[[#This Row],[Data]])</f>
        <v>1</v>
      </c>
      <c r="K1280" s="39">
        <f>SUM(E$3:Tabela3[[#This Row],[Valor]])</f>
        <v>4236027.08</v>
      </c>
      <c r="L1280" s="40">
        <f t="shared" si="19"/>
        <v>2.22375</v>
      </c>
      <c r="M1280" s="40"/>
      <c r="N1280" s="40"/>
      <c r="O1280" s="40"/>
      <c r="P1280" s="39"/>
      <c r="Q1280" s="39"/>
      <c r="R1280" s="39"/>
      <c r="S1280" s="39"/>
      <c r="T1280" s="39"/>
    </row>
    <row r="1281" spans="2:20" x14ac:dyDescent="0.25">
      <c r="B1281" s="37"/>
      <c r="C1281">
        <f>_xlfn.XLOOKUP(B1281,'Centro de Custo'!A$2:A$45,'Centro de Custo'!B$2:B$45)</f>
        <v>0</v>
      </c>
      <c r="E1281" s="39"/>
      <c r="F1281" s="40"/>
      <c r="G1281" s="41"/>
      <c r="H1281" s="42">
        <f>YEAR(Tabela3[[#This Row],[Data]])</f>
        <v>1900</v>
      </c>
      <c r="I1281" s="42" t="str">
        <f>_xlfn.XLOOKUP(J1281,'Centro de Custo'!J$2:J$13,'Centro de Custo'!K$2:K$13)</f>
        <v>Janeiro</v>
      </c>
      <c r="J1281" s="43">
        <f>MONTH(Tabela3[[#This Row],[Data]])</f>
        <v>1</v>
      </c>
      <c r="K1281" s="39">
        <f>SUM(E$3:Tabela3[[#This Row],[Valor]])</f>
        <v>4236027.08</v>
      </c>
      <c r="L1281" s="40">
        <f t="shared" si="19"/>
        <v>2.22375</v>
      </c>
      <c r="M1281" s="40"/>
      <c r="N1281" s="40"/>
      <c r="O1281" s="40"/>
      <c r="P1281" s="39"/>
      <c r="Q1281" s="39"/>
      <c r="R1281" s="39"/>
      <c r="S1281" s="39"/>
      <c r="T1281" s="39"/>
    </row>
    <row r="1282" spans="2:20" x14ac:dyDescent="0.25">
      <c r="B1282" s="37"/>
      <c r="C1282">
        <f>_xlfn.XLOOKUP(B1282,'Centro de Custo'!A$2:A$45,'Centro de Custo'!B$2:B$45)</f>
        <v>0</v>
      </c>
      <c r="E1282" s="39"/>
      <c r="F1282" s="40"/>
      <c r="G1282" s="41"/>
      <c r="H1282" s="42">
        <f>YEAR(Tabela3[[#This Row],[Data]])</f>
        <v>1900</v>
      </c>
      <c r="I1282" s="42" t="str">
        <f>_xlfn.XLOOKUP(J1282,'Centro de Custo'!J$2:J$13,'Centro de Custo'!K$2:K$13)</f>
        <v>Janeiro</v>
      </c>
      <c r="J1282" s="43">
        <f>MONTH(Tabela3[[#This Row],[Data]])</f>
        <v>1</v>
      </c>
      <c r="K1282" s="39">
        <f>SUM(E$3:Tabela3[[#This Row],[Valor]])</f>
        <v>4236027.08</v>
      </c>
      <c r="L1282" s="40">
        <f t="shared" si="19"/>
        <v>2.22375</v>
      </c>
      <c r="M1282" s="40"/>
      <c r="N1282" s="40"/>
      <c r="O1282" s="40"/>
      <c r="P1282" s="39"/>
      <c r="Q1282" s="39"/>
      <c r="R1282" s="39"/>
      <c r="S1282" s="39"/>
      <c r="T1282" s="39"/>
    </row>
    <row r="1283" spans="2:20" x14ac:dyDescent="0.25">
      <c r="B1283" s="37"/>
      <c r="C1283">
        <f>_xlfn.XLOOKUP(B1283,'Centro de Custo'!A$2:A$45,'Centro de Custo'!B$2:B$45)</f>
        <v>0</v>
      </c>
      <c r="E1283" s="39"/>
      <c r="F1283" s="40"/>
      <c r="G1283" s="41"/>
      <c r="H1283" s="42">
        <f>YEAR(Tabela3[[#This Row],[Data]])</f>
        <v>1900</v>
      </c>
      <c r="I1283" s="42" t="str">
        <f>_xlfn.XLOOKUP(J1283,'Centro de Custo'!J$2:J$13,'Centro de Custo'!K$2:K$13)</f>
        <v>Janeiro</v>
      </c>
      <c r="J1283" s="43">
        <f>MONTH(Tabela3[[#This Row],[Data]])</f>
        <v>1</v>
      </c>
      <c r="K1283" s="39">
        <f>SUM(E$3:Tabela3[[#This Row],[Valor]])</f>
        <v>4236027.08</v>
      </c>
      <c r="L1283" s="40">
        <f t="shared" ref="L1283:L1346" si="20">17.79/8</f>
        <v>2.22375</v>
      </c>
      <c r="M1283" s="40"/>
      <c r="N1283" s="40"/>
      <c r="O1283" s="40"/>
      <c r="P1283" s="39"/>
      <c r="Q1283" s="39"/>
      <c r="R1283" s="39"/>
      <c r="S1283" s="39"/>
      <c r="T1283" s="39"/>
    </row>
    <row r="1284" spans="2:20" x14ac:dyDescent="0.25">
      <c r="B1284" s="37"/>
      <c r="C1284">
        <f>_xlfn.XLOOKUP(B1284,'Centro de Custo'!A$2:A$45,'Centro de Custo'!B$2:B$45)</f>
        <v>0</v>
      </c>
      <c r="E1284" s="39"/>
      <c r="F1284" s="40"/>
      <c r="G1284" s="41"/>
      <c r="H1284" s="42">
        <f>YEAR(Tabela3[[#This Row],[Data]])</f>
        <v>1900</v>
      </c>
      <c r="I1284" s="42" t="str">
        <f>_xlfn.XLOOKUP(J1284,'Centro de Custo'!J$2:J$13,'Centro de Custo'!K$2:K$13)</f>
        <v>Janeiro</v>
      </c>
      <c r="J1284" s="43">
        <f>MONTH(Tabela3[[#This Row],[Data]])</f>
        <v>1</v>
      </c>
      <c r="K1284" s="39">
        <f>SUM(E$3:Tabela3[[#This Row],[Valor]])</f>
        <v>4236027.08</v>
      </c>
      <c r="L1284" s="40">
        <f t="shared" si="20"/>
        <v>2.22375</v>
      </c>
      <c r="M1284" s="40"/>
      <c r="N1284" s="40"/>
      <c r="O1284" s="40"/>
      <c r="P1284" s="39"/>
      <c r="Q1284" s="39"/>
      <c r="R1284" s="39"/>
      <c r="S1284" s="39"/>
      <c r="T1284" s="39"/>
    </row>
    <row r="1285" spans="2:20" x14ac:dyDescent="0.25">
      <c r="B1285" s="37"/>
      <c r="C1285">
        <f>_xlfn.XLOOKUP(B1285,'Centro de Custo'!A$2:A$45,'Centro de Custo'!B$2:B$45)</f>
        <v>0</v>
      </c>
      <c r="E1285" s="39"/>
      <c r="F1285" s="40"/>
      <c r="G1285" s="41"/>
      <c r="H1285" s="42">
        <f>YEAR(Tabela3[[#This Row],[Data]])</f>
        <v>1900</v>
      </c>
      <c r="I1285" s="42" t="str">
        <f>_xlfn.XLOOKUP(J1285,'Centro de Custo'!J$2:J$13,'Centro de Custo'!K$2:K$13)</f>
        <v>Janeiro</v>
      </c>
      <c r="J1285" s="43">
        <f>MONTH(Tabela3[[#This Row],[Data]])</f>
        <v>1</v>
      </c>
      <c r="K1285" s="39">
        <f>SUM(E$3:Tabela3[[#This Row],[Valor]])</f>
        <v>4236027.08</v>
      </c>
      <c r="L1285" s="40">
        <f t="shared" si="20"/>
        <v>2.22375</v>
      </c>
      <c r="M1285" s="40"/>
      <c r="N1285" s="40"/>
      <c r="O1285" s="40"/>
      <c r="P1285" s="39"/>
      <c r="Q1285" s="39"/>
      <c r="R1285" s="39"/>
      <c r="S1285" s="39"/>
      <c r="T1285" s="39"/>
    </row>
    <row r="1286" spans="2:20" x14ac:dyDescent="0.25">
      <c r="B1286" s="37"/>
      <c r="C1286">
        <f>_xlfn.XLOOKUP(B1286,'Centro de Custo'!A$2:A$45,'Centro de Custo'!B$2:B$45)</f>
        <v>0</v>
      </c>
      <c r="E1286" s="39"/>
      <c r="F1286" s="40"/>
      <c r="G1286" s="41"/>
      <c r="H1286" s="42">
        <f>YEAR(Tabela3[[#This Row],[Data]])</f>
        <v>1900</v>
      </c>
      <c r="I1286" s="42" t="str">
        <f>_xlfn.XLOOKUP(J1286,'Centro de Custo'!J$2:J$13,'Centro de Custo'!K$2:K$13)</f>
        <v>Janeiro</v>
      </c>
      <c r="J1286" s="43">
        <f>MONTH(Tabela3[[#This Row],[Data]])</f>
        <v>1</v>
      </c>
      <c r="K1286" s="39">
        <f>SUM(E$3:Tabela3[[#This Row],[Valor]])</f>
        <v>4236027.08</v>
      </c>
      <c r="L1286" s="40">
        <f t="shared" si="20"/>
        <v>2.22375</v>
      </c>
      <c r="M1286" s="40"/>
      <c r="N1286" s="40"/>
      <c r="O1286" s="40"/>
      <c r="P1286" s="39"/>
      <c r="Q1286" s="39"/>
      <c r="R1286" s="39"/>
      <c r="S1286" s="39"/>
      <c r="T1286" s="39"/>
    </row>
    <row r="1287" spans="2:20" x14ac:dyDescent="0.25">
      <c r="B1287" s="37"/>
      <c r="C1287">
        <f>_xlfn.XLOOKUP(B1287,'Centro de Custo'!A$2:A$45,'Centro de Custo'!B$2:B$45)</f>
        <v>0</v>
      </c>
      <c r="E1287" s="39"/>
      <c r="F1287" s="40"/>
      <c r="G1287" s="41"/>
      <c r="H1287" s="42">
        <f>YEAR(Tabela3[[#This Row],[Data]])</f>
        <v>1900</v>
      </c>
      <c r="I1287" s="42" t="str">
        <f>_xlfn.XLOOKUP(J1287,'Centro de Custo'!J$2:J$13,'Centro de Custo'!K$2:K$13)</f>
        <v>Janeiro</v>
      </c>
      <c r="J1287" s="43">
        <f>MONTH(Tabela3[[#This Row],[Data]])</f>
        <v>1</v>
      </c>
      <c r="K1287" s="39">
        <f>SUM(E$3:Tabela3[[#This Row],[Valor]])</f>
        <v>4236027.08</v>
      </c>
      <c r="L1287" s="40">
        <f t="shared" si="20"/>
        <v>2.22375</v>
      </c>
      <c r="M1287" s="40"/>
      <c r="N1287" s="40"/>
      <c r="O1287" s="40"/>
      <c r="P1287" s="39"/>
      <c r="Q1287" s="39"/>
      <c r="R1287" s="39"/>
      <c r="S1287" s="39"/>
      <c r="T1287" s="39"/>
    </row>
    <row r="1288" spans="2:20" x14ac:dyDescent="0.25">
      <c r="B1288" s="37"/>
      <c r="C1288">
        <f>_xlfn.XLOOKUP(B1288,'Centro de Custo'!A$2:A$45,'Centro de Custo'!B$2:B$45)</f>
        <v>0</v>
      </c>
      <c r="E1288" s="39"/>
      <c r="F1288" s="40"/>
      <c r="G1288" s="41"/>
      <c r="H1288" s="42">
        <f>YEAR(Tabela3[[#This Row],[Data]])</f>
        <v>1900</v>
      </c>
      <c r="I1288" s="42" t="str">
        <f>_xlfn.XLOOKUP(J1288,'Centro de Custo'!J$2:J$13,'Centro de Custo'!K$2:K$13)</f>
        <v>Janeiro</v>
      </c>
      <c r="J1288" s="43">
        <f>MONTH(Tabela3[[#This Row],[Data]])</f>
        <v>1</v>
      </c>
      <c r="K1288" s="39">
        <f>SUM(E$3:Tabela3[[#This Row],[Valor]])</f>
        <v>4236027.08</v>
      </c>
      <c r="L1288" s="40">
        <f t="shared" si="20"/>
        <v>2.22375</v>
      </c>
      <c r="M1288" s="40"/>
      <c r="N1288" s="40"/>
      <c r="O1288" s="40"/>
      <c r="P1288" s="39"/>
      <c r="Q1288" s="39"/>
      <c r="R1288" s="39"/>
      <c r="S1288" s="39"/>
      <c r="T1288" s="39"/>
    </row>
    <row r="1289" spans="2:20" x14ac:dyDescent="0.25">
      <c r="B1289" s="37"/>
      <c r="C1289">
        <f>_xlfn.XLOOKUP(B1289,'Centro de Custo'!A$2:A$45,'Centro de Custo'!B$2:B$45)</f>
        <v>0</v>
      </c>
      <c r="E1289" s="39"/>
      <c r="F1289" s="40"/>
      <c r="G1289" s="41"/>
      <c r="H1289" s="42">
        <f>YEAR(Tabela3[[#This Row],[Data]])</f>
        <v>1900</v>
      </c>
      <c r="I1289" s="42" t="str">
        <f>_xlfn.XLOOKUP(J1289,'Centro de Custo'!J$2:J$13,'Centro de Custo'!K$2:K$13)</f>
        <v>Janeiro</v>
      </c>
      <c r="J1289" s="43">
        <f>MONTH(Tabela3[[#This Row],[Data]])</f>
        <v>1</v>
      </c>
      <c r="K1289" s="39">
        <f>SUM(E$3:Tabela3[[#This Row],[Valor]])</f>
        <v>4236027.08</v>
      </c>
      <c r="L1289" s="40">
        <f t="shared" si="20"/>
        <v>2.22375</v>
      </c>
      <c r="M1289" s="40"/>
      <c r="N1289" s="40"/>
      <c r="O1289" s="40"/>
      <c r="P1289" s="39"/>
      <c r="Q1289" s="39"/>
      <c r="R1289" s="39"/>
      <c r="S1289" s="39"/>
      <c r="T1289" s="39"/>
    </row>
    <row r="1290" spans="2:20" x14ac:dyDescent="0.25">
      <c r="B1290" s="37"/>
      <c r="C1290">
        <f>_xlfn.XLOOKUP(B1290,'Centro de Custo'!A$2:A$45,'Centro de Custo'!B$2:B$45)</f>
        <v>0</v>
      </c>
      <c r="E1290" s="39"/>
      <c r="F1290" s="40"/>
      <c r="G1290" s="41"/>
      <c r="H1290" s="42">
        <f>YEAR(Tabela3[[#This Row],[Data]])</f>
        <v>1900</v>
      </c>
      <c r="I1290" s="42" t="str">
        <f>_xlfn.XLOOKUP(J1290,'Centro de Custo'!J$2:J$13,'Centro de Custo'!K$2:K$13)</f>
        <v>Janeiro</v>
      </c>
      <c r="J1290" s="43">
        <f>MONTH(Tabela3[[#This Row],[Data]])</f>
        <v>1</v>
      </c>
      <c r="K1290" s="39">
        <f>SUM(E$3:Tabela3[[#This Row],[Valor]])</f>
        <v>4236027.08</v>
      </c>
      <c r="L1290" s="40">
        <f t="shared" si="20"/>
        <v>2.22375</v>
      </c>
      <c r="M1290" s="40"/>
      <c r="N1290" s="40"/>
      <c r="O1290" s="40"/>
      <c r="P1290" s="39"/>
      <c r="Q1290" s="39"/>
      <c r="R1290" s="39"/>
      <c r="S1290" s="39"/>
      <c r="T1290" s="39"/>
    </row>
    <row r="1291" spans="2:20" x14ac:dyDescent="0.25">
      <c r="B1291" s="37"/>
      <c r="C1291">
        <f>_xlfn.XLOOKUP(B1291,'Centro de Custo'!A$2:A$45,'Centro de Custo'!B$2:B$45)</f>
        <v>0</v>
      </c>
      <c r="E1291" s="39"/>
      <c r="F1291" s="40"/>
      <c r="G1291" s="41"/>
      <c r="H1291" s="42">
        <f>YEAR(Tabela3[[#This Row],[Data]])</f>
        <v>1900</v>
      </c>
      <c r="I1291" s="42" t="str">
        <f>_xlfn.XLOOKUP(J1291,'Centro de Custo'!J$2:J$13,'Centro de Custo'!K$2:K$13)</f>
        <v>Janeiro</v>
      </c>
      <c r="J1291" s="43">
        <f>MONTH(Tabela3[[#This Row],[Data]])</f>
        <v>1</v>
      </c>
      <c r="K1291" s="39">
        <f>SUM(E$3:Tabela3[[#This Row],[Valor]])</f>
        <v>4236027.08</v>
      </c>
      <c r="L1291" s="40">
        <f t="shared" si="20"/>
        <v>2.22375</v>
      </c>
      <c r="M1291" s="40"/>
      <c r="N1291" s="40"/>
      <c r="O1291" s="40"/>
      <c r="P1291" s="39"/>
      <c r="Q1291" s="39"/>
      <c r="R1291" s="39"/>
      <c r="S1291" s="39"/>
      <c r="T1291" s="39"/>
    </row>
    <row r="1292" spans="2:20" x14ac:dyDescent="0.25">
      <c r="B1292" s="37"/>
      <c r="C1292">
        <f>_xlfn.XLOOKUP(B1292,'Centro de Custo'!A$2:A$45,'Centro de Custo'!B$2:B$45)</f>
        <v>0</v>
      </c>
      <c r="E1292" s="39"/>
      <c r="F1292" s="40"/>
      <c r="G1292" s="41"/>
      <c r="H1292" s="42">
        <f>YEAR(Tabela3[[#This Row],[Data]])</f>
        <v>1900</v>
      </c>
      <c r="I1292" s="42" t="str">
        <f>_xlfn.XLOOKUP(J1292,'Centro de Custo'!J$2:J$13,'Centro de Custo'!K$2:K$13)</f>
        <v>Janeiro</v>
      </c>
      <c r="J1292" s="43">
        <f>MONTH(Tabela3[[#This Row],[Data]])</f>
        <v>1</v>
      </c>
      <c r="K1292" s="39">
        <f>SUM(E$3:Tabela3[[#This Row],[Valor]])</f>
        <v>4236027.08</v>
      </c>
      <c r="L1292" s="40">
        <f t="shared" si="20"/>
        <v>2.22375</v>
      </c>
      <c r="M1292" s="40"/>
      <c r="N1292" s="40"/>
      <c r="O1292" s="40"/>
      <c r="P1292" s="39"/>
      <c r="Q1292" s="39"/>
      <c r="R1292" s="39"/>
      <c r="S1292" s="39"/>
      <c r="T1292" s="39"/>
    </row>
    <row r="1293" spans="2:20" x14ac:dyDescent="0.25">
      <c r="B1293" s="37"/>
      <c r="C1293">
        <f>_xlfn.XLOOKUP(B1293,'Centro de Custo'!A$2:A$45,'Centro de Custo'!B$2:B$45)</f>
        <v>0</v>
      </c>
      <c r="E1293" s="39"/>
      <c r="F1293" s="40"/>
      <c r="G1293" s="41"/>
      <c r="H1293" s="42">
        <f>YEAR(Tabela3[[#This Row],[Data]])</f>
        <v>1900</v>
      </c>
      <c r="I1293" s="42" t="str">
        <f>_xlfn.XLOOKUP(J1293,'Centro de Custo'!J$2:J$13,'Centro de Custo'!K$2:K$13)</f>
        <v>Janeiro</v>
      </c>
      <c r="J1293" s="43">
        <f>MONTH(Tabela3[[#This Row],[Data]])</f>
        <v>1</v>
      </c>
      <c r="K1293" s="39">
        <f>SUM(E$3:Tabela3[[#This Row],[Valor]])</f>
        <v>4236027.08</v>
      </c>
      <c r="L1293" s="40">
        <f t="shared" si="20"/>
        <v>2.22375</v>
      </c>
      <c r="M1293" s="40"/>
      <c r="N1293" s="40"/>
      <c r="O1293" s="40"/>
      <c r="P1293" s="39"/>
      <c r="Q1293" s="39"/>
      <c r="R1293" s="39"/>
      <c r="S1293" s="39"/>
      <c r="T1293" s="39"/>
    </row>
    <row r="1294" spans="2:20" x14ac:dyDescent="0.25">
      <c r="B1294" s="37"/>
      <c r="C1294">
        <f>_xlfn.XLOOKUP(B1294,'Centro de Custo'!A$2:A$45,'Centro de Custo'!B$2:B$45)</f>
        <v>0</v>
      </c>
      <c r="E1294" s="39"/>
      <c r="F1294" s="40"/>
      <c r="G1294" s="41"/>
      <c r="H1294" s="42">
        <f>YEAR(Tabela3[[#This Row],[Data]])</f>
        <v>1900</v>
      </c>
      <c r="I1294" s="42" t="str">
        <f>_xlfn.XLOOKUP(J1294,'Centro de Custo'!J$2:J$13,'Centro de Custo'!K$2:K$13)</f>
        <v>Janeiro</v>
      </c>
      <c r="J1294" s="43">
        <f>MONTH(Tabela3[[#This Row],[Data]])</f>
        <v>1</v>
      </c>
      <c r="K1294" s="39">
        <f>SUM(E$3:Tabela3[[#This Row],[Valor]])</f>
        <v>4236027.08</v>
      </c>
      <c r="L1294" s="40">
        <f t="shared" si="20"/>
        <v>2.22375</v>
      </c>
      <c r="M1294" s="40"/>
      <c r="N1294" s="40"/>
      <c r="O1294" s="40"/>
      <c r="P1294" s="39"/>
      <c r="Q1294" s="39"/>
      <c r="R1294" s="39"/>
      <c r="S1294" s="39"/>
      <c r="T1294" s="39"/>
    </row>
    <row r="1295" spans="2:20" x14ac:dyDescent="0.25">
      <c r="B1295" s="37"/>
      <c r="C1295">
        <f>_xlfn.XLOOKUP(B1295,'Centro de Custo'!A$2:A$45,'Centro de Custo'!B$2:B$45)</f>
        <v>0</v>
      </c>
      <c r="E1295" s="39"/>
      <c r="F1295" s="40"/>
      <c r="G1295" s="41"/>
      <c r="H1295" s="42">
        <f>YEAR(Tabela3[[#This Row],[Data]])</f>
        <v>1900</v>
      </c>
      <c r="I1295" s="42" t="str">
        <f>_xlfn.XLOOKUP(J1295,'Centro de Custo'!J$2:J$13,'Centro de Custo'!K$2:K$13)</f>
        <v>Janeiro</v>
      </c>
      <c r="J1295" s="43">
        <f>MONTH(Tabela3[[#This Row],[Data]])</f>
        <v>1</v>
      </c>
      <c r="K1295" s="39">
        <f>SUM(E$3:Tabela3[[#This Row],[Valor]])</f>
        <v>4236027.08</v>
      </c>
      <c r="L1295" s="40">
        <f t="shared" si="20"/>
        <v>2.22375</v>
      </c>
      <c r="M1295" s="40"/>
      <c r="N1295" s="40"/>
      <c r="O1295" s="40"/>
      <c r="P1295" s="39"/>
      <c r="Q1295" s="39"/>
      <c r="R1295" s="39"/>
      <c r="S1295" s="39"/>
      <c r="T1295" s="39"/>
    </row>
    <row r="1296" spans="2:20" x14ac:dyDescent="0.25">
      <c r="B1296" s="37"/>
      <c r="C1296">
        <f>_xlfn.XLOOKUP(B1296,'Centro de Custo'!A$2:A$45,'Centro de Custo'!B$2:B$45)</f>
        <v>0</v>
      </c>
      <c r="E1296" s="39"/>
      <c r="F1296" s="40"/>
      <c r="G1296" s="41"/>
      <c r="H1296" s="42">
        <f>YEAR(Tabela3[[#This Row],[Data]])</f>
        <v>1900</v>
      </c>
      <c r="I1296" s="42" t="str">
        <f>_xlfn.XLOOKUP(J1296,'Centro de Custo'!J$2:J$13,'Centro de Custo'!K$2:K$13)</f>
        <v>Janeiro</v>
      </c>
      <c r="J1296" s="43">
        <f>MONTH(Tabela3[[#This Row],[Data]])</f>
        <v>1</v>
      </c>
      <c r="K1296" s="39">
        <f>SUM(E$3:Tabela3[[#This Row],[Valor]])</f>
        <v>4236027.08</v>
      </c>
      <c r="L1296" s="40">
        <f t="shared" si="20"/>
        <v>2.22375</v>
      </c>
      <c r="M1296" s="40"/>
      <c r="N1296" s="40"/>
      <c r="O1296" s="40"/>
      <c r="P1296" s="39"/>
      <c r="Q1296" s="39"/>
      <c r="R1296" s="39"/>
      <c r="S1296" s="39"/>
      <c r="T1296" s="39"/>
    </row>
    <row r="1297" spans="2:20" x14ac:dyDescent="0.25">
      <c r="B1297" s="37"/>
      <c r="C1297">
        <f>_xlfn.XLOOKUP(B1297,'Centro de Custo'!A$2:A$45,'Centro de Custo'!B$2:B$45)</f>
        <v>0</v>
      </c>
      <c r="E1297" s="39"/>
      <c r="F1297" s="40"/>
      <c r="G1297" s="41"/>
      <c r="H1297" s="42">
        <f>YEAR(Tabela3[[#This Row],[Data]])</f>
        <v>1900</v>
      </c>
      <c r="I1297" s="42" t="str">
        <f>_xlfn.XLOOKUP(J1297,'Centro de Custo'!J$2:J$13,'Centro de Custo'!K$2:K$13)</f>
        <v>Janeiro</v>
      </c>
      <c r="J1297" s="43">
        <f>MONTH(Tabela3[[#This Row],[Data]])</f>
        <v>1</v>
      </c>
      <c r="K1297" s="39">
        <f>SUM(E$3:Tabela3[[#This Row],[Valor]])</f>
        <v>4236027.08</v>
      </c>
      <c r="L1297" s="40">
        <f t="shared" si="20"/>
        <v>2.22375</v>
      </c>
      <c r="M1297" s="40"/>
      <c r="N1297" s="40"/>
      <c r="O1297" s="40"/>
      <c r="P1297" s="39"/>
      <c r="Q1297" s="39"/>
      <c r="R1297" s="39"/>
      <c r="S1297" s="39"/>
      <c r="T1297" s="39"/>
    </row>
    <row r="1298" spans="2:20" x14ac:dyDescent="0.25">
      <c r="B1298" s="37"/>
      <c r="C1298">
        <f>_xlfn.XLOOKUP(B1298,'Centro de Custo'!A$2:A$45,'Centro de Custo'!B$2:B$45)</f>
        <v>0</v>
      </c>
      <c r="E1298" s="39"/>
      <c r="F1298" s="40"/>
      <c r="G1298" s="41"/>
      <c r="H1298" s="42">
        <f>YEAR(Tabela3[[#This Row],[Data]])</f>
        <v>1900</v>
      </c>
      <c r="I1298" s="42" t="str">
        <f>_xlfn.XLOOKUP(J1298,'Centro de Custo'!J$2:J$13,'Centro de Custo'!K$2:K$13)</f>
        <v>Janeiro</v>
      </c>
      <c r="J1298" s="43">
        <f>MONTH(Tabela3[[#This Row],[Data]])</f>
        <v>1</v>
      </c>
      <c r="K1298" s="39">
        <f>SUM(E$3:Tabela3[[#This Row],[Valor]])</f>
        <v>4236027.08</v>
      </c>
      <c r="L1298" s="40">
        <f t="shared" si="20"/>
        <v>2.22375</v>
      </c>
      <c r="M1298" s="40"/>
      <c r="N1298" s="40"/>
      <c r="O1298" s="40"/>
      <c r="P1298" s="39"/>
      <c r="Q1298" s="39"/>
      <c r="R1298" s="39"/>
      <c r="S1298" s="39"/>
      <c r="T1298" s="39"/>
    </row>
    <row r="1299" spans="2:20" x14ac:dyDescent="0.25">
      <c r="B1299" s="37"/>
      <c r="C1299">
        <f>_xlfn.XLOOKUP(B1299,'Centro de Custo'!A$2:A$45,'Centro de Custo'!B$2:B$45)</f>
        <v>0</v>
      </c>
      <c r="E1299" s="39"/>
      <c r="F1299" s="40"/>
      <c r="G1299" s="41"/>
      <c r="H1299" s="42">
        <f>YEAR(Tabela3[[#This Row],[Data]])</f>
        <v>1900</v>
      </c>
      <c r="I1299" s="42" t="str">
        <f>_xlfn.XLOOKUP(J1299,'Centro de Custo'!J$2:J$13,'Centro de Custo'!K$2:K$13)</f>
        <v>Janeiro</v>
      </c>
      <c r="J1299" s="43">
        <f>MONTH(Tabela3[[#This Row],[Data]])</f>
        <v>1</v>
      </c>
      <c r="K1299" s="39">
        <f>SUM(E$3:Tabela3[[#This Row],[Valor]])</f>
        <v>4236027.08</v>
      </c>
      <c r="L1299" s="40">
        <f t="shared" si="20"/>
        <v>2.22375</v>
      </c>
      <c r="M1299" s="40"/>
      <c r="N1299" s="40"/>
      <c r="O1299" s="40"/>
      <c r="P1299" s="39"/>
      <c r="Q1299" s="39"/>
      <c r="R1299" s="39"/>
      <c r="S1299" s="39"/>
      <c r="T1299" s="39"/>
    </row>
    <row r="1300" spans="2:20" x14ac:dyDescent="0.25">
      <c r="B1300" s="37"/>
      <c r="C1300">
        <f>_xlfn.XLOOKUP(B1300,'Centro de Custo'!A$2:A$45,'Centro de Custo'!B$2:B$45)</f>
        <v>0</v>
      </c>
      <c r="E1300" s="39"/>
      <c r="F1300" s="40"/>
      <c r="G1300" s="41"/>
      <c r="H1300" s="42">
        <f>YEAR(Tabela3[[#This Row],[Data]])</f>
        <v>1900</v>
      </c>
      <c r="I1300" s="42" t="str">
        <f>_xlfn.XLOOKUP(J1300,'Centro de Custo'!J$2:J$13,'Centro de Custo'!K$2:K$13)</f>
        <v>Janeiro</v>
      </c>
      <c r="J1300" s="43">
        <f>MONTH(Tabela3[[#This Row],[Data]])</f>
        <v>1</v>
      </c>
      <c r="K1300" s="39">
        <f>SUM(E$3:Tabela3[[#This Row],[Valor]])</f>
        <v>4236027.08</v>
      </c>
      <c r="L1300" s="40">
        <f t="shared" si="20"/>
        <v>2.22375</v>
      </c>
      <c r="M1300" s="40"/>
      <c r="N1300" s="40"/>
      <c r="O1300" s="40"/>
      <c r="P1300" s="39"/>
      <c r="Q1300" s="39"/>
      <c r="R1300" s="39"/>
      <c r="S1300" s="39"/>
      <c r="T1300" s="39"/>
    </row>
    <row r="1301" spans="2:20" x14ac:dyDescent="0.25">
      <c r="B1301" s="37"/>
      <c r="C1301">
        <f>_xlfn.XLOOKUP(B1301,'Centro de Custo'!A$2:A$45,'Centro de Custo'!B$2:B$45)</f>
        <v>0</v>
      </c>
      <c r="E1301" s="39"/>
      <c r="F1301" s="40"/>
      <c r="G1301" s="41"/>
      <c r="H1301" s="42">
        <f>YEAR(Tabela3[[#This Row],[Data]])</f>
        <v>1900</v>
      </c>
      <c r="I1301" s="42" t="str">
        <f>_xlfn.XLOOKUP(J1301,'Centro de Custo'!J$2:J$13,'Centro de Custo'!K$2:K$13)</f>
        <v>Janeiro</v>
      </c>
      <c r="J1301" s="43">
        <f>MONTH(Tabela3[[#This Row],[Data]])</f>
        <v>1</v>
      </c>
      <c r="K1301" s="39">
        <f>SUM(E$3:Tabela3[[#This Row],[Valor]])</f>
        <v>4236027.08</v>
      </c>
      <c r="L1301" s="40">
        <f t="shared" si="20"/>
        <v>2.22375</v>
      </c>
      <c r="M1301" s="40"/>
      <c r="N1301" s="40"/>
      <c r="O1301" s="40"/>
      <c r="P1301" s="39"/>
      <c r="Q1301" s="39"/>
      <c r="R1301" s="39"/>
      <c r="S1301" s="39"/>
      <c r="T1301" s="39"/>
    </row>
    <row r="1302" spans="2:20" x14ac:dyDescent="0.25">
      <c r="B1302" s="37"/>
      <c r="C1302">
        <f>_xlfn.XLOOKUP(B1302,'Centro de Custo'!A$2:A$45,'Centro de Custo'!B$2:B$45)</f>
        <v>0</v>
      </c>
      <c r="E1302" s="39"/>
      <c r="F1302" s="40"/>
      <c r="G1302" s="41"/>
      <c r="H1302" s="42">
        <f>YEAR(Tabela3[[#This Row],[Data]])</f>
        <v>1900</v>
      </c>
      <c r="I1302" s="42" t="str">
        <f>_xlfn.XLOOKUP(J1302,'Centro de Custo'!J$2:J$13,'Centro de Custo'!K$2:K$13)</f>
        <v>Janeiro</v>
      </c>
      <c r="J1302" s="43">
        <f>MONTH(Tabela3[[#This Row],[Data]])</f>
        <v>1</v>
      </c>
      <c r="K1302" s="39">
        <f>SUM(E$3:Tabela3[[#This Row],[Valor]])</f>
        <v>4236027.08</v>
      </c>
      <c r="L1302" s="40">
        <f t="shared" si="20"/>
        <v>2.22375</v>
      </c>
      <c r="M1302" s="40"/>
      <c r="N1302" s="40"/>
      <c r="O1302" s="40"/>
      <c r="P1302" s="39"/>
      <c r="Q1302" s="39"/>
      <c r="R1302" s="39"/>
      <c r="S1302" s="39"/>
      <c r="T1302" s="39"/>
    </row>
    <row r="1303" spans="2:20" x14ac:dyDescent="0.25">
      <c r="B1303" s="37"/>
      <c r="C1303">
        <f>_xlfn.XLOOKUP(B1303,'Centro de Custo'!A$2:A$45,'Centro de Custo'!B$2:B$45)</f>
        <v>0</v>
      </c>
      <c r="E1303" s="39"/>
      <c r="F1303" s="40"/>
      <c r="G1303" s="41"/>
      <c r="H1303" s="42">
        <f>YEAR(Tabela3[[#This Row],[Data]])</f>
        <v>1900</v>
      </c>
      <c r="I1303" s="42" t="str">
        <f>_xlfn.XLOOKUP(J1303,'Centro de Custo'!J$2:J$13,'Centro de Custo'!K$2:K$13)</f>
        <v>Janeiro</v>
      </c>
      <c r="J1303" s="43">
        <f>MONTH(Tabela3[[#This Row],[Data]])</f>
        <v>1</v>
      </c>
      <c r="K1303" s="39">
        <f>SUM(E$3:Tabela3[[#This Row],[Valor]])</f>
        <v>4236027.08</v>
      </c>
      <c r="L1303" s="40">
        <f t="shared" si="20"/>
        <v>2.22375</v>
      </c>
      <c r="M1303" s="40"/>
      <c r="N1303" s="40"/>
      <c r="O1303" s="40"/>
      <c r="P1303" s="39"/>
      <c r="Q1303" s="39"/>
      <c r="R1303" s="39"/>
      <c r="S1303" s="39"/>
      <c r="T1303" s="39"/>
    </row>
    <row r="1304" spans="2:20" x14ac:dyDescent="0.25">
      <c r="B1304" s="37"/>
      <c r="C1304">
        <f>_xlfn.XLOOKUP(B1304,'Centro de Custo'!A$2:A$45,'Centro de Custo'!B$2:B$45)</f>
        <v>0</v>
      </c>
      <c r="E1304" s="39"/>
      <c r="F1304" s="40"/>
      <c r="G1304" s="41"/>
      <c r="H1304" s="42">
        <f>YEAR(Tabela3[[#This Row],[Data]])</f>
        <v>1900</v>
      </c>
      <c r="I1304" s="42" t="str">
        <f>_xlfn.XLOOKUP(J1304,'Centro de Custo'!J$2:J$13,'Centro de Custo'!K$2:K$13)</f>
        <v>Janeiro</v>
      </c>
      <c r="J1304" s="43">
        <f>MONTH(Tabela3[[#This Row],[Data]])</f>
        <v>1</v>
      </c>
      <c r="K1304" s="39">
        <f>SUM(E$3:Tabela3[[#This Row],[Valor]])</f>
        <v>4236027.08</v>
      </c>
      <c r="L1304" s="40">
        <f t="shared" si="20"/>
        <v>2.22375</v>
      </c>
      <c r="M1304" s="40"/>
      <c r="N1304" s="40"/>
      <c r="O1304" s="40"/>
      <c r="P1304" s="39"/>
      <c r="Q1304" s="39"/>
      <c r="R1304" s="39"/>
      <c r="S1304" s="39"/>
      <c r="T1304" s="39"/>
    </row>
    <row r="1305" spans="2:20" x14ac:dyDescent="0.25">
      <c r="B1305" s="37"/>
      <c r="C1305">
        <f>_xlfn.XLOOKUP(B1305,'Centro de Custo'!A$2:A$45,'Centro de Custo'!B$2:B$45)</f>
        <v>0</v>
      </c>
      <c r="E1305" s="39"/>
      <c r="F1305" s="40"/>
      <c r="G1305" s="41"/>
      <c r="H1305" s="42">
        <f>YEAR(Tabela3[[#This Row],[Data]])</f>
        <v>1900</v>
      </c>
      <c r="I1305" s="42" t="str">
        <f>_xlfn.XLOOKUP(J1305,'Centro de Custo'!J$2:J$13,'Centro de Custo'!K$2:K$13)</f>
        <v>Janeiro</v>
      </c>
      <c r="J1305" s="43">
        <f>MONTH(Tabela3[[#This Row],[Data]])</f>
        <v>1</v>
      </c>
      <c r="K1305" s="39">
        <f>SUM(E$3:Tabela3[[#This Row],[Valor]])</f>
        <v>4236027.08</v>
      </c>
      <c r="L1305" s="40">
        <f t="shared" si="20"/>
        <v>2.22375</v>
      </c>
      <c r="M1305" s="40"/>
      <c r="N1305" s="40"/>
      <c r="O1305" s="40"/>
      <c r="P1305" s="39"/>
      <c r="Q1305" s="39"/>
      <c r="R1305" s="39"/>
      <c r="S1305" s="39"/>
      <c r="T1305" s="39"/>
    </row>
    <row r="1306" spans="2:20" x14ac:dyDescent="0.25">
      <c r="B1306" s="37"/>
      <c r="C1306">
        <f>_xlfn.XLOOKUP(B1306,'Centro de Custo'!A$2:A$45,'Centro de Custo'!B$2:B$45)</f>
        <v>0</v>
      </c>
      <c r="E1306" s="39"/>
      <c r="F1306" s="40"/>
      <c r="G1306" s="41"/>
      <c r="H1306" s="42">
        <f>YEAR(Tabela3[[#This Row],[Data]])</f>
        <v>1900</v>
      </c>
      <c r="I1306" s="42" t="str">
        <f>_xlfn.XLOOKUP(J1306,'Centro de Custo'!J$2:J$13,'Centro de Custo'!K$2:K$13)</f>
        <v>Janeiro</v>
      </c>
      <c r="J1306" s="43">
        <f>MONTH(Tabela3[[#This Row],[Data]])</f>
        <v>1</v>
      </c>
      <c r="K1306" s="39">
        <f>SUM(E$3:Tabela3[[#This Row],[Valor]])</f>
        <v>4236027.08</v>
      </c>
      <c r="L1306" s="40">
        <f t="shared" si="20"/>
        <v>2.22375</v>
      </c>
      <c r="M1306" s="40"/>
      <c r="N1306" s="40"/>
      <c r="O1306" s="40"/>
      <c r="P1306" s="39"/>
      <c r="Q1306" s="39"/>
      <c r="R1306" s="39"/>
      <c r="S1306" s="39"/>
      <c r="T1306" s="39"/>
    </row>
    <row r="1307" spans="2:20" x14ac:dyDescent="0.25">
      <c r="B1307" s="37"/>
      <c r="C1307">
        <f>_xlfn.XLOOKUP(B1307,'Centro de Custo'!A$2:A$45,'Centro de Custo'!B$2:B$45)</f>
        <v>0</v>
      </c>
      <c r="E1307" s="39"/>
      <c r="F1307" s="40"/>
      <c r="G1307" s="41"/>
      <c r="H1307" s="42">
        <f>YEAR(Tabela3[[#This Row],[Data]])</f>
        <v>1900</v>
      </c>
      <c r="I1307" s="42" t="str">
        <f>_xlfn.XLOOKUP(J1307,'Centro de Custo'!J$2:J$13,'Centro de Custo'!K$2:K$13)</f>
        <v>Janeiro</v>
      </c>
      <c r="J1307" s="43">
        <f>MONTH(Tabela3[[#This Row],[Data]])</f>
        <v>1</v>
      </c>
      <c r="K1307" s="39">
        <f>SUM(E$3:Tabela3[[#This Row],[Valor]])</f>
        <v>4236027.08</v>
      </c>
      <c r="L1307" s="40">
        <f t="shared" si="20"/>
        <v>2.22375</v>
      </c>
      <c r="M1307" s="40"/>
      <c r="N1307" s="40"/>
      <c r="O1307" s="40"/>
      <c r="P1307" s="39"/>
      <c r="Q1307" s="39"/>
      <c r="R1307" s="39"/>
      <c r="S1307" s="39"/>
      <c r="T1307" s="39"/>
    </row>
    <row r="1308" spans="2:20" x14ac:dyDescent="0.25">
      <c r="B1308" s="37"/>
      <c r="C1308">
        <f>_xlfn.XLOOKUP(B1308,'Centro de Custo'!A$2:A$45,'Centro de Custo'!B$2:B$45)</f>
        <v>0</v>
      </c>
      <c r="E1308" s="39"/>
      <c r="F1308" s="40"/>
      <c r="G1308" s="41"/>
      <c r="H1308" s="42">
        <f>YEAR(Tabela3[[#This Row],[Data]])</f>
        <v>1900</v>
      </c>
      <c r="I1308" s="42" t="str">
        <f>_xlfn.XLOOKUP(J1308,'Centro de Custo'!J$2:J$13,'Centro de Custo'!K$2:K$13)</f>
        <v>Janeiro</v>
      </c>
      <c r="J1308" s="43">
        <f>MONTH(Tabela3[[#This Row],[Data]])</f>
        <v>1</v>
      </c>
      <c r="K1308" s="39">
        <f>SUM(E$3:Tabela3[[#This Row],[Valor]])</f>
        <v>4236027.08</v>
      </c>
      <c r="L1308" s="40">
        <f t="shared" si="20"/>
        <v>2.22375</v>
      </c>
      <c r="M1308" s="40"/>
      <c r="N1308" s="40"/>
      <c r="O1308" s="40"/>
      <c r="P1308" s="39"/>
      <c r="Q1308" s="39"/>
      <c r="R1308" s="39"/>
      <c r="S1308" s="39"/>
      <c r="T1308" s="39"/>
    </row>
    <row r="1309" spans="2:20" x14ac:dyDescent="0.25">
      <c r="B1309" s="37"/>
      <c r="C1309">
        <f>_xlfn.XLOOKUP(B1309,'Centro de Custo'!A$2:A$45,'Centro de Custo'!B$2:B$45)</f>
        <v>0</v>
      </c>
      <c r="E1309" s="39"/>
      <c r="F1309" s="40"/>
      <c r="G1309" s="41"/>
      <c r="H1309" s="42">
        <f>YEAR(Tabela3[[#This Row],[Data]])</f>
        <v>1900</v>
      </c>
      <c r="I1309" s="42" t="str">
        <f>_xlfn.XLOOKUP(J1309,'Centro de Custo'!J$2:J$13,'Centro de Custo'!K$2:K$13)</f>
        <v>Janeiro</v>
      </c>
      <c r="J1309" s="43">
        <f>MONTH(Tabela3[[#This Row],[Data]])</f>
        <v>1</v>
      </c>
      <c r="K1309" s="39">
        <f>SUM(E$3:Tabela3[[#This Row],[Valor]])</f>
        <v>4236027.08</v>
      </c>
      <c r="L1309" s="40">
        <f t="shared" si="20"/>
        <v>2.22375</v>
      </c>
      <c r="M1309" s="40"/>
      <c r="N1309" s="40"/>
      <c r="O1309" s="40"/>
      <c r="P1309" s="39"/>
      <c r="Q1309" s="39"/>
      <c r="R1309" s="39"/>
      <c r="S1309" s="39"/>
      <c r="T1309" s="39"/>
    </row>
    <row r="1310" spans="2:20" x14ac:dyDescent="0.25">
      <c r="B1310" s="37"/>
      <c r="C1310">
        <f>_xlfn.XLOOKUP(B1310,'Centro de Custo'!A$2:A$45,'Centro de Custo'!B$2:B$45)</f>
        <v>0</v>
      </c>
      <c r="E1310" s="39"/>
      <c r="F1310" s="40"/>
      <c r="G1310" s="41"/>
      <c r="H1310" s="42">
        <f>YEAR(Tabela3[[#This Row],[Data]])</f>
        <v>1900</v>
      </c>
      <c r="I1310" s="42" t="str">
        <f>_xlfn.XLOOKUP(J1310,'Centro de Custo'!J$2:J$13,'Centro de Custo'!K$2:K$13)</f>
        <v>Janeiro</v>
      </c>
      <c r="J1310" s="43">
        <f>MONTH(Tabela3[[#This Row],[Data]])</f>
        <v>1</v>
      </c>
      <c r="K1310" s="39">
        <f>SUM(E$3:Tabela3[[#This Row],[Valor]])</f>
        <v>4236027.08</v>
      </c>
      <c r="L1310" s="40">
        <f t="shared" si="20"/>
        <v>2.22375</v>
      </c>
      <c r="M1310" s="40"/>
      <c r="N1310" s="40"/>
      <c r="O1310" s="40"/>
      <c r="P1310" s="39"/>
      <c r="Q1310" s="39"/>
      <c r="R1310" s="39"/>
      <c r="S1310" s="39"/>
      <c r="T1310" s="39"/>
    </row>
    <row r="1311" spans="2:20" x14ac:dyDescent="0.25">
      <c r="B1311" s="37"/>
      <c r="C1311">
        <f>_xlfn.XLOOKUP(B1311,'Centro de Custo'!A$2:A$45,'Centro de Custo'!B$2:B$45)</f>
        <v>0</v>
      </c>
      <c r="E1311" s="39"/>
      <c r="F1311" s="40"/>
      <c r="G1311" s="41"/>
      <c r="H1311" s="42">
        <f>YEAR(Tabela3[[#This Row],[Data]])</f>
        <v>1900</v>
      </c>
      <c r="I1311" s="42" t="str">
        <f>_xlfn.XLOOKUP(J1311,'Centro de Custo'!J$2:J$13,'Centro de Custo'!K$2:K$13)</f>
        <v>Janeiro</v>
      </c>
      <c r="J1311" s="43">
        <f>MONTH(Tabela3[[#This Row],[Data]])</f>
        <v>1</v>
      </c>
      <c r="K1311" s="39">
        <f>SUM(E$3:Tabela3[[#This Row],[Valor]])</f>
        <v>4236027.08</v>
      </c>
      <c r="L1311" s="40">
        <f t="shared" si="20"/>
        <v>2.22375</v>
      </c>
      <c r="M1311" s="40"/>
      <c r="N1311" s="40"/>
      <c r="O1311" s="40"/>
      <c r="P1311" s="39"/>
      <c r="Q1311" s="39"/>
      <c r="R1311" s="39"/>
      <c r="S1311" s="39"/>
      <c r="T1311" s="39"/>
    </row>
    <row r="1312" spans="2:20" x14ac:dyDescent="0.25">
      <c r="B1312" s="37"/>
      <c r="C1312">
        <f>_xlfn.XLOOKUP(B1312,'Centro de Custo'!A$2:A$45,'Centro de Custo'!B$2:B$45)</f>
        <v>0</v>
      </c>
      <c r="E1312" s="39"/>
      <c r="F1312" s="40"/>
      <c r="G1312" s="41"/>
      <c r="H1312" s="42">
        <f>YEAR(Tabela3[[#This Row],[Data]])</f>
        <v>1900</v>
      </c>
      <c r="I1312" s="42" t="str">
        <f>_xlfn.XLOOKUP(J1312,'Centro de Custo'!J$2:J$13,'Centro de Custo'!K$2:K$13)</f>
        <v>Janeiro</v>
      </c>
      <c r="J1312" s="43">
        <f>MONTH(Tabela3[[#This Row],[Data]])</f>
        <v>1</v>
      </c>
      <c r="K1312" s="39">
        <f>SUM(E$3:Tabela3[[#This Row],[Valor]])</f>
        <v>4236027.08</v>
      </c>
      <c r="L1312" s="40">
        <f t="shared" si="20"/>
        <v>2.22375</v>
      </c>
      <c r="M1312" s="40"/>
      <c r="N1312" s="40"/>
      <c r="O1312" s="40"/>
      <c r="P1312" s="39"/>
      <c r="Q1312" s="39"/>
      <c r="R1312" s="39"/>
      <c r="S1312" s="39"/>
      <c r="T1312" s="39"/>
    </row>
    <row r="1313" spans="2:20" x14ac:dyDescent="0.25">
      <c r="B1313" s="37"/>
      <c r="C1313">
        <f>_xlfn.XLOOKUP(B1313,'Centro de Custo'!A$2:A$45,'Centro de Custo'!B$2:B$45)</f>
        <v>0</v>
      </c>
      <c r="E1313" s="39"/>
      <c r="F1313" s="40"/>
      <c r="G1313" s="41"/>
      <c r="H1313" s="42">
        <f>YEAR(Tabela3[[#This Row],[Data]])</f>
        <v>1900</v>
      </c>
      <c r="I1313" s="42" t="str">
        <f>_xlfn.XLOOKUP(J1313,'Centro de Custo'!J$2:J$13,'Centro de Custo'!K$2:K$13)</f>
        <v>Janeiro</v>
      </c>
      <c r="J1313" s="43">
        <f>MONTH(Tabela3[[#This Row],[Data]])</f>
        <v>1</v>
      </c>
      <c r="K1313" s="39">
        <f>SUM(E$3:Tabela3[[#This Row],[Valor]])</f>
        <v>4236027.08</v>
      </c>
      <c r="L1313" s="40">
        <f t="shared" si="20"/>
        <v>2.22375</v>
      </c>
      <c r="M1313" s="40"/>
      <c r="N1313" s="40"/>
      <c r="O1313" s="40"/>
      <c r="P1313" s="39"/>
      <c r="Q1313" s="39"/>
      <c r="R1313" s="39"/>
      <c r="S1313" s="39"/>
      <c r="T1313" s="39"/>
    </row>
    <row r="1314" spans="2:20" x14ac:dyDescent="0.25">
      <c r="B1314" s="37"/>
      <c r="C1314">
        <f>_xlfn.XLOOKUP(B1314,'Centro de Custo'!A$2:A$45,'Centro de Custo'!B$2:B$45)</f>
        <v>0</v>
      </c>
      <c r="E1314" s="39"/>
      <c r="F1314" s="40"/>
      <c r="G1314" s="41"/>
      <c r="H1314" s="42">
        <f>YEAR(Tabela3[[#This Row],[Data]])</f>
        <v>1900</v>
      </c>
      <c r="I1314" s="42" t="str">
        <f>_xlfn.XLOOKUP(J1314,'Centro de Custo'!J$2:J$13,'Centro de Custo'!K$2:K$13)</f>
        <v>Janeiro</v>
      </c>
      <c r="J1314" s="43">
        <f>MONTH(Tabela3[[#This Row],[Data]])</f>
        <v>1</v>
      </c>
      <c r="K1314" s="39">
        <f>SUM(E$3:Tabela3[[#This Row],[Valor]])</f>
        <v>4236027.08</v>
      </c>
      <c r="L1314" s="40">
        <f t="shared" si="20"/>
        <v>2.22375</v>
      </c>
      <c r="M1314" s="40"/>
      <c r="N1314" s="40"/>
      <c r="O1314" s="40"/>
      <c r="P1314" s="39"/>
      <c r="Q1314" s="39"/>
      <c r="R1314" s="39"/>
      <c r="S1314" s="39"/>
      <c r="T1314" s="39"/>
    </row>
    <row r="1315" spans="2:20" x14ac:dyDescent="0.25">
      <c r="B1315" s="37"/>
      <c r="C1315">
        <f>_xlfn.XLOOKUP(B1315,'Centro de Custo'!A$2:A$45,'Centro de Custo'!B$2:B$45)</f>
        <v>0</v>
      </c>
      <c r="E1315" s="39"/>
      <c r="F1315" s="40"/>
      <c r="G1315" s="41"/>
      <c r="H1315" s="42">
        <f>YEAR(Tabela3[[#This Row],[Data]])</f>
        <v>1900</v>
      </c>
      <c r="I1315" s="42" t="str">
        <f>_xlfn.XLOOKUP(J1315,'Centro de Custo'!J$2:J$13,'Centro de Custo'!K$2:K$13)</f>
        <v>Janeiro</v>
      </c>
      <c r="J1315" s="43">
        <f>MONTH(Tabela3[[#This Row],[Data]])</f>
        <v>1</v>
      </c>
      <c r="K1315" s="39">
        <f>SUM(E$3:Tabela3[[#This Row],[Valor]])</f>
        <v>4236027.08</v>
      </c>
      <c r="L1315" s="40">
        <f t="shared" si="20"/>
        <v>2.22375</v>
      </c>
      <c r="M1315" s="40"/>
      <c r="N1315" s="40"/>
      <c r="O1315" s="40"/>
      <c r="P1315" s="39"/>
      <c r="Q1315" s="39"/>
      <c r="R1315" s="39"/>
      <c r="S1315" s="39"/>
      <c r="T1315" s="39"/>
    </row>
    <row r="1316" spans="2:20" x14ac:dyDescent="0.25">
      <c r="B1316" s="37"/>
      <c r="C1316">
        <f>_xlfn.XLOOKUP(B1316,'Centro de Custo'!A$2:A$45,'Centro de Custo'!B$2:B$45)</f>
        <v>0</v>
      </c>
      <c r="E1316" s="39"/>
      <c r="F1316" s="40"/>
      <c r="G1316" s="41"/>
      <c r="H1316" s="42">
        <f>YEAR(Tabela3[[#This Row],[Data]])</f>
        <v>1900</v>
      </c>
      <c r="I1316" s="42" t="str">
        <f>_xlfn.XLOOKUP(J1316,'Centro de Custo'!J$2:J$13,'Centro de Custo'!K$2:K$13)</f>
        <v>Janeiro</v>
      </c>
      <c r="J1316" s="43">
        <f>MONTH(Tabela3[[#This Row],[Data]])</f>
        <v>1</v>
      </c>
      <c r="K1316" s="39">
        <f>SUM(E$3:Tabela3[[#This Row],[Valor]])</f>
        <v>4236027.08</v>
      </c>
      <c r="L1316" s="40">
        <f t="shared" si="20"/>
        <v>2.22375</v>
      </c>
      <c r="M1316" s="40"/>
      <c r="N1316" s="40"/>
      <c r="O1316" s="40"/>
      <c r="P1316" s="39"/>
      <c r="Q1316" s="39"/>
      <c r="R1316" s="39"/>
      <c r="S1316" s="39"/>
      <c r="T1316" s="39"/>
    </row>
    <row r="1317" spans="2:20" x14ac:dyDescent="0.25">
      <c r="B1317" s="37"/>
      <c r="C1317">
        <f>_xlfn.XLOOKUP(B1317,'Centro de Custo'!A$2:A$45,'Centro de Custo'!B$2:B$45)</f>
        <v>0</v>
      </c>
      <c r="E1317" s="39"/>
      <c r="F1317" s="40"/>
      <c r="G1317" s="41"/>
      <c r="H1317" s="42">
        <f>YEAR(Tabela3[[#This Row],[Data]])</f>
        <v>1900</v>
      </c>
      <c r="I1317" s="42" t="str">
        <f>_xlfn.XLOOKUP(J1317,'Centro de Custo'!J$2:J$13,'Centro de Custo'!K$2:K$13)</f>
        <v>Janeiro</v>
      </c>
      <c r="J1317" s="43">
        <f>MONTH(Tabela3[[#This Row],[Data]])</f>
        <v>1</v>
      </c>
      <c r="K1317" s="39">
        <f>SUM(E$3:Tabela3[[#This Row],[Valor]])</f>
        <v>4236027.08</v>
      </c>
      <c r="L1317" s="40">
        <f t="shared" si="20"/>
        <v>2.22375</v>
      </c>
      <c r="M1317" s="40"/>
      <c r="N1317" s="40"/>
      <c r="O1317" s="40"/>
      <c r="P1317" s="39"/>
      <c r="Q1317" s="39"/>
      <c r="R1317" s="39"/>
      <c r="S1317" s="39"/>
      <c r="T1317" s="39"/>
    </row>
    <row r="1318" spans="2:20" x14ac:dyDescent="0.25">
      <c r="B1318" s="37"/>
      <c r="C1318">
        <f>_xlfn.XLOOKUP(B1318,'Centro de Custo'!A$2:A$45,'Centro de Custo'!B$2:B$45)</f>
        <v>0</v>
      </c>
      <c r="E1318" s="39"/>
      <c r="F1318" s="40"/>
      <c r="G1318" s="41"/>
      <c r="H1318" s="42">
        <f>YEAR(Tabela3[[#This Row],[Data]])</f>
        <v>1900</v>
      </c>
      <c r="I1318" s="42" t="str">
        <f>_xlfn.XLOOKUP(J1318,'Centro de Custo'!J$2:J$13,'Centro de Custo'!K$2:K$13)</f>
        <v>Janeiro</v>
      </c>
      <c r="J1318" s="43">
        <f>MONTH(Tabela3[[#This Row],[Data]])</f>
        <v>1</v>
      </c>
      <c r="K1318" s="39">
        <f>SUM(E$3:Tabela3[[#This Row],[Valor]])</f>
        <v>4236027.08</v>
      </c>
      <c r="L1318" s="40">
        <f t="shared" si="20"/>
        <v>2.22375</v>
      </c>
      <c r="M1318" s="40"/>
      <c r="N1318" s="40"/>
      <c r="O1318" s="40"/>
      <c r="P1318" s="39"/>
      <c r="Q1318" s="39"/>
      <c r="R1318" s="39"/>
      <c r="S1318" s="39"/>
      <c r="T1318" s="39"/>
    </row>
    <row r="1319" spans="2:20" x14ac:dyDescent="0.25">
      <c r="B1319" s="37"/>
      <c r="C1319">
        <f>_xlfn.XLOOKUP(B1319,'Centro de Custo'!A$2:A$45,'Centro de Custo'!B$2:B$45)</f>
        <v>0</v>
      </c>
      <c r="E1319" s="39"/>
      <c r="F1319" s="40"/>
      <c r="G1319" s="41"/>
      <c r="H1319" s="42">
        <f>YEAR(Tabela3[[#This Row],[Data]])</f>
        <v>1900</v>
      </c>
      <c r="I1319" s="42" t="str">
        <f>_xlfn.XLOOKUP(J1319,'Centro de Custo'!J$2:J$13,'Centro de Custo'!K$2:K$13)</f>
        <v>Janeiro</v>
      </c>
      <c r="J1319" s="43">
        <f>MONTH(Tabela3[[#This Row],[Data]])</f>
        <v>1</v>
      </c>
      <c r="K1319" s="39">
        <f>SUM(E$3:Tabela3[[#This Row],[Valor]])</f>
        <v>4236027.08</v>
      </c>
      <c r="L1319" s="40">
        <f t="shared" si="20"/>
        <v>2.22375</v>
      </c>
      <c r="M1319" s="40"/>
      <c r="N1319" s="40"/>
      <c r="O1319" s="40"/>
      <c r="P1319" s="39"/>
      <c r="Q1319" s="39"/>
      <c r="R1319" s="39"/>
      <c r="S1319" s="39"/>
      <c r="T1319" s="39"/>
    </row>
    <row r="1320" spans="2:20" x14ac:dyDescent="0.25">
      <c r="B1320" s="37"/>
      <c r="C1320">
        <f>_xlfn.XLOOKUP(B1320,'Centro de Custo'!A$2:A$45,'Centro de Custo'!B$2:B$45)</f>
        <v>0</v>
      </c>
      <c r="E1320" s="39"/>
      <c r="F1320" s="40"/>
      <c r="G1320" s="41"/>
      <c r="H1320" s="42">
        <f>YEAR(Tabela3[[#This Row],[Data]])</f>
        <v>1900</v>
      </c>
      <c r="I1320" s="42" t="str">
        <f>_xlfn.XLOOKUP(J1320,'Centro de Custo'!J$2:J$13,'Centro de Custo'!K$2:K$13)</f>
        <v>Janeiro</v>
      </c>
      <c r="J1320" s="43">
        <f>MONTH(Tabela3[[#This Row],[Data]])</f>
        <v>1</v>
      </c>
      <c r="K1320" s="39">
        <f>SUM(E$3:Tabela3[[#This Row],[Valor]])</f>
        <v>4236027.08</v>
      </c>
      <c r="L1320" s="40">
        <f t="shared" si="20"/>
        <v>2.22375</v>
      </c>
      <c r="M1320" s="40"/>
      <c r="N1320" s="40"/>
      <c r="O1320" s="40"/>
      <c r="P1320" s="39"/>
      <c r="Q1320" s="39"/>
      <c r="R1320" s="39"/>
      <c r="S1320" s="39"/>
      <c r="T1320" s="39"/>
    </row>
    <row r="1321" spans="2:20" x14ac:dyDescent="0.25">
      <c r="B1321" s="37"/>
      <c r="C1321">
        <f>_xlfn.XLOOKUP(B1321,'Centro de Custo'!A$2:A$45,'Centro de Custo'!B$2:B$45)</f>
        <v>0</v>
      </c>
      <c r="E1321" s="39"/>
      <c r="F1321" s="40"/>
      <c r="G1321" s="41"/>
      <c r="H1321" s="42">
        <f>YEAR(Tabela3[[#This Row],[Data]])</f>
        <v>1900</v>
      </c>
      <c r="I1321" s="42" t="str">
        <f>_xlfn.XLOOKUP(J1321,'Centro de Custo'!J$2:J$13,'Centro de Custo'!K$2:K$13)</f>
        <v>Janeiro</v>
      </c>
      <c r="J1321" s="43">
        <f>MONTH(Tabela3[[#This Row],[Data]])</f>
        <v>1</v>
      </c>
      <c r="K1321" s="39">
        <f>SUM(E$3:Tabela3[[#This Row],[Valor]])</f>
        <v>4236027.08</v>
      </c>
      <c r="L1321" s="40">
        <f t="shared" si="20"/>
        <v>2.22375</v>
      </c>
      <c r="M1321" s="40"/>
      <c r="N1321" s="40"/>
      <c r="O1321" s="40"/>
      <c r="P1321" s="39"/>
      <c r="Q1321" s="39"/>
      <c r="R1321" s="39"/>
      <c r="S1321" s="39"/>
      <c r="T1321" s="39"/>
    </row>
    <row r="1322" spans="2:20" x14ac:dyDescent="0.25">
      <c r="B1322" s="37"/>
      <c r="C1322">
        <f>_xlfn.XLOOKUP(B1322,'Centro de Custo'!A$2:A$45,'Centro de Custo'!B$2:B$45)</f>
        <v>0</v>
      </c>
      <c r="E1322" s="39"/>
      <c r="F1322" s="40"/>
      <c r="G1322" s="41"/>
      <c r="H1322" s="42">
        <f>YEAR(Tabela3[[#This Row],[Data]])</f>
        <v>1900</v>
      </c>
      <c r="I1322" s="42" t="str">
        <f>_xlfn.XLOOKUP(J1322,'Centro de Custo'!J$2:J$13,'Centro de Custo'!K$2:K$13)</f>
        <v>Janeiro</v>
      </c>
      <c r="J1322" s="43">
        <f>MONTH(Tabela3[[#This Row],[Data]])</f>
        <v>1</v>
      </c>
      <c r="K1322" s="39">
        <f>SUM(E$3:Tabela3[[#This Row],[Valor]])</f>
        <v>4236027.08</v>
      </c>
      <c r="L1322" s="40">
        <f t="shared" si="20"/>
        <v>2.22375</v>
      </c>
      <c r="M1322" s="40"/>
      <c r="N1322" s="40"/>
      <c r="O1322" s="40"/>
      <c r="P1322" s="39"/>
      <c r="Q1322" s="39"/>
      <c r="R1322" s="39"/>
      <c r="S1322" s="39"/>
      <c r="T1322" s="39"/>
    </row>
    <row r="1323" spans="2:20" x14ac:dyDescent="0.25">
      <c r="B1323" s="37"/>
      <c r="C1323">
        <f>_xlfn.XLOOKUP(B1323,'Centro de Custo'!A$2:A$45,'Centro de Custo'!B$2:B$45)</f>
        <v>0</v>
      </c>
      <c r="E1323" s="39"/>
      <c r="F1323" s="40"/>
      <c r="G1323" s="41"/>
      <c r="H1323" s="42">
        <f>YEAR(Tabela3[[#This Row],[Data]])</f>
        <v>1900</v>
      </c>
      <c r="I1323" s="42" t="str">
        <f>_xlfn.XLOOKUP(J1323,'Centro de Custo'!J$2:J$13,'Centro de Custo'!K$2:K$13)</f>
        <v>Janeiro</v>
      </c>
      <c r="J1323" s="43">
        <f>MONTH(Tabela3[[#This Row],[Data]])</f>
        <v>1</v>
      </c>
      <c r="K1323" s="39">
        <f>SUM(E$3:Tabela3[[#This Row],[Valor]])</f>
        <v>4236027.08</v>
      </c>
      <c r="L1323" s="40">
        <f t="shared" si="20"/>
        <v>2.22375</v>
      </c>
      <c r="M1323" s="40"/>
      <c r="N1323" s="40"/>
      <c r="O1323" s="40"/>
      <c r="P1323" s="39"/>
      <c r="Q1323" s="39"/>
      <c r="R1323" s="39"/>
      <c r="S1323" s="39"/>
      <c r="T1323" s="39"/>
    </row>
    <row r="1324" spans="2:20" x14ac:dyDescent="0.25">
      <c r="B1324" s="37"/>
      <c r="C1324">
        <f>_xlfn.XLOOKUP(B1324,'Centro de Custo'!A$2:A$45,'Centro de Custo'!B$2:B$45)</f>
        <v>0</v>
      </c>
      <c r="E1324" s="39"/>
      <c r="F1324" s="40"/>
      <c r="G1324" s="41"/>
      <c r="H1324" s="42">
        <f>YEAR(Tabela3[[#This Row],[Data]])</f>
        <v>1900</v>
      </c>
      <c r="I1324" s="42" t="str">
        <f>_xlfn.XLOOKUP(J1324,'Centro de Custo'!J$2:J$13,'Centro de Custo'!K$2:K$13)</f>
        <v>Janeiro</v>
      </c>
      <c r="J1324" s="43">
        <f>MONTH(Tabela3[[#This Row],[Data]])</f>
        <v>1</v>
      </c>
      <c r="K1324" s="39">
        <f>SUM(E$3:Tabela3[[#This Row],[Valor]])</f>
        <v>4236027.08</v>
      </c>
      <c r="L1324" s="40">
        <f t="shared" si="20"/>
        <v>2.22375</v>
      </c>
      <c r="M1324" s="40"/>
      <c r="N1324" s="40"/>
      <c r="O1324" s="40"/>
      <c r="P1324" s="39"/>
      <c r="Q1324" s="39"/>
      <c r="R1324" s="39"/>
      <c r="S1324" s="39"/>
      <c r="T1324" s="39"/>
    </row>
    <row r="1325" spans="2:20" x14ac:dyDescent="0.25">
      <c r="B1325" s="37"/>
      <c r="C1325">
        <f>_xlfn.XLOOKUP(B1325,'Centro de Custo'!A$2:A$45,'Centro de Custo'!B$2:B$45)</f>
        <v>0</v>
      </c>
      <c r="E1325" s="39"/>
      <c r="F1325" s="40"/>
      <c r="G1325" s="41"/>
      <c r="H1325" s="42">
        <f>YEAR(Tabela3[[#This Row],[Data]])</f>
        <v>1900</v>
      </c>
      <c r="I1325" s="42" t="str">
        <f>_xlfn.XLOOKUP(J1325,'Centro de Custo'!J$2:J$13,'Centro de Custo'!K$2:K$13)</f>
        <v>Janeiro</v>
      </c>
      <c r="J1325" s="43">
        <f>MONTH(Tabela3[[#This Row],[Data]])</f>
        <v>1</v>
      </c>
      <c r="K1325" s="39">
        <f>SUM(E$3:Tabela3[[#This Row],[Valor]])</f>
        <v>4236027.08</v>
      </c>
      <c r="L1325" s="40">
        <f t="shared" si="20"/>
        <v>2.22375</v>
      </c>
      <c r="M1325" s="40"/>
      <c r="N1325" s="40"/>
      <c r="O1325" s="40"/>
      <c r="P1325" s="39"/>
      <c r="Q1325" s="39"/>
      <c r="R1325" s="39"/>
      <c r="S1325" s="39"/>
      <c r="T1325" s="39"/>
    </row>
    <row r="1326" spans="2:20" x14ac:dyDescent="0.25">
      <c r="B1326" s="37"/>
      <c r="C1326">
        <f>_xlfn.XLOOKUP(B1326,'Centro de Custo'!A$2:A$45,'Centro de Custo'!B$2:B$45)</f>
        <v>0</v>
      </c>
      <c r="E1326" s="39"/>
      <c r="F1326" s="40"/>
      <c r="G1326" s="41"/>
      <c r="H1326" s="42">
        <f>YEAR(Tabela3[[#This Row],[Data]])</f>
        <v>1900</v>
      </c>
      <c r="I1326" s="42" t="str">
        <f>_xlfn.XLOOKUP(J1326,'Centro de Custo'!J$2:J$13,'Centro de Custo'!K$2:K$13)</f>
        <v>Janeiro</v>
      </c>
      <c r="J1326" s="43">
        <f>MONTH(Tabela3[[#This Row],[Data]])</f>
        <v>1</v>
      </c>
      <c r="K1326" s="39">
        <f>SUM(E$3:Tabela3[[#This Row],[Valor]])</f>
        <v>4236027.08</v>
      </c>
      <c r="L1326" s="40">
        <f t="shared" si="20"/>
        <v>2.22375</v>
      </c>
      <c r="M1326" s="40"/>
      <c r="N1326" s="40"/>
      <c r="O1326" s="40"/>
      <c r="P1326" s="39"/>
      <c r="Q1326" s="39"/>
      <c r="R1326" s="39"/>
      <c r="S1326" s="39"/>
      <c r="T1326" s="39"/>
    </row>
    <row r="1327" spans="2:20" x14ac:dyDescent="0.25">
      <c r="B1327" s="37"/>
      <c r="C1327">
        <f>_xlfn.XLOOKUP(B1327,'Centro de Custo'!A$2:A$45,'Centro de Custo'!B$2:B$45)</f>
        <v>0</v>
      </c>
      <c r="E1327" s="39"/>
      <c r="F1327" s="40"/>
      <c r="G1327" s="41"/>
      <c r="H1327" s="42">
        <f>YEAR(Tabela3[[#This Row],[Data]])</f>
        <v>1900</v>
      </c>
      <c r="I1327" s="42" t="str">
        <f>_xlfn.XLOOKUP(J1327,'Centro de Custo'!J$2:J$13,'Centro de Custo'!K$2:K$13)</f>
        <v>Janeiro</v>
      </c>
      <c r="J1327" s="43">
        <f>MONTH(Tabela3[[#This Row],[Data]])</f>
        <v>1</v>
      </c>
      <c r="K1327" s="39">
        <f>SUM(E$3:Tabela3[[#This Row],[Valor]])</f>
        <v>4236027.08</v>
      </c>
      <c r="L1327" s="40">
        <f t="shared" si="20"/>
        <v>2.22375</v>
      </c>
      <c r="M1327" s="40"/>
      <c r="N1327" s="40"/>
      <c r="O1327" s="40"/>
      <c r="P1327" s="39"/>
      <c r="Q1327" s="39"/>
      <c r="R1327" s="39"/>
      <c r="S1327" s="39"/>
      <c r="T1327" s="39"/>
    </row>
    <row r="1328" spans="2:20" x14ac:dyDescent="0.25">
      <c r="B1328" s="37"/>
      <c r="C1328">
        <f>_xlfn.XLOOKUP(B1328,'Centro de Custo'!A$2:A$45,'Centro de Custo'!B$2:B$45)</f>
        <v>0</v>
      </c>
      <c r="E1328" s="39"/>
      <c r="F1328" s="40"/>
      <c r="G1328" s="41"/>
      <c r="H1328" s="42">
        <f>YEAR(Tabela3[[#This Row],[Data]])</f>
        <v>1900</v>
      </c>
      <c r="I1328" s="42" t="str">
        <f>_xlfn.XLOOKUP(J1328,'Centro de Custo'!J$2:J$13,'Centro de Custo'!K$2:K$13)</f>
        <v>Janeiro</v>
      </c>
      <c r="J1328" s="43">
        <f>MONTH(Tabela3[[#This Row],[Data]])</f>
        <v>1</v>
      </c>
      <c r="K1328" s="39">
        <f>SUM(E$3:Tabela3[[#This Row],[Valor]])</f>
        <v>4236027.08</v>
      </c>
      <c r="L1328" s="40">
        <f t="shared" si="20"/>
        <v>2.22375</v>
      </c>
      <c r="M1328" s="40"/>
      <c r="N1328" s="40"/>
      <c r="O1328" s="40"/>
      <c r="P1328" s="39"/>
      <c r="Q1328" s="39"/>
      <c r="R1328" s="39"/>
      <c r="S1328" s="39"/>
      <c r="T1328" s="39"/>
    </row>
    <row r="1329" spans="2:20" x14ac:dyDescent="0.25">
      <c r="B1329" s="37"/>
      <c r="C1329">
        <f>_xlfn.XLOOKUP(B1329,'Centro de Custo'!A$2:A$45,'Centro de Custo'!B$2:B$45)</f>
        <v>0</v>
      </c>
      <c r="E1329" s="39"/>
      <c r="F1329" s="40"/>
      <c r="G1329" s="41"/>
      <c r="H1329" s="42">
        <f>YEAR(Tabela3[[#This Row],[Data]])</f>
        <v>1900</v>
      </c>
      <c r="I1329" s="42" t="str">
        <f>_xlfn.XLOOKUP(J1329,'Centro de Custo'!J$2:J$13,'Centro de Custo'!K$2:K$13)</f>
        <v>Janeiro</v>
      </c>
      <c r="J1329" s="43">
        <f>MONTH(Tabela3[[#This Row],[Data]])</f>
        <v>1</v>
      </c>
      <c r="K1329" s="39">
        <f>SUM(E$3:Tabela3[[#This Row],[Valor]])</f>
        <v>4236027.08</v>
      </c>
      <c r="L1329" s="40">
        <f t="shared" si="20"/>
        <v>2.22375</v>
      </c>
      <c r="M1329" s="40"/>
      <c r="N1329" s="40"/>
      <c r="O1329" s="40"/>
      <c r="P1329" s="39"/>
      <c r="Q1329" s="39"/>
      <c r="R1329" s="39"/>
      <c r="S1329" s="39"/>
      <c r="T1329" s="39"/>
    </row>
    <row r="1330" spans="2:20" x14ac:dyDescent="0.25">
      <c r="B1330" s="37"/>
      <c r="C1330">
        <f>_xlfn.XLOOKUP(B1330,'Centro de Custo'!A$2:A$45,'Centro de Custo'!B$2:B$45)</f>
        <v>0</v>
      </c>
      <c r="E1330" s="39"/>
      <c r="F1330" s="40"/>
      <c r="G1330" s="41"/>
      <c r="H1330" s="42">
        <f>YEAR(Tabela3[[#This Row],[Data]])</f>
        <v>1900</v>
      </c>
      <c r="I1330" s="42" t="str">
        <f>_xlfn.XLOOKUP(J1330,'Centro de Custo'!J$2:J$13,'Centro de Custo'!K$2:K$13)</f>
        <v>Janeiro</v>
      </c>
      <c r="J1330" s="43">
        <f>MONTH(Tabela3[[#This Row],[Data]])</f>
        <v>1</v>
      </c>
      <c r="K1330" s="39">
        <f>SUM(E$3:Tabela3[[#This Row],[Valor]])</f>
        <v>4236027.08</v>
      </c>
      <c r="L1330" s="40">
        <f t="shared" si="20"/>
        <v>2.22375</v>
      </c>
      <c r="M1330" s="40"/>
      <c r="N1330" s="40"/>
      <c r="O1330" s="40"/>
      <c r="P1330" s="39"/>
      <c r="Q1330" s="39"/>
      <c r="R1330" s="39"/>
      <c r="S1330" s="39"/>
      <c r="T1330" s="39"/>
    </row>
    <row r="1331" spans="2:20" x14ac:dyDescent="0.25">
      <c r="B1331" s="37"/>
      <c r="C1331">
        <f>_xlfn.XLOOKUP(B1331,'Centro de Custo'!A$2:A$45,'Centro de Custo'!B$2:B$45)</f>
        <v>0</v>
      </c>
      <c r="E1331" s="39"/>
      <c r="F1331" s="40"/>
      <c r="G1331" s="41"/>
      <c r="H1331" s="42">
        <f>YEAR(Tabela3[[#This Row],[Data]])</f>
        <v>1900</v>
      </c>
      <c r="I1331" s="42" t="str">
        <f>_xlfn.XLOOKUP(J1331,'Centro de Custo'!J$2:J$13,'Centro de Custo'!K$2:K$13)</f>
        <v>Janeiro</v>
      </c>
      <c r="J1331" s="43">
        <f>MONTH(Tabela3[[#This Row],[Data]])</f>
        <v>1</v>
      </c>
      <c r="K1331" s="39">
        <f>SUM(E$3:Tabela3[[#This Row],[Valor]])</f>
        <v>4236027.08</v>
      </c>
      <c r="L1331" s="40">
        <f t="shared" si="20"/>
        <v>2.22375</v>
      </c>
      <c r="M1331" s="40"/>
      <c r="N1331" s="40"/>
      <c r="O1331" s="40"/>
      <c r="P1331" s="39"/>
      <c r="Q1331" s="39"/>
      <c r="R1331" s="39"/>
      <c r="S1331" s="39"/>
      <c r="T1331" s="39"/>
    </row>
    <row r="1332" spans="2:20" x14ac:dyDescent="0.25">
      <c r="B1332" s="37"/>
      <c r="C1332">
        <f>_xlfn.XLOOKUP(B1332,'Centro de Custo'!A$2:A$45,'Centro de Custo'!B$2:B$45)</f>
        <v>0</v>
      </c>
      <c r="E1332" s="39"/>
      <c r="F1332" s="40"/>
      <c r="G1332" s="41"/>
      <c r="H1332" s="42">
        <f>YEAR(Tabela3[[#This Row],[Data]])</f>
        <v>1900</v>
      </c>
      <c r="I1332" s="42" t="str">
        <f>_xlfn.XLOOKUP(J1332,'Centro de Custo'!J$2:J$13,'Centro de Custo'!K$2:K$13)</f>
        <v>Janeiro</v>
      </c>
      <c r="J1332" s="43">
        <f>MONTH(Tabela3[[#This Row],[Data]])</f>
        <v>1</v>
      </c>
      <c r="K1332" s="39">
        <f>SUM(E$3:Tabela3[[#This Row],[Valor]])</f>
        <v>4236027.08</v>
      </c>
      <c r="L1332" s="40">
        <f t="shared" si="20"/>
        <v>2.22375</v>
      </c>
      <c r="M1332" s="40"/>
      <c r="N1332" s="40"/>
      <c r="O1332" s="40"/>
      <c r="P1332" s="39"/>
      <c r="Q1332" s="39"/>
      <c r="R1332" s="39"/>
      <c r="S1332" s="39"/>
      <c r="T1332" s="39"/>
    </row>
    <row r="1333" spans="2:20" x14ac:dyDescent="0.25">
      <c r="B1333" s="37"/>
      <c r="C1333">
        <f>_xlfn.XLOOKUP(B1333,'Centro de Custo'!A$2:A$45,'Centro de Custo'!B$2:B$45)</f>
        <v>0</v>
      </c>
      <c r="E1333" s="39"/>
      <c r="F1333" s="40"/>
      <c r="G1333" s="41"/>
      <c r="H1333" s="42">
        <f>YEAR(Tabela3[[#This Row],[Data]])</f>
        <v>1900</v>
      </c>
      <c r="I1333" s="42" t="str">
        <f>_xlfn.XLOOKUP(J1333,'Centro de Custo'!J$2:J$13,'Centro de Custo'!K$2:K$13)</f>
        <v>Janeiro</v>
      </c>
      <c r="J1333" s="43">
        <f>MONTH(Tabela3[[#This Row],[Data]])</f>
        <v>1</v>
      </c>
      <c r="K1333" s="39">
        <f>SUM(E$3:Tabela3[[#This Row],[Valor]])</f>
        <v>4236027.08</v>
      </c>
      <c r="L1333" s="40">
        <f t="shared" si="20"/>
        <v>2.22375</v>
      </c>
      <c r="M1333" s="40"/>
      <c r="N1333" s="40"/>
      <c r="O1333" s="40"/>
      <c r="P1333" s="39"/>
      <c r="Q1333" s="39"/>
      <c r="R1333" s="39"/>
      <c r="S1333" s="39"/>
      <c r="T1333" s="39"/>
    </row>
    <row r="1334" spans="2:20" x14ac:dyDescent="0.25">
      <c r="B1334" s="37"/>
      <c r="C1334">
        <f>_xlfn.XLOOKUP(B1334,'Centro de Custo'!A$2:A$45,'Centro de Custo'!B$2:B$45)</f>
        <v>0</v>
      </c>
      <c r="E1334" s="39"/>
      <c r="F1334" s="40"/>
      <c r="G1334" s="41"/>
      <c r="H1334" s="42">
        <f>YEAR(Tabela3[[#This Row],[Data]])</f>
        <v>1900</v>
      </c>
      <c r="I1334" s="42" t="str">
        <f>_xlfn.XLOOKUP(J1334,'Centro de Custo'!J$2:J$13,'Centro de Custo'!K$2:K$13)</f>
        <v>Janeiro</v>
      </c>
      <c r="J1334" s="43">
        <f>MONTH(Tabela3[[#This Row],[Data]])</f>
        <v>1</v>
      </c>
      <c r="K1334" s="39">
        <f>SUM(E$3:Tabela3[[#This Row],[Valor]])</f>
        <v>4236027.08</v>
      </c>
      <c r="L1334" s="40">
        <f t="shared" si="20"/>
        <v>2.22375</v>
      </c>
      <c r="M1334" s="40"/>
      <c r="N1334" s="40"/>
      <c r="O1334" s="40"/>
      <c r="P1334" s="39"/>
      <c r="Q1334" s="39"/>
      <c r="R1334" s="39"/>
      <c r="S1334" s="39"/>
      <c r="T1334" s="39"/>
    </row>
    <row r="1335" spans="2:20" x14ac:dyDescent="0.25">
      <c r="B1335" s="37"/>
      <c r="C1335">
        <f>_xlfn.XLOOKUP(B1335,'Centro de Custo'!A$2:A$45,'Centro de Custo'!B$2:B$45)</f>
        <v>0</v>
      </c>
      <c r="E1335" s="39"/>
      <c r="F1335" s="40"/>
      <c r="G1335" s="41"/>
      <c r="H1335" s="42">
        <f>YEAR(Tabela3[[#This Row],[Data]])</f>
        <v>1900</v>
      </c>
      <c r="I1335" s="42" t="str">
        <f>_xlfn.XLOOKUP(J1335,'Centro de Custo'!J$2:J$13,'Centro de Custo'!K$2:K$13)</f>
        <v>Janeiro</v>
      </c>
      <c r="J1335" s="43">
        <f>MONTH(Tabela3[[#This Row],[Data]])</f>
        <v>1</v>
      </c>
      <c r="K1335" s="39">
        <f>SUM(E$3:Tabela3[[#This Row],[Valor]])</f>
        <v>4236027.08</v>
      </c>
      <c r="L1335" s="40">
        <f t="shared" si="20"/>
        <v>2.22375</v>
      </c>
      <c r="M1335" s="40"/>
      <c r="N1335" s="40"/>
      <c r="O1335" s="40"/>
      <c r="P1335" s="39"/>
      <c r="Q1335" s="39"/>
      <c r="R1335" s="39"/>
      <c r="S1335" s="39"/>
      <c r="T1335" s="39"/>
    </row>
    <row r="1336" spans="2:20" x14ac:dyDescent="0.25">
      <c r="B1336" s="37"/>
      <c r="C1336">
        <f>_xlfn.XLOOKUP(B1336,'Centro de Custo'!A$2:A$45,'Centro de Custo'!B$2:B$45)</f>
        <v>0</v>
      </c>
      <c r="E1336" s="39"/>
      <c r="F1336" s="40"/>
      <c r="G1336" s="41"/>
      <c r="H1336" s="42">
        <f>YEAR(Tabela3[[#This Row],[Data]])</f>
        <v>1900</v>
      </c>
      <c r="I1336" s="42" t="str">
        <f>_xlfn.XLOOKUP(J1336,'Centro de Custo'!J$2:J$13,'Centro de Custo'!K$2:K$13)</f>
        <v>Janeiro</v>
      </c>
      <c r="J1336" s="43">
        <f>MONTH(Tabela3[[#This Row],[Data]])</f>
        <v>1</v>
      </c>
      <c r="K1336" s="39">
        <f>SUM(E$3:Tabela3[[#This Row],[Valor]])</f>
        <v>4236027.08</v>
      </c>
      <c r="L1336" s="40">
        <f t="shared" si="20"/>
        <v>2.22375</v>
      </c>
      <c r="M1336" s="40"/>
      <c r="N1336" s="40"/>
      <c r="O1336" s="40"/>
      <c r="P1336" s="39"/>
      <c r="Q1336" s="39"/>
      <c r="R1336" s="39"/>
      <c r="S1336" s="39"/>
      <c r="T1336" s="39"/>
    </row>
    <row r="1337" spans="2:20" x14ac:dyDescent="0.25">
      <c r="B1337" s="37"/>
      <c r="C1337">
        <f>_xlfn.XLOOKUP(B1337,'Centro de Custo'!A$2:A$45,'Centro de Custo'!B$2:B$45)</f>
        <v>0</v>
      </c>
      <c r="E1337" s="39"/>
      <c r="F1337" s="40"/>
      <c r="G1337" s="41"/>
      <c r="H1337" s="42">
        <f>YEAR(Tabela3[[#This Row],[Data]])</f>
        <v>1900</v>
      </c>
      <c r="I1337" s="42" t="str">
        <f>_xlfn.XLOOKUP(J1337,'Centro de Custo'!J$2:J$13,'Centro de Custo'!K$2:K$13)</f>
        <v>Janeiro</v>
      </c>
      <c r="J1337" s="43">
        <f>MONTH(Tabela3[[#This Row],[Data]])</f>
        <v>1</v>
      </c>
      <c r="K1337" s="39">
        <f>SUM(E$3:Tabela3[[#This Row],[Valor]])</f>
        <v>4236027.08</v>
      </c>
      <c r="L1337" s="40">
        <f t="shared" si="20"/>
        <v>2.22375</v>
      </c>
      <c r="M1337" s="40"/>
      <c r="N1337" s="40"/>
      <c r="O1337" s="40"/>
      <c r="P1337" s="39"/>
      <c r="Q1337" s="39"/>
      <c r="R1337" s="39"/>
      <c r="S1337" s="39"/>
      <c r="T1337" s="39"/>
    </row>
    <row r="1338" spans="2:20" x14ac:dyDescent="0.25">
      <c r="B1338" s="37"/>
      <c r="C1338">
        <f>_xlfn.XLOOKUP(B1338,'Centro de Custo'!A$2:A$45,'Centro de Custo'!B$2:B$45)</f>
        <v>0</v>
      </c>
      <c r="E1338" s="39"/>
      <c r="F1338" s="40"/>
      <c r="G1338" s="41"/>
      <c r="H1338" s="42">
        <f>YEAR(Tabela3[[#This Row],[Data]])</f>
        <v>1900</v>
      </c>
      <c r="I1338" s="42" t="str">
        <f>_xlfn.XLOOKUP(J1338,'Centro de Custo'!J$2:J$13,'Centro de Custo'!K$2:K$13)</f>
        <v>Janeiro</v>
      </c>
      <c r="J1338" s="43">
        <f>MONTH(Tabela3[[#This Row],[Data]])</f>
        <v>1</v>
      </c>
      <c r="K1338" s="39">
        <f>SUM(E$3:Tabela3[[#This Row],[Valor]])</f>
        <v>4236027.08</v>
      </c>
      <c r="L1338" s="40">
        <f t="shared" si="20"/>
        <v>2.22375</v>
      </c>
      <c r="M1338" s="40"/>
      <c r="N1338" s="40"/>
      <c r="O1338" s="40"/>
      <c r="P1338" s="39"/>
      <c r="Q1338" s="39"/>
      <c r="R1338" s="39"/>
      <c r="S1338" s="39"/>
      <c r="T1338" s="39"/>
    </row>
    <row r="1339" spans="2:20" x14ac:dyDescent="0.25">
      <c r="B1339" s="37"/>
      <c r="C1339">
        <f>_xlfn.XLOOKUP(B1339,'Centro de Custo'!A$2:A$45,'Centro de Custo'!B$2:B$45)</f>
        <v>0</v>
      </c>
      <c r="E1339" s="39"/>
      <c r="F1339" s="40"/>
      <c r="G1339" s="41"/>
      <c r="H1339" s="42">
        <f>YEAR(Tabela3[[#This Row],[Data]])</f>
        <v>1900</v>
      </c>
      <c r="I1339" s="42" t="str">
        <f>_xlfn.XLOOKUP(J1339,'Centro de Custo'!J$2:J$13,'Centro de Custo'!K$2:K$13)</f>
        <v>Janeiro</v>
      </c>
      <c r="J1339" s="43">
        <f>MONTH(Tabela3[[#This Row],[Data]])</f>
        <v>1</v>
      </c>
      <c r="K1339" s="39">
        <f>SUM(E$3:Tabela3[[#This Row],[Valor]])</f>
        <v>4236027.08</v>
      </c>
      <c r="L1339" s="40">
        <f t="shared" si="20"/>
        <v>2.22375</v>
      </c>
      <c r="M1339" s="40"/>
      <c r="N1339" s="40"/>
      <c r="O1339" s="40"/>
      <c r="P1339" s="39"/>
      <c r="Q1339" s="39"/>
      <c r="R1339" s="39"/>
      <c r="S1339" s="39"/>
      <c r="T1339" s="39"/>
    </row>
    <row r="1340" spans="2:20" x14ac:dyDescent="0.25">
      <c r="B1340" s="37"/>
      <c r="C1340">
        <f>_xlfn.XLOOKUP(B1340,'Centro de Custo'!A$2:A$45,'Centro de Custo'!B$2:B$45)</f>
        <v>0</v>
      </c>
      <c r="E1340" s="39"/>
      <c r="F1340" s="40"/>
      <c r="G1340" s="41"/>
      <c r="H1340" s="42">
        <f>YEAR(Tabela3[[#This Row],[Data]])</f>
        <v>1900</v>
      </c>
      <c r="I1340" s="42" t="str">
        <f>_xlfn.XLOOKUP(J1340,'Centro de Custo'!J$2:J$13,'Centro de Custo'!K$2:K$13)</f>
        <v>Janeiro</v>
      </c>
      <c r="J1340" s="43">
        <f>MONTH(Tabela3[[#This Row],[Data]])</f>
        <v>1</v>
      </c>
      <c r="K1340" s="39">
        <f>SUM(E$3:Tabela3[[#This Row],[Valor]])</f>
        <v>4236027.08</v>
      </c>
      <c r="L1340" s="40">
        <f t="shared" si="20"/>
        <v>2.22375</v>
      </c>
      <c r="M1340" s="40"/>
      <c r="N1340" s="40"/>
      <c r="O1340" s="40"/>
      <c r="P1340" s="39"/>
      <c r="Q1340" s="39"/>
      <c r="R1340" s="39"/>
      <c r="S1340" s="39"/>
      <c r="T1340" s="39"/>
    </row>
    <row r="1341" spans="2:20" x14ac:dyDescent="0.25">
      <c r="B1341" s="37"/>
      <c r="C1341">
        <f>_xlfn.XLOOKUP(B1341,'Centro de Custo'!A$2:A$45,'Centro de Custo'!B$2:B$45)</f>
        <v>0</v>
      </c>
      <c r="E1341" s="39"/>
      <c r="F1341" s="40"/>
      <c r="G1341" s="41"/>
      <c r="H1341" s="42">
        <f>YEAR(Tabela3[[#This Row],[Data]])</f>
        <v>1900</v>
      </c>
      <c r="I1341" s="42" t="str">
        <f>_xlfn.XLOOKUP(J1341,'Centro de Custo'!J$2:J$13,'Centro de Custo'!K$2:K$13)</f>
        <v>Janeiro</v>
      </c>
      <c r="J1341" s="43">
        <f>MONTH(Tabela3[[#This Row],[Data]])</f>
        <v>1</v>
      </c>
      <c r="K1341" s="39">
        <f>SUM(E$3:Tabela3[[#This Row],[Valor]])</f>
        <v>4236027.08</v>
      </c>
      <c r="L1341" s="40">
        <f t="shared" si="20"/>
        <v>2.22375</v>
      </c>
      <c r="M1341" s="40"/>
      <c r="N1341" s="40"/>
      <c r="O1341" s="40"/>
      <c r="P1341" s="39"/>
      <c r="Q1341" s="39"/>
      <c r="R1341" s="39"/>
      <c r="S1341" s="39"/>
      <c r="T1341" s="39"/>
    </row>
    <row r="1342" spans="2:20" x14ac:dyDescent="0.25">
      <c r="B1342" s="37"/>
      <c r="C1342">
        <f>_xlfn.XLOOKUP(B1342,'Centro de Custo'!A$2:A$45,'Centro de Custo'!B$2:B$45)</f>
        <v>0</v>
      </c>
      <c r="E1342" s="39"/>
      <c r="F1342" s="40"/>
      <c r="G1342" s="41"/>
      <c r="H1342" s="42">
        <f>YEAR(Tabela3[[#This Row],[Data]])</f>
        <v>1900</v>
      </c>
      <c r="I1342" s="42" t="str">
        <f>_xlfn.XLOOKUP(J1342,'Centro de Custo'!J$2:J$13,'Centro de Custo'!K$2:K$13)</f>
        <v>Janeiro</v>
      </c>
      <c r="J1342" s="43">
        <f>MONTH(Tabela3[[#This Row],[Data]])</f>
        <v>1</v>
      </c>
      <c r="K1342" s="39">
        <f>SUM(E$3:Tabela3[[#This Row],[Valor]])</f>
        <v>4236027.08</v>
      </c>
      <c r="L1342" s="40">
        <f t="shared" si="20"/>
        <v>2.22375</v>
      </c>
      <c r="M1342" s="40"/>
      <c r="N1342" s="40"/>
      <c r="O1342" s="40"/>
      <c r="P1342" s="39"/>
      <c r="Q1342" s="39"/>
      <c r="R1342" s="39"/>
      <c r="S1342" s="39"/>
      <c r="T1342" s="39"/>
    </row>
    <row r="1343" spans="2:20" x14ac:dyDescent="0.25">
      <c r="B1343" s="37"/>
      <c r="C1343">
        <f>_xlfn.XLOOKUP(B1343,'Centro de Custo'!A$2:A$45,'Centro de Custo'!B$2:B$45)</f>
        <v>0</v>
      </c>
      <c r="E1343" s="39"/>
      <c r="F1343" s="40"/>
      <c r="G1343" s="41"/>
      <c r="H1343" s="42">
        <f>YEAR(Tabela3[[#This Row],[Data]])</f>
        <v>1900</v>
      </c>
      <c r="I1343" s="42" t="str">
        <f>_xlfn.XLOOKUP(J1343,'Centro de Custo'!J$2:J$13,'Centro de Custo'!K$2:K$13)</f>
        <v>Janeiro</v>
      </c>
      <c r="J1343" s="43">
        <f>MONTH(Tabela3[[#This Row],[Data]])</f>
        <v>1</v>
      </c>
      <c r="K1343" s="39">
        <f>SUM(E$3:Tabela3[[#This Row],[Valor]])</f>
        <v>4236027.08</v>
      </c>
      <c r="L1343" s="40">
        <f t="shared" si="20"/>
        <v>2.22375</v>
      </c>
      <c r="M1343" s="40"/>
      <c r="N1343" s="40"/>
      <c r="O1343" s="40"/>
      <c r="P1343" s="39"/>
      <c r="Q1343" s="39"/>
      <c r="R1343" s="39"/>
      <c r="S1343" s="39"/>
      <c r="T1343" s="39"/>
    </row>
    <row r="1344" spans="2:20" x14ac:dyDescent="0.25">
      <c r="B1344" s="37"/>
      <c r="C1344">
        <f>_xlfn.XLOOKUP(B1344,'Centro de Custo'!A$2:A$45,'Centro de Custo'!B$2:B$45)</f>
        <v>0</v>
      </c>
      <c r="E1344" s="39"/>
      <c r="F1344" s="40"/>
      <c r="G1344" s="41"/>
      <c r="H1344" s="42">
        <f>YEAR(Tabela3[[#This Row],[Data]])</f>
        <v>1900</v>
      </c>
      <c r="I1344" s="42" t="str">
        <f>_xlfn.XLOOKUP(J1344,'Centro de Custo'!J$2:J$13,'Centro de Custo'!K$2:K$13)</f>
        <v>Janeiro</v>
      </c>
      <c r="J1344" s="43">
        <f>MONTH(Tabela3[[#This Row],[Data]])</f>
        <v>1</v>
      </c>
      <c r="K1344" s="39">
        <f>SUM(E$3:Tabela3[[#This Row],[Valor]])</f>
        <v>4236027.08</v>
      </c>
      <c r="L1344" s="40">
        <f t="shared" si="20"/>
        <v>2.22375</v>
      </c>
      <c r="M1344" s="40"/>
      <c r="N1344" s="40"/>
      <c r="O1344" s="40"/>
      <c r="P1344" s="39"/>
      <c r="Q1344" s="39"/>
      <c r="R1344" s="39"/>
      <c r="S1344" s="39"/>
      <c r="T1344" s="39"/>
    </row>
    <row r="1345" spans="2:20" x14ac:dyDescent="0.25">
      <c r="B1345" s="37"/>
      <c r="C1345">
        <f>_xlfn.XLOOKUP(B1345,'Centro de Custo'!A$2:A$45,'Centro de Custo'!B$2:B$45)</f>
        <v>0</v>
      </c>
      <c r="E1345" s="39"/>
      <c r="F1345" s="40"/>
      <c r="G1345" s="41"/>
      <c r="H1345" s="42">
        <f>YEAR(Tabela3[[#This Row],[Data]])</f>
        <v>1900</v>
      </c>
      <c r="I1345" s="42" t="str">
        <f>_xlfn.XLOOKUP(J1345,'Centro de Custo'!J$2:J$13,'Centro de Custo'!K$2:K$13)</f>
        <v>Janeiro</v>
      </c>
      <c r="J1345" s="43">
        <f>MONTH(Tabela3[[#This Row],[Data]])</f>
        <v>1</v>
      </c>
      <c r="K1345" s="39">
        <f>SUM(E$3:Tabela3[[#This Row],[Valor]])</f>
        <v>4236027.08</v>
      </c>
      <c r="L1345" s="40">
        <f t="shared" si="20"/>
        <v>2.22375</v>
      </c>
      <c r="M1345" s="40"/>
      <c r="N1345" s="40"/>
      <c r="O1345" s="40"/>
      <c r="P1345" s="39"/>
      <c r="Q1345" s="39"/>
      <c r="R1345" s="39"/>
      <c r="S1345" s="39"/>
      <c r="T1345" s="39"/>
    </row>
    <row r="1346" spans="2:20" x14ac:dyDescent="0.25">
      <c r="B1346" s="37"/>
      <c r="C1346">
        <f>_xlfn.XLOOKUP(B1346,'Centro de Custo'!A$2:A$45,'Centro de Custo'!B$2:B$45)</f>
        <v>0</v>
      </c>
      <c r="E1346" s="39"/>
      <c r="F1346" s="40"/>
      <c r="G1346" s="41"/>
      <c r="H1346" s="42">
        <f>YEAR(Tabela3[[#This Row],[Data]])</f>
        <v>1900</v>
      </c>
      <c r="I1346" s="42" t="str">
        <f>_xlfn.XLOOKUP(J1346,'Centro de Custo'!J$2:J$13,'Centro de Custo'!K$2:K$13)</f>
        <v>Janeiro</v>
      </c>
      <c r="J1346" s="43">
        <f>MONTH(Tabela3[[#This Row],[Data]])</f>
        <v>1</v>
      </c>
      <c r="K1346" s="39">
        <f>SUM(E$3:Tabela3[[#This Row],[Valor]])</f>
        <v>4236027.08</v>
      </c>
      <c r="L1346" s="40">
        <f t="shared" si="20"/>
        <v>2.22375</v>
      </c>
      <c r="M1346" s="40"/>
      <c r="N1346" s="40"/>
      <c r="O1346" s="40"/>
      <c r="P1346" s="39"/>
      <c r="Q1346" s="39"/>
      <c r="R1346" s="39"/>
      <c r="S1346" s="39"/>
      <c r="T1346" s="39"/>
    </row>
    <row r="1347" spans="2:20" x14ac:dyDescent="0.25">
      <c r="B1347" s="37"/>
      <c r="C1347">
        <f>_xlfn.XLOOKUP(B1347,'Centro de Custo'!A$2:A$45,'Centro de Custo'!B$2:B$45)</f>
        <v>0</v>
      </c>
      <c r="E1347" s="39"/>
      <c r="F1347" s="40"/>
      <c r="G1347" s="41"/>
      <c r="H1347" s="42">
        <f>YEAR(Tabela3[[#This Row],[Data]])</f>
        <v>1900</v>
      </c>
      <c r="I1347" s="42" t="str">
        <f>_xlfn.XLOOKUP(J1347,'Centro de Custo'!J$2:J$13,'Centro de Custo'!K$2:K$13)</f>
        <v>Janeiro</v>
      </c>
      <c r="J1347" s="43">
        <f>MONTH(Tabela3[[#This Row],[Data]])</f>
        <v>1</v>
      </c>
      <c r="K1347" s="39">
        <f>SUM(E$3:Tabela3[[#This Row],[Valor]])</f>
        <v>4236027.08</v>
      </c>
      <c r="L1347" s="40">
        <f t="shared" ref="L1347:L1410" si="21">17.79/8</f>
        <v>2.22375</v>
      </c>
      <c r="M1347" s="40"/>
      <c r="N1347" s="40"/>
      <c r="O1347" s="40"/>
      <c r="P1347" s="39"/>
      <c r="Q1347" s="39"/>
      <c r="R1347" s="39"/>
      <c r="S1347" s="39"/>
      <c r="T1347" s="39"/>
    </row>
    <row r="1348" spans="2:20" x14ac:dyDescent="0.25">
      <c r="B1348" s="37"/>
      <c r="C1348">
        <f>_xlfn.XLOOKUP(B1348,'Centro de Custo'!A$2:A$45,'Centro de Custo'!B$2:B$45)</f>
        <v>0</v>
      </c>
      <c r="E1348" s="39"/>
      <c r="F1348" s="40"/>
      <c r="G1348" s="41"/>
      <c r="H1348" s="42">
        <f>YEAR(Tabela3[[#This Row],[Data]])</f>
        <v>1900</v>
      </c>
      <c r="I1348" s="42" t="str">
        <f>_xlfn.XLOOKUP(J1348,'Centro de Custo'!J$2:J$13,'Centro de Custo'!K$2:K$13)</f>
        <v>Janeiro</v>
      </c>
      <c r="J1348" s="43">
        <f>MONTH(Tabela3[[#This Row],[Data]])</f>
        <v>1</v>
      </c>
      <c r="K1348" s="39">
        <f>SUM(E$3:Tabela3[[#This Row],[Valor]])</f>
        <v>4236027.08</v>
      </c>
      <c r="L1348" s="40">
        <f t="shared" si="21"/>
        <v>2.22375</v>
      </c>
      <c r="M1348" s="40"/>
      <c r="N1348" s="40"/>
      <c r="O1348" s="40"/>
      <c r="P1348" s="39"/>
      <c r="Q1348" s="39"/>
      <c r="R1348" s="39"/>
      <c r="S1348" s="39"/>
      <c r="T1348" s="39"/>
    </row>
    <row r="1349" spans="2:20" x14ac:dyDescent="0.25">
      <c r="B1349" s="37"/>
      <c r="C1349">
        <f>_xlfn.XLOOKUP(B1349,'Centro de Custo'!A$2:A$45,'Centro de Custo'!B$2:B$45)</f>
        <v>0</v>
      </c>
      <c r="E1349" s="39"/>
      <c r="F1349" s="40"/>
      <c r="G1349" s="41"/>
      <c r="H1349" s="42">
        <f>YEAR(Tabela3[[#This Row],[Data]])</f>
        <v>1900</v>
      </c>
      <c r="I1349" s="42" t="str">
        <f>_xlfn.XLOOKUP(J1349,'Centro de Custo'!J$2:J$13,'Centro de Custo'!K$2:K$13)</f>
        <v>Janeiro</v>
      </c>
      <c r="J1349" s="43">
        <f>MONTH(Tabela3[[#This Row],[Data]])</f>
        <v>1</v>
      </c>
      <c r="K1349" s="39">
        <f>SUM(E$3:Tabela3[[#This Row],[Valor]])</f>
        <v>4236027.08</v>
      </c>
      <c r="L1349" s="40">
        <f t="shared" si="21"/>
        <v>2.22375</v>
      </c>
      <c r="M1349" s="40"/>
      <c r="N1349" s="40"/>
      <c r="O1349" s="40"/>
      <c r="P1349" s="39"/>
      <c r="Q1349" s="39"/>
      <c r="R1349" s="39"/>
      <c r="S1349" s="39"/>
      <c r="T1349" s="39"/>
    </row>
    <row r="1350" spans="2:20" x14ac:dyDescent="0.25">
      <c r="B1350" s="37"/>
      <c r="C1350">
        <f>_xlfn.XLOOKUP(B1350,'Centro de Custo'!A$2:A$45,'Centro de Custo'!B$2:B$45)</f>
        <v>0</v>
      </c>
      <c r="E1350" s="39"/>
      <c r="F1350" s="40"/>
      <c r="G1350" s="41"/>
      <c r="H1350" s="42">
        <f>YEAR(Tabela3[[#This Row],[Data]])</f>
        <v>1900</v>
      </c>
      <c r="I1350" s="42" t="str">
        <f>_xlfn.XLOOKUP(J1350,'Centro de Custo'!J$2:J$13,'Centro de Custo'!K$2:K$13)</f>
        <v>Janeiro</v>
      </c>
      <c r="J1350" s="43">
        <f>MONTH(Tabela3[[#This Row],[Data]])</f>
        <v>1</v>
      </c>
      <c r="K1350" s="39">
        <f>SUM(E$3:Tabela3[[#This Row],[Valor]])</f>
        <v>4236027.08</v>
      </c>
      <c r="L1350" s="40">
        <f t="shared" si="21"/>
        <v>2.22375</v>
      </c>
      <c r="M1350" s="40"/>
      <c r="N1350" s="40"/>
      <c r="O1350" s="40"/>
      <c r="P1350" s="39"/>
      <c r="Q1350" s="39"/>
      <c r="R1350" s="39"/>
      <c r="S1350" s="39"/>
      <c r="T1350" s="39"/>
    </row>
    <row r="1351" spans="2:20" x14ac:dyDescent="0.25">
      <c r="B1351" s="37"/>
      <c r="C1351">
        <f>_xlfn.XLOOKUP(B1351,'Centro de Custo'!A$2:A$45,'Centro de Custo'!B$2:B$45)</f>
        <v>0</v>
      </c>
      <c r="E1351" s="39"/>
      <c r="F1351" s="40"/>
      <c r="G1351" s="41"/>
      <c r="H1351" s="42">
        <f>YEAR(Tabela3[[#This Row],[Data]])</f>
        <v>1900</v>
      </c>
      <c r="I1351" s="42" t="str">
        <f>_xlfn.XLOOKUP(J1351,'Centro de Custo'!J$2:J$13,'Centro de Custo'!K$2:K$13)</f>
        <v>Janeiro</v>
      </c>
      <c r="J1351" s="43">
        <f>MONTH(Tabela3[[#This Row],[Data]])</f>
        <v>1</v>
      </c>
      <c r="K1351" s="39">
        <f>SUM(E$3:Tabela3[[#This Row],[Valor]])</f>
        <v>4236027.08</v>
      </c>
      <c r="L1351" s="40">
        <f t="shared" si="21"/>
        <v>2.22375</v>
      </c>
      <c r="M1351" s="40"/>
      <c r="N1351" s="40"/>
      <c r="O1351" s="40"/>
      <c r="P1351" s="39"/>
      <c r="Q1351" s="39"/>
      <c r="R1351" s="39"/>
      <c r="S1351" s="39"/>
      <c r="T1351" s="39"/>
    </row>
    <row r="1352" spans="2:20" x14ac:dyDescent="0.25">
      <c r="B1352" s="37"/>
      <c r="C1352">
        <f>_xlfn.XLOOKUP(B1352,'Centro de Custo'!A$2:A$45,'Centro de Custo'!B$2:B$45)</f>
        <v>0</v>
      </c>
      <c r="E1352" s="39"/>
      <c r="F1352" s="40"/>
      <c r="G1352" s="41"/>
      <c r="H1352" s="42">
        <f>YEAR(Tabela3[[#This Row],[Data]])</f>
        <v>1900</v>
      </c>
      <c r="I1352" s="42" t="str">
        <f>_xlfn.XLOOKUP(J1352,'Centro de Custo'!J$2:J$13,'Centro de Custo'!K$2:K$13)</f>
        <v>Janeiro</v>
      </c>
      <c r="J1352" s="43">
        <f>MONTH(Tabela3[[#This Row],[Data]])</f>
        <v>1</v>
      </c>
      <c r="K1352" s="39">
        <f>SUM(E$3:Tabela3[[#This Row],[Valor]])</f>
        <v>4236027.08</v>
      </c>
      <c r="L1352" s="40">
        <f t="shared" si="21"/>
        <v>2.22375</v>
      </c>
      <c r="M1352" s="40"/>
      <c r="N1352" s="40"/>
      <c r="O1352" s="40"/>
      <c r="P1352" s="39"/>
      <c r="Q1352" s="39"/>
      <c r="R1352" s="39"/>
      <c r="S1352" s="39"/>
      <c r="T1352" s="39"/>
    </row>
    <row r="1353" spans="2:20" x14ac:dyDescent="0.25">
      <c r="B1353" s="37"/>
      <c r="C1353">
        <f>_xlfn.XLOOKUP(B1353,'Centro de Custo'!A$2:A$45,'Centro de Custo'!B$2:B$45)</f>
        <v>0</v>
      </c>
      <c r="E1353" s="39"/>
      <c r="F1353" s="40"/>
      <c r="G1353" s="41"/>
      <c r="H1353" s="42">
        <f>YEAR(Tabela3[[#This Row],[Data]])</f>
        <v>1900</v>
      </c>
      <c r="I1353" s="42" t="str">
        <f>_xlfn.XLOOKUP(J1353,'Centro de Custo'!J$2:J$13,'Centro de Custo'!K$2:K$13)</f>
        <v>Janeiro</v>
      </c>
      <c r="J1353" s="43">
        <f>MONTH(Tabela3[[#This Row],[Data]])</f>
        <v>1</v>
      </c>
      <c r="K1353" s="39">
        <f>SUM(E$3:Tabela3[[#This Row],[Valor]])</f>
        <v>4236027.08</v>
      </c>
      <c r="L1353" s="40">
        <f t="shared" si="21"/>
        <v>2.22375</v>
      </c>
      <c r="M1353" s="40"/>
      <c r="N1353" s="40"/>
      <c r="O1353" s="40"/>
      <c r="P1353" s="39"/>
      <c r="Q1353" s="39"/>
      <c r="R1353" s="39"/>
      <c r="S1353" s="39"/>
      <c r="T1353" s="39"/>
    </row>
    <row r="1354" spans="2:20" x14ac:dyDescent="0.25">
      <c r="B1354" s="37"/>
      <c r="C1354">
        <f>_xlfn.XLOOKUP(B1354,'Centro de Custo'!A$2:A$45,'Centro de Custo'!B$2:B$45)</f>
        <v>0</v>
      </c>
      <c r="E1354" s="39"/>
      <c r="F1354" s="40"/>
      <c r="G1354" s="41"/>
      <c r="H1354" s="42">
        <f>YEAR(Tabela3[[#This Row],[Data]])</f>
        <v>1900</v>
      </c>
      <c r="I1354" s="42" t="str">
        <f>_xlfn.XLOOKUP(J1354,'Centro de Custo'!J$2:J$13,'Centro de Custo'!K$2:K$13)</f>
        <v>Janeiro</v>
      </c>
      <c r="J1354" s="43">
        <f>MONTH(Tabela3[[#This Row],[Data]])</f>
        <v>1</v>
      </c>
      <c r="K1354" s="39">
        <f>SUM(E$3:Tabela3[[#This Row],[Valor]])</f>
        <v>4236027.08</v>
      </c>
      <c r="L1354" s="40">
        <f t="shared" si="21"/>
        <v>2.22375</v>
      </c>
      <c r="M1354" s="40"/>
      <c r="N1354" s="40"/>
      <c r="O1354" s="40"/>
      <c r="P1354" s="39"/>
      <c r="Q1354" s="39"/>
      <c r="R1354" s="39"/>
      <c r="S1354" s="39"/>
      <c r="T1354" s="39"/>
    </row>
    <row r="1355" spans="2:20" x14ac:dyDescent="0.25">
      <c r="B1355" s="37"/>
      <c r="C1355">
        <f>_xlfn.XLOOKUP(B1355,'Centro de Custo'!A$2:A$45,'Centro de Custo'!B$2:B$45)</f>
        <v>0</v>
      </c>
      <c r="E1355" s="39"/>
      <c r="F1355" s="40"/>
      <c r="G1355" s="41"/>
      <c r="H1355" s="42">
        <f>YEAR(Tabela3[[#This Row],[Data]])</f>
        <v>1900</v>
      </c>
      <c r="I1355" s="42" t="str">
        <f>_xlfn.XLOOKUP(J1355,'Centro de Custo'!J$2:J$13,'Centro de Custo'!K$2:K$13)</f>
        <v>Janeiro</v>
      </c>
      <c r="J1355" s="43">
        <f>MONTH(Tabela3[[#This Row],[Data]])</f>
        <v>1</v>
      </c>
      <c r="K1355" s="39">
        <f>SUM(E$3:Tabela3[[#This Row],[Valor]])</f>
        <v>4236027.08</v>
      </c>
      <c r="L1355" s="40">
        <f t="shared" si="21"/>
        <v>2.22375</v>
      </c>
      <c r="M1355" s="40"/>
      <c r="N1355" s="40"/>
      <c r="O1355" s="40"/>
      <c r="P1355" s="39"/>
      <c r="Q1355" s="39"/>
      <c r="R1355" s="39"/>
      <c r="S1355" s="39"/>
      <c r="T1355" s="39"/>
    </row>
    <row r="1356" spans="2:20" x14ac:dyDescent="0.25">
      <c r="B1356" s="37"/>
      <c r="C1356">
        <f>_xlfn.XLOOKUP(B1356,'Centro de Custo'!A$2:A$45,'Centro de Custo'!B$2:B$45)</f>
        <v>0</v>
      </c>
      <c r="E1356" s="39"/>
      <c r="F1356" s="40"/>
      <c r="G1356" s="41"/>
      <c r="H1356" s="42">
        <f>YEAR(Tabela3[[#This Row],[Data]])</f>
        <v>1900</v>
      </c>
      <c r="I1356" s="42" t="str">
        <f>_xlfn.XLOOKUP(J1356,'Centro de Custo'!J$2:J$13,'Centro de Custo'!K$2:K$13)</f>
        <v>Janeiro</v>
      </c>
      <c r="J1356" s="43">
        <f>MONTH(Tabela3[[#This Row],[Data]])</f>
        <v>1</v>
      </c>
      <c r="K1356" s="39">
        <f>SUM(E$3:Tabela3[[#This Row],[Valor]])</f>
        <v>4236027.08</v>
      </c>
      <c r="L1356" s="40">
        <f t="shared" si="21"/>
        <v>2.22375</v>
      </c>
      <c r="M1356" s="40"/>
      <c r="N1356" s="40"/>
      <c r="O1356" s="40"/>
      <c r="P1356" s="39"/>
      <c r="Q1356" s="39"/>
      <c r="R1356" s="39"/>
      <c r="S1356" s="39"/>
      <c r="T1356" s="39"/>
    </row>
    <row r="1357" spans="2:20" x14ac:dyDescent="0.25">
      <c r="B1357" s="37"/>
      <c r="C1357">
        <f>_xlfn.XLOOKUP(B1357,'Centro de Custo'!A$2:A$45,'Centro de Custo'!B$2:B$45)</f>
        <v>0</v>
      </c>
      <c r="E1357" s="39"/>
      <c r="F1357" s="40"/>
      <c r="G1357" s="41"/>
      <c r="H1357" s="42">
        <f>YEAR(Tabela3[[#This Row],[Data]])</f>
        <v>1900</v>
      </c>
      <c r="I1357" s="42" t="str">
        <f>_xlfn.XLOOKUP(J1357,'Centro de Custo'!J$2:J$13,'Centro de Custo'!K$2:K$13)</f>
        <v>Janeiro</v>
      </c>
      <c r="J1357" s="43">
        <f>MONTH(Tabela3[[#This Row],[Data]])</f>
        <v>1</v>
      </c>
      <c r="K1357" s="39">
        <f>SUM(E$3:Tabela3[[#This Row],[Valor]])</f>
        <v>4236027.08</v>
      </c>
      <c r="L1357" s="40">
        <f t="shared" si="21"/>
        <v>2.22375</v>
      </c>
      <c r="M1357" s="40"/>
      <c r="N1357" s="40"/>
      <c r="O1357" s="40"/>
      <c r="P1357" s="39"/>
      <c r="Q1357" s="39"/>
      <c r="R1357" s="39"/>
      <c r="S1357" s="39"/>
      <c r="T1357" s="39"/>
    </row>
    <row r="1358" spans="2:20" x14ac:dyDescent="0.25">
      <c r="B1358" s="37"/>
      <c r="C1358">
        <f>_xlfn.XLOOKUP(B1358,'Centro de Custo'!A$2:A$45,'Centro de Custo'!B$2:B$45)</f>
        <v>0</v>
      </c>
      <c r="E1358" s="39"/>
      <c r="F1358" s="40"/>
      <c r="G1358" s="41"/>
      <c r="H1358" s="42">
        <f>YEAR(Tabela3[[#This Row],[Data]])</f>
        <v>1900</v>
      </c>
      <c r="I1358" s="42" t="str">
        <f>_xlfn.XLOOKUP(J1358,'Centro de Custo'!J$2:J$13,'Centro de Custo'!K$2:K$13)</f>
        <v>Janeiro</v>
      </c>
      <c r="J1358" s="43">
        <f>MONTH(Tabela3[[#This Row],[Data]])</f>
        <v>1</v>
      </c>
      <c r="K1358" s="39">
        <f>SUM(E$3:Tabela3[[#This Row],[Valor]])</f>
        <v>4236027.08</v>
      </c>
      <c r="L1358" s="40">
        <f t="shared" si="21"/>
        <v>2.22375</v>
      </c>
      <c r="M1358" s="40"/>
      <c r="N1358" s="40"/>
      <c r="O1358" s="40"/>
      <c r="P1358" s="39"/>
      <c r="Q1358" s="39"/>
      <c r="R1358" s="39"/>
      <c r="S1358" s="39"/>
      <c r="T1358" s="39"/>
    </row>
    <row r="1359" spans="2:20" x14ac:dyDescent="0.25">
      <c r="B1359" s="37"/>
      <c r="C1359">
        <f>_xlfn.XLOOKUP(B1359,'Centro de Custo'!A$2:A$45,'Centro de Custo'!B$2:B$45)</f>
        <v>0</v>
      </c>
      <c r="E1359" s="39"/>
      <c r="F1359" s="40"/>
      <c r="G1359" s="41"/>
      <c r="H1359" s="42">
        <f>YEAR(Tabela3[[#This Row],[Data]])</f>
        <v>1900</v>
      </c>
      <c r="I1359" s="42" t="str">
        <f>_xlfn.XLOOKUP(J1359,'Centro de Custo'!J$2:J$13,'Centro de Custo'!K$2:K$13)</f>
        <v>Janeiro</v>
      </c>
      <c r="J1359" s="43">
        <f>MONTH(Tabela3[[#This Row],[Data]])</f>
        <v>1</v>
      </c>
      <c r="K1359" s="39">
        <f>SUM(E$3:Tabela3[[#This Row],[Valor]])</f>
        <v>4236027.08</v>
      </c>
      <c r="L1359" s="40">
        <f t="shared" si="21"/>
        <v>2.22375</v>
      </c>
      <c r="M1359" s="40"/>
      <c r="N1359" s="40"/>
      <c r="O1359" s="40"/>
      <c r="P1359" s="39"/>
      <c r="Q1359" s="39"/>
      <c r="R1359" s="39"/>
      <c r="S1359" s="39"/>
      <c r="T1359" s="39"/>
    </row>
    <row r="1360" spans="2:20" x14ac:dyDescent="0.25">
      <c r="B1360" s="37"/>
      <c r="C1360">
        <f>_xlfn.XLOOKUP(B1360,'Centro de Custo'!A$2:A$45,'Centro de Custo'!B$2:B$45)</f>
        <v>0</v>
      </c>
      <c r="E1360" s="39"/>
      <c r="F1360" s="40"/>
      <c r="G1360" s="41"/>
      <c r="H1360" s="42">
        <f>YEAR(Tabela3[[#This Row],[Data]])</f>
        <v>1900</v>
      </c>
      <c r="I1360" s="42" t="str">
        <f>_xlfn.XLOOKUP(J1360,'Centro de Custo'!J$2:J$13,'Centro de Custo'!K$2:K$13)</f>
        <v>Janeiro</v>
      </c>
      <c r="J1360" s="43">
        <f>MONTH(Tabela3[[#This Row],[Data]])</f>
        <v>1</v>
      </c>
      <c r="K1360" s="39">
        <f>SUM(E$3:Tabela3[[#This Row],[Valor]])</f>
        <v>4236027.08</v>
      </c>
      <c r="L1360" s="40">
        <f t="shared" si="21"/>
        <v>2.22375</v>
      </c>
      <c r="M1360" s="40"/>
      <c r="N1360" s="40"/>
      <c r="O1360" s="40"/>
      <c r="P1360" s="39"/>
      <c r="Q1360" s="39"/>
      <c r="R1360" s="39"/>
      <c r="S1360" s="39"/>
      <c r="T1360" s="39"/>
    </row>
    <row r="1361" spans="2:20" x14ac:dyDescent="0.25">
      <c r="B1361" s="37"/>
      <c r="C1361">
        <f>_xlfn.XLOOKUP(B1361,'Centro de Custo'!A$2:A$45,'Centro de Custo'!B$2:B$45)</f>
        <v>0</v>
      </c>
      <c r="E1361" s="39"/>
      <c r="F1361" s="40"/>
      <c r="G1361" s="41"/>
      <c r="H1361" s="42">
        <f>YEAR(Tabela3[[#This Row],[Data]])</f>
        <v>1900</v>
      </c>
      <c r="I1361" s="42" t="str">
        <f>_xlfn.XLOOKUP(J1361,'Centro de Custo'!J$2:J$13,'Centro de Custo'!K$2:K$13)</f>
        <v>Janeiro</v>
      </c>
      <c r="J1361" s="43">
        <f>MONTH(Tabela3[[#This Row],[Data]])</f>
        <v>1</v>
      </c>
      <c r="K1361" s="39">
        <f>SUM(E$3:Tabela3[[#This Row],[Valor]])</f>
        <v>4236027.08</v>
      </c>
      <c r="L1361" s="40">
        <f t="shared" si="21"/>
        <v>2.22375</v>
      </c>
      <c r="M1361" s="40"/>
      <c r="N1361" s="40"/>
      <c r="O1361" s="40"/>
      <c r="P1361" s="39"/>
      <c r="Q1361" s="39"/>
      <c r="R1361" s="39"/>
      <c r="S1361" s="39"/>
      <c r="T1361" s="39"/>
    </row>
    <row r="1362" spans="2:20" x14ac:dyDescent="0.25">
      <c r="B1362" s="37"/>
      <c r="C1362">
        <f>_xlfn.XLOOKUP(B1362,'Centro de Custo'!A$2:A$45,'Centro de Custo'!B$2:B$45)</f>
        <v>0</v>
      </c>
      <c r="E1362" s="39"/>
      <c r="F1362" s="40"/>
      <c r="G1362" s="41"/>
      <c r="H1362" s="42">
        <f>YEAR(Tabela3[[#This Row],[Data]])</f>
        <v>1900</v>
      </c>
      <c r="I1362" s="42" t="str">
        <f>_xlfn.XLOOKUP(J1362,'Centro de Custo'!J$2:J$13,'Centro de Custo'!K$2:K$13)</f>
        <v>Janeiro</v>
      </c>
      <c r="J1362" s="43">
        <f>MONTH(Tabela3[[#This Row],[Data]])</f>
        <v>1</v>
      </c>
      <c r="K1362" s="39">
        <f>SUM(E$3:Tabela3[[#This Row],[Valor]])</f>
        <v>4236027.08</v>
      </c>
      <c r="L1362" s="40">
        <f t="shared" si="21"/>
        <v>2.22375</v>
      </c>
      <c r="M1362" s="40"/>
      <c r="N1362" s="40"/>
      <c r="O1362" s="40"/>
      <c r="P1362" s="39"/>
      <c r="Q1362" s="39"/>
      <c r="R1362" s="39"/>
      <c r="S1362" s="39"/>
      <c r="T1362" s="39"/>
    </row>
    <row r="1363" spans="2:20" x14ac:dyDescent="0.25">
      <c r="B1363" s="37"/>
      <c r="C1363">
        <f>_xlfn.XLOOKUP(B1363,'Centro de Custo'!A$2:A$45,'Centro de Custo'!B$2:B$45)</f>
        <v>0</v>
      </c>
      <c r="E1363" s="39"/>
      <c r="F1363" s="40"/>
      <c r="G1363" s="41"/>
      <c r="H1363" s="42">
        <f>YEAR(Tabela3[[#This Row],[Data]])</f>
        <v>1900</v>
      </c>
      <c r="I1363" s="42" t="str">
        <f>_xlfn.XLOOKUP(J1363,'Centro de Custo'!J$2:J$13,'Centro de Custo'!K$2:K$13)</f>
        <v>Janeiro</v>
      </c>
      <c r="J1363" s="43">
        <f>MONTH(Tabela3[[#This Row],[Data]])</f>
        <v>1</v>
      </c>
      <c r="K1363" s="39">
        <f>SUM(E$3:Tabela3[[#This Row],[Valor]])</f>
        <v>4236027.08</v>
      </c>
      <c r="L1363" s="40">
        <f t="shared" si="21"/>
        <v>2.22375</v>
      </c>
      <c r="M1363" s="40"/>
      <c r="N1363" s="40"/>
      <c r="O1363" s="40"/>
      <c r="P1363" s="39"/>
      <c r="Q1363" s="39"/>
      <c r="R1363" s="39"/>
      <c r="S1363" s="39"/>
      <c r="T1363" s="39"/>
    </row>
    <row r="1364" spans="2:20" x14ac:dyDescent="0.25">
      <c r="B1364" s="37"/>
      <c r="C1364">
        <f>_xlfn.XLOOKUP(B1364,'Centro de Custo'!A$2:A$45,'Centro de Custo'!B$2:B$45)</f>
        <v>0</v>
      </c>
      <c r="E1364" s="39"/>
      <c r="F1364" s="40"/>
      <c r="G1364" s="41"/>
      <c r="H1364" s="42">
        <f>YEAR(Tabela3[[#This Row],[Data]])</f>
        <v>1900</v>
      </c>
      <c r="I1364" s="42" t="str">
        <f>_xlfn.XLOOKUP(J1364,'Centro de Custo'!J$2:J$13,'Centro de Custo'!K$2:K$13)</f>
        <v>Janeiro</v>
      </c>
      <c r="J1364" s="43">
        <f>MONTH(Tabela3[[#This Row],[Data]])</f>
        <v>1</v>
      </c>
      <c r="K1364" s="39">
        <f>SUM(E$3:Tabela3[[#This Row],[Valor]])</f>
        <v>4236027.08</v>
      </c>
      <c r="L1364" s="40">
        <f t="shared" si="21"/>
        <v>2.22375</v>
      </c>
      <c r="M1364" s="40"/>
      <c r="N1364" s="40"/>
      <c r="O1364" s="40"/>
      <c r="P1364" s="39"/>
      <c r="Q1364" s="39"/>
      <c r="R1364" s="39"/>
      <c r="S1364" s="39"/>
      <c r="T1364" s="39"/>
    </row>
    <row r="1365" spans="2:20" x14ac:dyDescent="0.25">
      <c r="B1365" s="37"/>
      <c r="C1365">
        <f>_xlfn.XLOOKUP(B1365,'Centro de Custo'!A$2:A$45,'Centro de Custo'!B$2:B$45)</f>
        <v>0</v>
      </c>
      <c r="E1365" s="39"/>
      <c r="F1365" s="40"/>
      <c r="G1365" s="41"/>
      <c r="H1365" s="42">
        <f>YEAR(Tabela3[[#This Row],[Data]])</f>
        <v>1900</v>
      </c>
      <c r="I1365" s="42" t="str">
        <f>_xlfn.XLOOKUP(J1365,'Centro de Custo'!J$2:J$13,'Centro de Custo'!K$2:K$13)</f>
        <v>Janeiro</v>
      </c>
      <c r="J1365" s="43">
        <f>MONTH(Tabela3[[#This Row],[Data]])</f>
        <v>1</v>
      </c>
      <c r="K1365" s="39">
        <f>SUM(E$3:Tabela3[[#This Row],[Valor]])</f>
        <v>4236027.08</v>
      </c>
      <c r="L1365" s="40">
        <f t="shared" si="21"/>
        <v>2.22375</v>
      </c>
      <c r="M1365" s="40"/>
      <c r="N1365" s="40"/>
      <c r="O1365" s="40"/>
      <c r="P1365" s="39"/>
      <c r="Q1365" s="39"/>
      <c r="R1365" s="39"/>
      <c r="S1365" s="39"/>
      <c r="T1365" s="39"/>
    </row>
    <row r="1366" spans="2:22" x14ac:dyDescent="0.25">
      <c r="B1366" s="37"/>
      <c r="C1366">
        <f>_xlfn.XLOOKUP(B1366,'Centro de Custo'!A$2:A$45,'Centro de Custo'!B$2:B$45)</f>
        <v>0</v>
      </c>
      <c r="E1366" s="39"/>
      <c r="F1366" s="40"/>
      <c r="G1366" s="41"/>
      <c r="H1366" s="42">
        <f>YEAR(Tabela3[[#This Row],[Data]])</f>
        <v>1900</v>
      </c>
      <c r="I1366" s="42" t="str">
        <f>_xlfn.XLOOKUP(J1366,'Centro de Custo'!J$2:J$13,'Centro de Custo'!K$2:K$13)</f>
        <v>Janeiro</v>
      </c>
      <c r="J1366" s="43">
        <f>MONTH(Tabela3[[#This Row],[Data]])</f>
        <v>1</v>
      </c>
      <c r="K1366" s="39">
        <f>SUM(E$3:Tabela3[[#This Row],[Valor]])</f>
        <v>4236027.08</v>
      </c>
      <c r="L1366" s="40">
        <f t="shared" si="21"/>
        <v>2.22375</v>
      </c>
      <c r="M1366" s="40"/>
      <c r="N1366" s="40"/>
      <c r="O1366" s="40"/>
      <c r="P1366" s="39"/>
      <c r="Q1366" s="39"/>
      <c r="R1366" s="39"/>
      <c r="S1366" s="39"/>
      <c r="T1366" s="39"/>
      <c r="V1366" t="b">
        <f>IF(Tabela3[[#This Row],[Pago]]&lt;&gt;"",IF(F1367="",Tabela3[[#This Row],[Saldo]],0))</f>
        <v>0</v>
      </c>
    </row>
    <row r="1367" spans="2:22" x14ac:dyDescent="0.25">
      <c r="B1367" s="37"/>
      <c r="C1367">
        <f>_xlfn.XLOOKUP(B1367,'Centro de Custo'!A$2:A$45,'Centro de Custo'!B$2:B$45)</f>
        <v>0</v>
      </c>
      <c r="E1367" s="39"/>
      <c r="F1367" s="40"/>
      <c r="G1367" s="41"/>
      <c r="H1367" s="42">
        <f>YEAR(Tabela3[[#This Row],[Data]])</f>
        <v>1900</v>
      </c>
      <c r="I1367" s="42" t="str">
        <f>_xlfn.XLOOKUP(J1367,'Centro de Custo'!J$2:J$13,'Centro de Custo'!K$2:K$13)</f>
        <v>Janeiro</v>
      </c>
      <c r="J1367" s="43">
        <f>MONTH(Tabela3[[#This Row],[Data]])</f>
        <v>1</v>
      </c>
      <c r="K1367" s="39">
        <f>SUM(E$3:Tabela3[[#This Row],[Valor]])</f>
        <v>4236027.08</v>
      </c>
      <c r="L1367" s="40">
        <f t="shared" si="21"/>
        <v>2.22375</v>
      </c>
      <c r="M1367" s="40"/>
      <c r="N1367" s="40"/>
      <c r="O1367" s="40"/>
      <c r="P1367" s="39"/>
      <c r="Q1367" s="39"/>
      <c r="R1367" s="39"/>
      <c r="S1367" s="39"/>
      <c r="T1367" s="39"/>
      <c r="V1367" t="b">
        <f>IF(Tabela3[[#This Row],[Pago]]&lt;&gt;"",IF(F1368="",Tabela3[[#This Row],[Saldo]],0))</f>
        <v>0</v>
      </c>
    </row>
    <row r="1368" spans="2:22" x14ac:dyDescent="0.25">
      <c r="B1368" s="37"/>
      <c r="C1368">
        <f>_xlfn.XLOOKUP(B1368,'Centro de Custo'!A$2:A$45,'Centro de Custo'!B$2:B$45)</f>
        <v>0</v>
      </c>
      <c r="E1368" s="39"/>
      <c r="F1368" s="40"/>
      <c r="G1368" s="41"/>
      <c r="H1368" s="42">
        <f>YEAR(Tabela3[[#This Row],[Data]])</f>
        <v>1900</v>
      </c>
      <c r="I1368" s="42" t="str">
        <f>_xlfn.XLOOKUP(J1368,'Centro de Custo'!J$2:J$13,'Centro de Custo'!K$2:K$13)</f>
        <v>Janeiro</v>
      </c>
      <c r="J1368" s="43">
        <f>MONTH(Tabela3[[#This Row],[Data]])</f>
        <v>1</v>
      </c>
      <c r="K1368" s="39">
        <f>SUM(E$3:Tabela3[[#This Row],[Valor]])</f>
        <v>4236027.08</v>
      </c>
      <c r="L1368" s="40">
        <f t="shared" si="21"/>
        <v>2.22375</v>
      </c>
      <c r="M1368" s="40"/>
      <c r="N1368" s="40"/>
      <c r="O1368" s="40"/>
      <c r="P1368" s="39"/>
      <c r="Q1368" s="39"/>
      <c r="R1368" s="39"/>
      <c r="S1368" s="39"/>
      <c r="T1368" s="39"/>
      <c r="V1368" t="b">
        <f>IF(Tabela3[[#This Row],[Pago]]&lt;&gt;"",IF(F1369="",Tabela3[[#This Row],[Saldo]],0))</f>
        <v>0</v>
      </c>
    </row>
    <row r="1369" spans="2:22" x14ac:dyDescent="0.25">
      <c r="B1369" s="37"/>
      <c r="C1369">
        <f>_xlfn.XLOOKUP(B1369,'Centro de Custo'!A$2:A$45,'Centro de Custo'!B$2:B$45)</f>
        <v>0</v>
      </c>
      <c r="E1369" s="39"/>
      <c r="F1369" s="40"/>
      <c r="G1369" s="41"/>
      <c r="H1369" s="42">
        <f>YEAR(Tabela3[[#This Row],[Data]])</f>
        <v>1900</v>
      </c>
      <c r="I1369" s="42" t="str">
        <f>_xlfn.XLOOKUP(J1369,'Centro de Custo'!J$2:J$13,'Centro de Custo'!K$2:K$13)</f>
        <v>Janeiro</v>
      </c>
      <c r="J1369" s="43">
        <f>MONTH(Tabela3[[#This Row],[Data]])</f>
        <v>1</v>
      </c>
      <c r="K1369" s="39">
        <f>SUM(E$3:Tabela3[[#This Row],[Valor]])</f>
        <v>4236027.08</v>
      </c>
      <c r="L1369" s="40">
        <f t="shared" si="21"/>
        <v>2.22375</v>
      </c>
      <c r="M1369" s="40"/>
      <c r="N1369" s="40"/>
      <c r="O1369" s="40"/>
      <c r="P1369" s="39"/>
      <c r="Q1369" s="39"/>
      <c r="R1369" s="39"/>
      <c r="S1369" s="39"/>
      <c r="T1369" s="39"/>
      <c r="V1369" t="b">
        <f>IF(Tabela3[[#This Row],[Pago]]&lt;&gt;"",IF(F1370="",Tabela3[[#This Row],[Saldo]],0))</f>
        <v>0</v>
      </c>
    </row>
    <row r="1370" spans="2:22" x14ac:dyDescent="0.25">
      <c r="B1370" s="37"/>
      <c r="C1370">
        <f>_xlfn.XLOOKUP(B1370,'Centro de Custo'!A$2:A$45,'Centro de Custo'!B$2:B$45)</f>
        <v>0</v>
      </c>
      <c r="E1370" s="39"/>
      <c r="F1370" s="40"/>
      <c r="G1370" s="41"/>
      <c r="H1370" s="42">
        <f>YEAR(Tabela3[[#This Row],[Data]])</f>
        <v>1900</v>
      </c>
      <c r="I1370" s="42" t="str">
        <f>_xlfn.XLOOKUP(J1370,'Centro de Custo'!J$2:J$13,'Centro de Custo'!K$2:K$13)</f>
        <v>Janeiro</v>
      </c>
      <c r="J1370" s="43">
        <f>MONTH(Tabela3[[#This Row],[Data]])</f>
        <v>1</v>
      </c>
      <c r="K1370" s="39">
        <f>SUM(E$3:Tabela3[[#This Row],[Valor]])</f>
        <v>4236027.08</v>
      </c>
      <c r="L1370" s="40">
        <f t="shared" si="21"/>
        <v>2.22375</v>
      </c>
      <c r="M1370" s="40"/>
      <c r="N1370" s="40"/>
      <c r="O1370" s="40"/>
      <c r="P1370" s="39"/>
      <c r="Q1370" s="39"/>
      <c r="R1370" s="39"/>
      <c r="S1370" s="39"/>
      <c r="T1370" s="39"/>
      <c r="V1370" t="b">
        <f>IF(Tabela3[[#This Row],[Pago]]&lt;&gt;"",IF(F1371="",Tabela3[[#This Row],[Saldo]],0))</f>
        <v>0</v>
      </c>
    </row>
    <row r="1371" spans="2:22" x14ac:dyDescent="0.25">
      <c r="B1371" s="37"/>
      <c r="C1371">
        <f>_xlfn.XLOOKUP(B1371,'Centro de Custo'!A$2:A$45,'Centro de Custo'!B$2:B$45)</f>
        <v>0</v>
      </c>
      <c r="E1371" s="39"/>
      <c r="F1371" s="40"/>
      <c r="G1371" s="41"/>
      <c r="H1371" s="42">
        <f>YEAR(Tabela3[[#This Row],[Data]])</f>
        <v>1900</v>
      </c>
      <c r="I1371" s="42" t="str">
        <f>_xlfn.XLOOKUP(J1371,'Centro de Custo'!J$2:J$13,'Centro de Custo'!K$2:K$13)</f>
        <v>Janeiro</v>
      </c>
      <c r="J1371" s="43">
        <f>MONTH(Tabela3[[#This Row],[Data]])</f>
        <v>1</v>
      </c>
      <c r="K1371" s="39">
        <f>SUM(E$3:Tabela3[[#This Row],[Valor]])</f>
        <v>4236027.08</v>
      </c>
      <c r="L1371" s="40">
        <f t="shared" si="21"/>
        <v>2.22375</v>
      </c>
      <c r="M1371" s="40"/>
      <c r="N1371" s="40"/>
      <c r="O1371" s="40"/>
      <c r="P1371" s="39"/>
      <c r="Q1371" s="39"/>
      <c r="R1371" s="39"/>
      <c r="S1371" s="39"/>
      <c r="T1371" s="39"/>
      <c r="V1371" t="b">
        <f>IF(Tabela3[[#This Row],[Pago]]&lt;&gt;"",IF(F1372="",Tabela3[[#This Row],[Saldo]],0))</f>
        <v>0</v>
      </c>
    </row>
    <row r="1372" spans="2:22" x14ac:dyDescent="0.25">
      <c r="B1372" s="37"/>
      <c r="C1372">
        <f>_xlfn.XLOOKUP(B1372,'Centro de Custo'!A$2:A$45,'Centro de Custo'!B$2:B$45)</f>
        <v>0</v>
      </c>
      <c r="E1372" s="39"/>
      <c r="F1372" s="40"/>
      <c r="G1372" s="41"/>
      <c r="H1372" s="42">
        <f>YEAR(Tabela3[[#This Row],[Data]])</f>
        <v>1900</v>
      </c>
      <c r="I1372" s="42" t="str">
        <f>_xlfn.XLOOKUP(J1372,'Centro de Custo'!J$2:J$13,'Centro de Custo'!K$2:K$13)</f>
        <v>Janeiro</v>
      </c>
      <c r="J1372" s="43">
        <f>MONTH(Tabela3[[#This Row],[Data]])</f>
        <v>1</v>
      </c>
      <c r="K1372" s="39">
        <f>SUM(E$3:Tabela3[[#This Row],[Valor]])</f>
        <v>4236027.08</v>
      </c>
      <c r="L1372" s="40">
        <f t="shared" si="21"/>
        <v>2.22375</v>
      </c>
      <c r="M1372" s="40"/>
      <c r="N1372" s="40"/>
      <c r="O1372" s="40"/>
      <c r="P1372" s="39"/>
      <c r="Q1372" s="39"/>
      <c r="R1372" s="39"/>
      <c r="S1372" s="39"/>
      <c r="T1372" s="39"/>
      <c r="V1372" t="b">
        <f>IF(Tabela3[[#This Row],[Pago]]&lt;&gt;"",IF(F1373="",Tabela3[[#This Row],[Saldo]],0))</f>
        <v>0</v>
      </c>
    </row>
    <row r="1373" spans="2:22" x14ac:dyDescent="0.25">
      <c r="B1373" s="37"/>
      <c r="C1373">
        <f>_xlfn.XLOOKUP(B1373,'Centro de Custo'!A$2:A$45,'Centro de Custo'!B$2:B$45)</f>
        <v>0</v>
      </c>
      <c r="E1373" s="39"/>
      <c r="F1373" s="40"/>
      <c r="G1373" s="41"/>
      <c r="H1373" s="42">
        <f>YEAR(Tabela3[[#This Row],[Data]])</f>
        <v>1900</v>
      </c>
      <c r="I1373" s="42" t="str">
        <f>_xlfn.XLOOKUP(J1373,'Centro de Custo'!J$2:J$13,'Centro de Custo'!K$2:K$13)</f>
        <v>Janeiro</v>
      </c>
      <c r="J1373" s="43">
        <f>MONTH(Tabela3[[#This Row],[Data]])</f>
        <v>1</v>
      </c>
      <c r="K1373" s="39">
        <f>SUM(E$3:Tabela3[[#This Row],[Valor]])</f>
        <v>4236027.08</v>
      </c>
      <c r="L1373" s="40">
        <f t="shared" si="21"/>
        <v>2.22375</v>
      </c>
      <c r="M1373" s="40"/>
      <c r="N1373" s="40"/>
      <c r="O1373" s="40"/>
      <c r="P1373" s="39"/>
      <c r="Q1373" s="39"/>
      <c r="R1373" s="39"/>
      <c r="S1373" s="39"/>
      <c r="T1373" s="39"/>
      <c r="V1373" t="b">
        <f>IF(Tabela3[[#This Row],[Pago]]&lt;&gt;"",IF(F1374="",Tabela3[[#This Row],[Saldo]],0))</f>
        <v>0</v>
      </c>
    </row>
    <row r="1374" spans="2:22" x14ac:dyDescent="0.25">
      <c r="B1374" s="37"/>
      <c r="C1374">
        <f>_xlfn.XLOOKUP(B1374,'Centro de Custo'!A$2:A$45,'Centro de Custo'!B$2:B$45)</f>
        <v>0</v>
      </c>
      <c r="E1374" s="39"/>
      <c r="F1374" s="40"/>
      <c r="G1374" s="41"/>
      <c r="H1374" s="42">
        <f>YEAR(Tabela3[[#This Row],[Data]])</f>
        <v>1900</v>
      </c>
      <c r="I1374" s="42" t="str">
        <f>_xlfn.XLOOKUP(J1374,'Centro de Custo'!J$2:J$13,'Centro de Custo'!K$2:K$13)</f>
        <v>Janeiro</v>
      </c>
      <c r="J1374" s="43">
        <f>MONTH(Tabela3[[#This Row],[Data]])</f>
        <v>1</v>
      </c>
      <c r="K1374" s="39">
        <f>SUM(E$3:Tabela3[[#This Row],[Valor]])</f>
        <v>4236027.08</v>
      </c>
      <c r="L1374" s="40">
        <f t="shared" si="21"/>
        <v>2.22375</v>
      </c>
      <c r="M1374" s="40"/>
      <c r="N1374" s="40"/>
      <c r="O1374" s="40"/>
      <c r="P1374" s="39"/>
      <c r="Q1374" s="39"/>
      <c r="R1374" s="39"/>
      <c r="S1374" s="39"/>
      <c r="T1374" s="39"/>
      <c r="V1374" t="b">
        <f>IF(Tabela3[[#This Row],[Pago]]&lt;&gt;"",IF(F1375="",Tabela3[[#This Row],[Saldo]],0))</f>
        <v>0</v>
      </c>
    </row>
    <row r="1375" spans="2:22" x14ac:dyDescent="0.25">
      <c r="B1375" s="37"/>
      <c r="C1375">
        <f>_xlfn.XLOOKUP(B1375,'Centro de Custo'!A$2:A$45,'Centro de Custo'!B$2:B$45)</f>
        <v>0</v>
      </c>
      <c r="E1375" s="39"/>
      <c r="F1375" s="40"/>
      <c r="G1375" s="41"/>
      <c r="H1375" s="42">
        <f>YEAR(Tabela3[[#This Row],[Data]])</f>
        <v>1900</v>
      </c>
      <c r="I1375" s="42" t="str">
        <f>_xlfn.XLOOKUP(J1375,'Centro de Custo'!J$2:J$13,'Centro de Custo'!K$2:K$13)</f>
        <v>Janeiro</v>
      </c>
      <c r="J1375" s="43">
        <f>MONTH(Tabela3[[#This Row],[Data]])</f>
        <v>1</v>
      </c>
      <c r="K1375" s="39">
        <f>SUM(E$3:Tabela3[[#This Row],[Valor]])</f>
        <v>4236027.08</v>
      </c>
      <c r="L1375" s="40">
        <f t="shared" si="21"/>
        <v>2.22375</v>
      </c>
      <c r="M1375" s="40"/>
      <c r="N1375" s="40"/>
      <c r="O1375" s="40"/>
      <c r="P1375" s="39"/>
      <c r="Q1375" s="39"/>
      <c r="R1375" s="39"/>
      <c r="S1375" s="39"/>
      <c r="T1375" s="39"/>
      <c r="V1375" t="b">
        <f>IF(Tabela3[[#This Row],[Pago]]&lt;&gt;"",IF(F1376="",Tabela3[[#This Row],[Saldo]],0))</f>
        <v>0</v>
      </c>
    </row>
    <row r="1376" spans="2:22" x14ac:dyDescent="0.25">
      <c r="B1376" s="37"/>
      <c r="C1376">
        <f>_xlfn.XLOOKUP(B1376,'Centro de Custo'!A$2:A$45,'Centro de Custo'!B$2:B$45)</f>
        <v>0</v>
      </c>
      <c r="E1376" s="39"/>
      <c r="F1376" s="40"/>
      <c r="G1376" s="41"/>
      <c r="H1376" s="42">
        <f>YEAR(Tabela3[[#This Row],[Data]])</f>
        <v>1900</v>
      </c>
      <c r="I1376" s="42" t="str">
        <f>_xlfn.XLOOKUP(J1376,'Centro de Custo'!J$2:J$13,'Centro de Custo'!K$2:K$13)</f>
        <v>Janeiro</v>
      </c>
      <c r="J1376" s="43">
        <f>MONTH(Tabela3[[#This Row],[Data]])</f>
        <v>1</v>
      </c>
      <c r="K1376" s="39">
        <f>SUM(E$3:Tabela3[[#This Row],[Valor]])</f>
        <v>4236027.08</v>
      </c>
      <c r="L1376" s="40">
        <f t="shared" si="21"/>
        <v>2.22375</v>
      </c>
      <c r="M1376" s="40"/>
      <c r="N1376" s="40"/>
      <c r="O1376" s="40"/>
      <c r="P1376" s="39"/>
      <c r="Q1376" s="39"/>
      <c r="R1376" s="39"/>
      <c r="S1376" s="39"/>
      <c r="T1376" s="39"/>
      <c r="V1376" t="b">
        <f>IF(Tabela3[[#This Row],[Pago]]&lt;&gt;"",IF(F1377="",Tabela3[[#This Row],[Saldo]],0))</f>
        <v>0</v>
      </c>
    </row>
    <row r="1377" spans="2:22" x14ac:dyDescent="0.25">
      <c r="B1377" s="37"/>
      <c r="C1377">
        <f>_xlfn.XLOOKUP(B1377,'Centro de Custo'!A$2:A$45,'Centro de Custo'!B$2:B$45)</f>
        <v>0</v>
      </c>
      <c r="E1377" s="39"/>
      <c r="F1377" s="40"/>
      <c r="G1377" s="41"/>
      <c r="H1377" s="42">
        <f>YEAR(Tabela3[[#This Row],[Data]])</f>
        <v>1900</v>
      </c>
      <c r="I1377" s="42" t="str">
        <f>_xlfn.XLOOKUP(J1377,'Centro de Custo'!J$2:J$13,'Centro de Custo'!K$2:K$13)</f>
        <v>Janeiro</v>
      </c>
      <c r="J1377" s="43">
        <f>MONTH(Tabela3[[#This Row],[Data]])</f>
        <v>1</v>
      </c>
      <c r="K1377" s="39">
        <f>SUM(E$3:Tabela3[[#This Row],[Valor]])</f>
        <v>4236027.08</v>
      </c>
      <c r="L1377" s="40">
        <f t="shared" si="21"/>
        <v>2.22375</v>
      </c>
      <c r="M1377" s="40"/>
      <c r="N1377" s="40"/>
      <c r="O1377" s="40"/>
      <c r="P1377" s="39"/>
      <c r="Q1377" s="39"/>
      <c r="R1377" s="39"/>
      <c r="S1377" s="39"/>
      <c r="T1377" s="39"/>
      <c r="V1377" t="b">
        <f>IF(Tabela3[[#This Row],[Pago]]&lt;&gt;"",IF(F1378="",Tabela3[[#This Row],[Saldo]],0))</f>
        <v>0</v>
      </c>
    </row>
    <row r="1378" spans="2:22" x14ac:dyDescent="0.25">
      <c r="B1378" s="37"/>
      <c r="C1378">
        <f>_xlfn.XLOOKUP(B1378,'Centro de Custo'!A$2:A$45,'Centro de Custo'!B$2:B$45)</f>
        <v>0</v>
      </c>
      <c r="E1378" s="39"/>
      <c r="F1378" s="40"/>
      <c r="G1378" s="41"/>
      <c r="H1378" s="42">
        <f>YEAR(Tabela3[[#This Row],[Data]])</f>
        <v>1900</v>
      </c>
      <c r="I1378" s="42" t="str">
        <f>_xlfn.XLOOKUP(J1378,'Centro de Custo'!J$2:J$13,'Centro de Custo'!K$2:K$13)</f>
        <v>Janeiro</v>
      </c>
      <c r="J1378" s="43">
        <f>MONTH(Tabela3[[#This Row],[Data]])</f>
        <v>1</v>
      </c>
      <c r="K1378" s="39">
        <f>SUM(E$3:Tabela3[[#This Row],[Valor]])</f>
        <v>4236027.08</v>
      </c>
      <c r="L1378" s="40">
        <f t="shared" si="21"/>
        <v>2.22375</v>
      </c>
      <c r="M1378" s="40"/>
      <c r="N1378" s="40"/>
      <c r="O1378" s="40"/>
      <c r="P1378" s="39"/>
      <c r="Q1378" s="39"/>
      <c r="R1378" s="39"/>
      <c r="S1378" s="39"/>
      <c r="T1378" s="39"/>
      <c r="V1378" t="b">
        <f>IF(Tabela3[[#This Row],[Pago]]&lt;&gt;"",IF(F1379="",Tabela3[[#This Row],[Saldo]],0))</f>
        <v>0</v>
      </c>
    </row>
    <row r="1379" spans="2:22" x14ac:dyDescent="0.25">
      <c r="B1379" s="37"/>
      <c r="C1379">
        <f>_xlfn.XLOOKUP(B1379,'Centro de Custo'!A$2:A$45,'Centro de Custo'!B$2:B$45)</f>
        <v>0</v>
      </c>
      <c r="E1379" s="39"/>
      <c r="F1379" s="40"/>
      <c r="G1379" s="41"/>
      <c r="H1379" s="42">
        <f>YEAR(Tabela3[[#This Row],[Data]])</f>
        <v>1900</v>
      </c>
      <c r="I1379" s="42" t="str">
        <f>_xlfn.XLOOKUP(J1379,'Centro de Custo'!J$2:J$13,'Centro de Custo'!K$2:K$13)</f>
        <v>Janeiro</v>
      </c>
      <c r="J1379" s="43">
        <f>MONTH(Tabela3[[#This Row],[Data]])</f>
        <v>1</v>
      </c>
      <c r="K1379" s="39">
        <f>SUM(E$3:Tabela3[[#This Row],[Valor]])</f>
        <v>4236027.08</v>
      </c>
      <c r="L1379" s="40">
        <f t="shared" si="21"/>
        <v>2.22375</v>
      </c>
      <c r="M1379" s="40"/>
      <c r="N1379" s="40"/>
      <c r="O1379" s="40"/>
      <c r="P1379" s="39"/>
      <c r="Q1379" s="39"/>
      <c r="R1379" s="39"/>
      <c r="S1379" s="39"/>
      <c r="T1379" s="39"/>
      <c r="V1379" t="b">
        <f>IF(Tabela3[[#This Row],[Pago]]&lt;&gt;"",IF(F1380="",Tabela3[[#This Row],[Saldo]],0))</f>
        <v>0</v>
      </c>
    </row>
    <row r="1380" spans="2:22" x14ac:dyDescent="0.25">
      <c r="B1380" s="37"/>
      <c r="C1380">
        <f>_xlfn.XLOOKUP(B1380,'Centro de Custo'!A$2:A$45,'Centro de Custo'!B$2:B$45)</f>
        <v>0</v>
      </c>
      <c r="E1380" s="39"/>
      <c r="F1380" s="40"/>
      <c r="G1380" s="41"/>
      <c r="H1380" s="42">
        <f>YEAR(Tabela3[[#This Row],[Data]])</f>
        <v>1900</v>
      </c>
      <c r="I1380" s="42" t="str">
        <f>_xlfn.XLOOKUP(J1380,'Centro de Custo'!J$2:J$13,'Centro de Custo'!K$2:K$13)</f>
        <v>Janeiro</v>
      </c>
      <c r="J1380" s="43">
        <f>MONTH(Tabela3[[#This Row],[Data]])</f>
        <v>1</v>
      </c>
      <c r="K1380" s="39">
        <f>SUM(E$3:Tabela3[[#This Row],[Valor]])</f>
        <v>4236027.08</v>
      </c>
      <c r="L1380" s="40">
        <f t="shared" si="21"/>
        <v>2.22375</v>
      </c>
      <c r="M1380" s="40"/>
      <c r="N1380" s="40"/>
      <c r="O1380" s="40"/>
      <c r="P1380" s="39"/>
      <c r="Q1380" s="39"/>
      <c r="R1380" s="39"/>
      <c r="S1380" s="39"/>
      <c r="T1380" s="39"/>
      <c r="V1380" t="b">
        <f>IF(Tabela3[[#This Row],[Pago]]&lt;&gt;"",IF(F1381="",Tabela3[[#This Row],[Saldo]],0))</f>
        <v>0</v>
      </c>
    </row>
    <row r="1381" spans="2:22" x14ac:dyDescent="0.25">
      <c r="B1381" s="37"/>
      <c r="C1381">
        <f>_xlfn.XLOOKUP(B1381,'Centro de Custo'!A$2:A$45,'Centro de Custo'!B$2:B$45)</f>
        <v>0</v>
      </c>
      <c r="E1381" s="39"/>
      <c r="F1381" s="40"/>
      <c r="G1381" s="41"/>
      <c r="H1381" s="42">
        <f>YEAR(Tabela3[[#This Row],[Data]])</f>
        <v>1900</v>
      </c>
      <c r="I1381" s="42" t="str">
        <f>_xlfn.XLOOKUP(J1381,'Centro de Custo'!J$2:J$13,'Centro de Custo'!K$2:K$13)</f>
        <v>Janeiro</v>
      </c>
      <c r="J1381" s="43">
        <f>MONTH(Tabela3[[#This Row],[Data]])</f>
        <v>1</v>
      </c>
      <c r="K1381" s="39">
        <f>SUM(E$3:Tabela3[[#This Row],[Valor]])</f>
        <v>4236027.08</v>
      </c>
      <c r="L1381" s="40">
        <f t="shared" si="21"/>
        <v>2.22375</v>
      </c>
      <c r="M1381" s="40"/>
      <c r="N1381" s="40"/>
      <c r="O1381" s="40"/>
      <c r="P1381" s="39"/>
      <c r="Q1381" s="39"/>
      <c r="R1381" s="39"/>
      <c r="S1381" s="39"/>
      <c r="T1381" s="39"/>
      <c r="V1381" t="b">
        <f>IF(Tabela3[[#This Row],[Pago]]&lt;&gt;"",IF(F1382="",Tabela3[[#This Row],[Saldo]],0))</f>
        <v>0</v>
      </c>
    </row>
    <row r="1382" spans="2:22" x14ac:dyDescent="0.25">
      <c r="B1382" s="37"/>
      <c r="C1382">
        <f>_xlfn.XLOOKUP(B1382,'Centro de Custo'!A$2:A$45,'Centro de Custo'!B$2:B$45)</f>
        <v>0</v>
      </c>
      <c r="E1382" s="39"/>
      <c r="F1382" s="40"/>
      <c r="G1382" s="41"/>
      <c r="H1382" s="42">
        <f>YEAR(Tabela3[[#This Row],[Data]])</f>
        <v>1900</v>
      </c>
      <c r="I1382" s="42" t="str">
        <f>_xlfn.XLOOKUP(J1382,'Centro de Custo'!J$2:J$13,'Centro de Custo'!K$2:K$13)</f>
        <v>Janeiro</v>
      </c>
      <c r="J1382" s="43">
        <f>MONTH(Tabela3[[#This Row],[Data]])</f>
        <v>1</v>
      </c>
      <c r="K1382" s="39">
        <f>SUM(E$3:Tabela3[[#This Row],[Valor]])</f>
        <v>4236027.08</v>
      </c>
      <c r="L1382" s="40">
        <f t="shared" si="21"/>
        <v>2.22375</v>
      </c>
      <c r="M1382" s="40"/>
      <c r="N1382" s="40"/>
      <c r="O1382" s="40"/>
      <c r="P1382" s="39"/>
      <c r="Q1382" s="39"/>
      <c r="R1382" s="39"/>
      <c r="S1382" s="39"/>
      <c r="T1382" s="39"/>
      <c r="V1382" t="b">
        <f>IF(Tabela3[[#This Row],[Pago]]&lt;&gt;"",IF(F1383="",Tabela3[[#This Row],[Saldo]],0))</f>
        <v>0</v>
      </c>
    </row>
    <row r="1383" spans="2:22" x14ac:dyDescent="0.25">
      <c r="B1383" s="37"/>
      <c r="C1383">
        <f>_xlfn.XLOOKUP(B1383,'Centro de Custo'!A$2:A$45,'Centro de Custo'!B$2:B$45)</f>
        <v>0</v>
      </c>
      <c r="E1383" s="39"/>
      <c r="F1383" s="40"/>
      <c r="G1383" s="41"/>
      <c r="H1383" s="42">
        <f>YEAR(Tabela3[[#This Row],[Data]])</f>
        <v>1900</v>
      </c>
      <c r="I1383" s="42" t="str">
        <f>_xlfn.XLOOKUP(J1383,'Centro de Custo'!J$2:J$13,'Centro de Custo'!K$2:K$13)</f>
        <v>Janeiro</v>
      </c>
      <c r="J1383" s="43">
        <f>MONTH(Tabela3[[#This Row],[Data]])</f>
        <v>1</v>
      </c>
      <c r="K1383" s="39">
        <f>SUM(E$3:Tabela3[[#This Row],[Valor]])</f>
        <v>4236027.08</v>
      </c>
      <c r="L1383" s="40">
        <f t="shared" si="21"/>
        <v>2.22375</v>
      </c>
      <c r="M1383" s="40"/>
      <c r="N1383" s="40"/>
      <c r="O1383" s="40"/>
      <c r="P1383" s="39"/>
      <c r="Q1383" s="39"/>
      <c r="R1383" s="39"/>
      <c r="S1383" s="39"/>
      <c r="T1383" s="39"/>
      <c r="V1383" t="b">
        <f>IF(Tabela3[[#This Row],[Pago]]&lt;&gt;"",IF(F1384="",Tabela3[[#This Row],[Saldo]],0))</f>
        <v>0</v>
      </c>
    </row>
    <row r="1384" spans="2:22" x14ac:dyDescent="0.25">
      <c r="B1384" s="37"/>
      <c r="C1384">
        <f>_xlfn.XLOOKUP(B1384,'Centro de Custo'!A$2:A$45,'Centro de Custo'!B$2:B$45)</f>
        <v>0</v>
      </c>
      <c r="E1384" s="39"/>
      <c r="F1384" s="40"/>
      <c r="G1384" s="41"/>
      <c r="H1384" s="42">
        <f>YEAR(Tabela3[[#This Row],[Data]])</f>
        <v>1900</v>
      </c>
      <c r="I1384" s="42" t="str">
        <f>_xlfn.XLOOKUP(J1384,'Centro de Custo'!J$2:J$13,'Centro de Custo'!K$2:K$13)</f>
        <v>Janeiro</v>
      </c>
      <c r="J1384" s="43">
        <f>MONTH(Tabela3[[#This Row],[Data]])</f>
        <v>1</v>
      </c>
      <c r="K1384" s="39">
        <f>SUM(E$3:Tabela3[[#This Row],[Valor]])</f>
        <v>4236027.08</v>
      </c>
      <c r="L1384" s="40">
        <f t="shared" si="21"/>
        <v>2.22375</v>
      </c>
      <c r="M1384" s="40"/>
      <c r="N1384" s="40"/>
      <c r="O1384" s="40"/>
      <c r="P1384" s="39"/>
      <c r="Q1384" s="39"/>
      <c r="R1384" s="39"/>
      <c r="S1384" s="39"/>
      <c r="T1384" s="39"/>
      <c r="V1384" t="b">
        <f>IF(Tabela3[[#This Row],[Pago]]&lt;&gt;"",IF(F1385="",Tabela3[[#This Row],[Saldo]],0))</f>
        <v>0</v>
      </c>
    </row>
    <row r="1385" spans="2:22" x14ac:dyDescent="0.25">
      <c r="B1385" s="37"/>
      <c r="C1385">
        <f>_xlfn.XLOOKUP(B1385,'Centro de Custo'!A$2:A$45,'Centro de Custo'!B$2:B$45)</f>
        <v>0</v>
      </c>
      <c r="E1385" s="39"/>
      <c r="F1385" s="40"/>
      <c r="G1385" s="41"/>
      <c r="H1385" s="42">
        <f>YEAR(Tabela3[[#This Row],[Data]])</f>
        <v>1900</v>
      </c>
      <c r="I1385" s="42" t="str">
        <f>_xlfn.XLOOKUP(J1385,'Centro de Custo'!J$2:J$13,'Centro de Custo'!K$2:K$13)</f>
        <v>Janeiro</v>
      </c>
      <c r="J1385" s="43">
        <f>MONTH(Tabela3[[#This Row],[Data]])</f>
        <v>1</v>
      </c>
      <c r="K1385" s="39">
        <f>SUM(E$3:Tabela3[[#This Row],[Valor]])</f>
        <v>4236027.08</v>
      </c>
      <c r="L1385" s="40">
        <f t="shared" si="21"/>
        <v>2.22375</v>
      </c>
      <c r="M1385" s="40"/>
      <c r="N1385" s="40"/>
      <c r="O1385" s="40"/>
      <c r="P1385" s="39"/>
      <c r="Q1385" s="39"/>
      <c r="R1385" s="39"/>
      <c r="S1385" s="39"/>
      <c r="T1385" s="39"/>
      <c r="V1385" t="b">
        <f>IF(Tabela3[[#This Row],[Pago]]&lt;&gt;"",IF(F1386="",Tabela3[[#This Row],[Saldo]],0))</f>
        <v>0</v>
      </c>
    </row>
    <row r="1386" spans="2:22" x14ac:dyDescent="0.25">
      <c r="B1386" s="37"/>
      <c r="C1386">
        <f>_xlfn.XLOOKUP(B1386,'Centro de Custo'!A$2:A$45,'Centro de Custo'!B$2:B$45)</f>
        <v>0</v>
      </c>
      <c r="E1386" s="39"/>
      <c r="F1386" s="40"/>
      <c r="G1386" s="41"/>
      <c r="H1386" s="42">
        <f>YEAR(Tabela3[[#This Row],[Data]])</f>
        <v>1900</v>
      </c>
      <c r="I1386" s="42" t="str">
        <f>_xlfn.XLOOKUP(J1386,'Centro de Custo'!J$2:J$13,'Centro de Custo'!K$2:K$13)</f>
        <v>Janeiro</v>
      </c>
      <c r="J1386" s="43">
        <f>MONTH(Tabela3[[#This Row],[Data]])</f>
        <v>1</v>
      </c>
      <c r="K1386" s="39">
        <f>SUM(E$3:Tabela3[[#This Row],[Valor]])</f>
        <v>4236027.08</v>
      </c>
      <c r="L1386" s="40">
        <f t="shared" si="21"/>
        <v>2.22375</v>
      </c>
      <c r="M1386" s="40"/>
      <c r="N1386" s="40"/>
      <c r="O1386" s="40"/>
      <c r="P1386" s="39"/>
      <c r="Q1386" s="39"/>
      <c r="R1386" s="39"/>
      <c r="S1386" s="39"/>
      <c r="T1386" s="39"/>
      <c r="V1386" t="b">
        <f>IF(Tabela3[[#This Row],[Pago]]&lt;&gt;"",IF(F1387="",Tabela3[[#This Row],[Saldo]],0))</f>
        <v>0</v>
      </c>
    </row>
    <row r="1387" spans="2:22" x14ac:dyDescent="0.25">
      <c r="B1387" s="37"/>
      <c r="C1387">
        <f>_xlfn.XLOOKUP(B1387,'Centro de Custo'!A$2:A$45,'Centro de Custo'!B$2:B$45)</f>
        <v>0</v>
      </c>
      <c r="E1387" s="39"/>
      <c r="F1387" s="40"/>
      <c r="G1387" s="41"/>
      <c r="H1387" s="42">
        <f>YEAR(Tabela3[[#This Row],[Data]])</f>
        <v>1900</v>
      </c>
      <c r="I1387" s="42" t="str">
        <f>_xlfn.XLOOKUP(J1387,'Centro de Custo'!J$2:J$13,'Centro de Custo'!K$2:K$13)</f>
        <v>Janeiro</v>
      </c>
      <c r="J1387" s="43">
        <f>MONTH(Tabela3[[#This Row],[Data]])</f>
        <v>1</v>
      </c>
      <c r="K1387" s="39">
        <f>SUM(E$3:Tabela3[[#This Row],[Valor]])</f>
        <v>4236027.08</v>
      </c>
      <c r="L1387" s="40">
        <f t="shared" si="21"/>
        <v>2.22375</v>
      </c>
      <c r="M1387" s="40"/>
      <c r="N1387" s="40"/>
      <c r="O1387" s="40"/>
      <c r="P1387" s="39"/>
      <c r="Q1387" s="39"/>
      <c r="R1387" s="39"/>
      <c r="S1387" s="39"/>
      <c r="T1387" s="39"/>
      <c r="V1387" t="b">
        <f>IF(Tabela3[[#This Row],[Pago]]&lt;&gt;"",IF(F1388="",Tabela3[[#This Row],[Saldo]],0))</f>
        <v>0</v>
      </c>
    </row>
    <row r="1388" spans="2:22" x14ac:dyDescent="0.25">
      <c r="B1388" s="37"/>
      <c r="C1388">
        <f>_xlfn.XLOOKUP(B1388,'Centro de Custo'!A$2:A$45,'Centro de Custo'!B$2:B$45)</f>
        <v>0</v>
      </c>
      <c r="E1388" s="39"/>
      <c r="F1388" s="40"/>
      <c r="G1388" s="41"/>
      <c r="H1388" s="42">
        <f>YEAR(Tabela3[[#This Row],[Data]])</f>
        <v>1900</v>
      </c>
      <c r="I1388" s="42" t="str">
        <f>_xlfn.XLOOKUP(J1388,'Centro de Custo'!J$2:J$13,'Centro de Custo'!K$2:K$13)</f>
        <v>Janeiro</v>
      </c>
      <c r="J1388" s="43">
        <f>MONTH(Tabela3[[#This Row],[Data]])</f>
        <v>1</v>
      </c>
      <c r="K1388" s="39">
        <f>SUM(E$3:Tabela3[[#This Row],[Valor]])</f>
        <v>4236027.08</v>
      </c>
      <c r="L1388" s="40">
        <f t="shared" si="21"/>
        <v>2.22375</v>
      </c>
      <c r="M1388" s="40"/>
      <c r="N1388" s="40"/>
      <c r="O1388" s="40"/>
      <c r="P1388" s="39"/>
      <c r="Q1388" s="39"/>
      <c r="R1388" s="39"/>
      <c r="S1388" s="39"/>
      <c r="T1388" s="39"/>
      <c r="V1388" t="b">
        <f>IF(Tabela3[[#This Row],[Pago]]&lt;&gt;"",IF(F1389="",Tabela3[[#This Row],[Saldo]],0))</f>
        <v>0</v>
      </c>
    </row>
    <row r="1389" spans="2:22" x14ac:dyDescent="0.25">
      <c r="B1389" s="37"/>
      <c r="C1389">
        <f>_xlfn.XLOOKUP(B1389,'Centro de Custo'!A$2:A$45,'Centro de Custo'!B$2:B$45)</f>
        <v>0</v>
      </c>
      <c r="E1389" s="39"/>
      <c r="F1389" s="40"/>
      <c r="G1389" s="41"/>
      <c r="H1389" s="42">
        <f>YEAR(Tabela3[[#This Row],[Data]])</f>
        <v>1900</v>
      </c>
      <c r="I1389" s="42" t="str">
        <f>_xlfn.XLOOKUP(J1389,'Centro de Custo'!J$2:J$13,'Centro de Custo'!K$2:K$13)</f>
        <v>Janeiro</v>
      </c>
      <c r="J1389" s="43">
        <f>MONTH(Tabela3[[#This Row],[Data]])</f>
        <v>1</v>
      </c>
      <c r="K1389" s="39">
        <f>SUM(E$3:Tabela3[[#This Row],[Valor]])</f>
        <v>4236027.08</v>
      </c>
      <c r="L1389" s="40">
        <f t="shared" si="21"/>
        <v>2.22375</v>
      </c>
      <c r="M1389" s="40"/>
      <c r="N1389" s="40"/>
      <c r="O1389" s="40"/>
      <c r="P1389" s="39"/>
      <c r="Q1389" s="39"/>
      <c r="R1389" s="39"/>
      <c r="S1389" s="39"/>
      <c r="T1389" s="39"/>
      <c r="V1389" t="b">
        <f>IF(Tabela3[[#This Row],[Pago]]&lt;&gt;"",IF(F1390="",Tabela3[[#This Row],[Saldo]],0))</f>
        <v>0</v>
      </c>
    </row>
    <row r="1390" spans="2:22" x14ac:dyDescent="0.25">
      <c r="B1390" s="37"/>
      <c r="C1390">
        <f>_xlfn.XLOOKUP(B1390,'Centro de Custo'!A$2:A$45,'Centro de Custo'!B$2:B$45)</f>
        <v>0</v>
      </c>
      <c r="E1390" s="39"/>
      <c r="F1390" s="40"/>
      <c r="G1390" s="41"/>
      <c r="H1390" s="42">
        <f>YEAR(Tabela3[[#This Row],[Data]])</f>
        <v>1900</v>
      </c>
      <c r="I1390" s="42" t="str">
        <f>_xlfn.XLOOKUP(J1390,'Centro de Custo'!J$2:J$13,'Centro de Custo'!K$2:K$13)</f>
        <v>Janeiro</v>
      </c>
      <c r="J1390" s="43">
        <f>MONTH(Tabela3[[#This Row],[Data]])</f>
        <v>1</v>
      </c>
      <c r="K1390" s="39">
        <f>SUM(E$3:Tabela3[[#This Row],[Valor]])</f>
        <v>4236027.08</v>
      </c>
      <c r="L1390" s="40">
        <f t="shared" si="21"/>
        <v>2.22375</v>
      </c>
      <c r="M1390" s="40"/>
      <c r="N1390" s="40"/>
      <c r="O1390" s="40"/>
      <c r="P1390" s="39"/>
      <c r="Q1390" s="39"/>
      <c r="R1390" s="39"/>
      <c r="S1390" s="39"/>
      <c r="T1390" s="39"/>
      <c r="V1390" t="b">
        <f>IF(Tabela3[[#This Row],[Pago]]&lt;&gt;"",IF(F1391="",Tabela3[[#This Row],[Saldo]],0))</f>
        <v>0</v>
      </c>
    </row>
    <row r="1391" spans="2:22" x14ac:dyDescent="0.25">
      <c r="B1391" s="37"/>
      <c r="C1391">
        <f>_xlfn.XLOOKUP(B1391,'Centro de Custo'!A$2:A$45,'Centro de Custo'!B$2:B$45)</f>
        <v>0</v>
      </c>
      <c r="E1391" s="39"/>
      <c r="F1391" s="40"/>
      <c r="G1391" s="41"/>
      <c r="H1391" s="42">
        <f>YEAR(Tabela3[[#This Row],[Data]])</f>
        <v>1900</v>
      </c>
      <c r="I1391" s="42" t="str">
        <f>_xlfn.XLOOKUP(J1391,'Centro de Custo'!J$2:J$13,'Centro de Custo'!K$2:K$13)</f>
        <v>Janeiro</v>
      </c>
      <c r="J1391" s="43">
        <f>MONTH(Tabela3[[#This Row],[Data]])</f>
        <v>1</v>
      </c>
      <c r="K1391" s="39">
        <f>SUM(E$3:Tabela3[[#This Row],[Valor]])</f>
        <v>4236027.08</v>
      </c>
      <c r="L1391" s="40">
        <f t="shared" si="21"/>
        <v>2.22375</v>
      </c>
      <c r="M1391" s="40"/>
      <c r="N1391" s="40"/>
      <c r="O1391" s="40"/>
      <c r="P1391" s="39"/>
      <c r="Q1391" s="39"/>
      <c r="R1391" s="39"/>
      <c r="S1391" s="39"/>
      <c r="T1391" s="39"/>
      <c r="V1391" t="b">
        <f>IF(Tabela3[[#This Row],[Pago]]&lt;&gt;"",IF(F1392="",Tabela3[[#This Row],[Saldo]],0))</f>
        <v>0</v>
      </c>
    </row>
    <row r="1392" spans="2:22" x14ac:dyDescent="0.25">
      <c r="B1392" s="37"/>
      <c r="C1392">
        <f>_xlfn.XLOOKUP(B1392,'Centro de Custo'!A$2:A$45,'Centro de Custo'!B$2:B$45)</f>
        <v>0</v>
      </c>
      <c r="E1392" s="39"/>
      <c r="F1392" s="40"/>
      <c r="G1392" s="41"/>
      <c r="H1392" s="42">
        <f>YEAR(Tabela3[[#This Row],[Data]])</f>
        <v>1900</v>
      </c>
      <c r="I1392" s="42" t="str">
        <f>_xlfn.XLOOKUP(J1392,'Centro de Custo'!J$2:J$13,'Centro de Custo'!K$2:K$13)</f>
        <v>Janeiro</v>
      </c>
      <c r="J1392" s="43">
        <f>MONTH(Tabela3[[#This Row],[Data]])</f>
        <v>1</v>
      </c>
      <c r="K1392" s="39">
        <f>SUM(E$3:Tabela3[[#This Row],[Valor]])</f>
        <v>4236027.08</v>
      </c>
      <c r="L1392" s="40">
        <f t="shared" si="21"/>
        <v>2.22375</v>
      </c>
      <c r="M1392" s="40"/>
      <c r="N1392" s="40"/>
      <c r="O1392" s="40"/>
      <c r="P1392" s="39"/>
      <c r="Q1392" s="39"/>
      <c r="R1392" s="39"/>
      <c r="S1392" s="39"/>
      <c r="T1392" s="39"/>
      <c r="V1392" t="b">
        <f>IF(Tabela3[[#This Row],[Pago]]&lt;&gt;"",IF(F1393="",Tabela3[[#This Row],[Saldo]],0))</f>
        <v>0</v>
      </c>
    </row>
    <row r="1393" spans="2:22" x14ac:dyDescent="0.25">
      <c r="B1393" s="37"/>
      <c r="C1393">
        <f>_xlfn.XLOOKUP(B1393,'Centro de Custo'!A$2:A$45,'Centro de Custo'!B$2:B$45)</f>
        <v>0</v>
      </c>
      <c r="E1393" s="39"/>
      <c r="F1393" s="40"/>
      <c r="G1393" s="41"/>
      <c r="H1393" s="42">
        <f>YEAR(Tabela3[[#This Row],[Data]])</f>
        <v>1900</v>
      </c>
      <c r="I1393" s="42" t="str">
        <f>_xlfn.XLOOKUP(J1393,'Centro de Custo'!J$2:J$13,'Centro de Custo'!K$2:K$13)</f>
        <v>Janeiro</v>
      </c>
      <c r="J1393" s="43">
        <f>MONTH(Tabela3[[#This Row],[Data]])</f>
        <v>1</v>
      </c>
      <c r="K1393" s="39">
        <f>SUM(E$3:Tabela3[[#This Row],[Valor]])</f>
        <v>4236027.08</v>
      </c>
      <c r="L1393" s="40">
        <f t="shared" si="21"/>
        <v>2.22375</v>
      </c>
      <c r="M1393" s="40"/>
      <c r="N1393" s="40"/>
      <c r="O1393" s="40"/>
      <c r="P1393" s="39"/>
      <c r="Q1393" s="39"/>
      <c r="R1393" s="39"/>
      <c r="S1393" s="39"/>
      <c r="T1393" s="39"/>
      <c r="V1393" t="b">
        <f>IF(Tabela3[[#This Row],[Pago]]&lt;&gt;"",IF(F1394="",Tabela3[[#This Row],[Saldo]],0))</f>
        <v>0</v>
      </c>
    </row>
    <row r="1394" spans="2:22" x14ac:dyDescent="0.25">
      <c r="B1394" s="37"/>
      <c r="C1394">
        <f>_xlfn.XLOOKUP(B1394,'Centro de Custo'!A$2:A$45,'Centro de Custo'!B$2:B$45)</f>
        <v>0</v>
      </c>
      <c r="E1394" s="39"/>
      <c r="F1394" s="40"/>
      <c r="G1394" s="41"/>
      <c r="H1394" s="42">
        <f>YEAR(Tabela3[[#This Row],[Data]])</f>
        <v>1900</v>
      </c>
      <c r="I1394" s="42" t="str">
        <f>_xlfn.XLOOKUP(J1394,'Centro de Custo'!J$2:J$13,'Centro de Custo'!K$2:K$13)</f>
        <v>Janeiro</v>
      </c>
      <c r="J1394" s="43">
        <f>MONTH(Tabela3[[#This Row],[Data]])</f>
        <v>1</v>
      </c>
      <c r="K1394" s="39">
        <f>SUM(E$3:Tabela3[[#This Row],[Valor]])</f>
        <v>4236027.08</v>
      </c>
      <c r="L1394" s="40">
        <f t="shared" si="21"/>
        <v>2.22375</v>
      </c>
      <c r="M1394" s="40"/>
      <c r="N1394" s="40"/>
      <c r="O1394" s="40"/>
      <c r="P1394" s="39"/>
      <c r="Q1394" s="39"/>
      <c r="R1394" s="39"/>
      <c r="S1394" s="39"/>
      <c r="T1394" s="39"/>
      <c r="V1394" t="b">
        <f>IF(Tabela3[[#This Row],[Pago]]&lt;&gt;"",IF(F1395="",Tabela3[[#This Row],[Saldo]],0))</f>
        <v>0</v>
      </c>
    </row>
    <row r="1395" spans="2:22" x14ac:dyDescent="0.25">
      <c r="B1395" s="37"/>
      <c r="C1395">
        <f>_xlfn.XLOOKUP(B1395,'Centro de Custo'!A$2:A$45,'Centro de Custo'!B$2:B$45)</f>
        <v>0</v>
      </c>
      <c r="E1395" s="39"/>
      <c r="F1395" s="40"/>
      <c r="G1395" s="41"/>
      <c r="H1395" s="42">
        <f>YEAR(Tabela3[[#This Row],[Data]])</f>
        <v>1900</v>
      </c>
      <c r="I1395" s="42" t="str">
        <f>_xlfn.XLOOKUP(J1395,'Centro de Custo'!J$2:J$13,'Centro de Custo'!K$2:K$13)</f>
        <v>Janeiro</v>
      </c>
      <c r="J1395" s="43">
        <f>MONTH(Tabela3[[#This Row],[Data]])</f>
        <v>1</v>
      </c>
      <c r="K1395" s="39">
        <f>SUM(E$3:Tabela3[[#This Row],[Valor]])</f>
        <v>4236027.08</v>
      </c>
      <c r="L1395" s="40">
        <f t="shared" si="21"/>
        <v>2.22375</v>
      </c>
      <c r="M1395" s="40"/>
      <c r="N1395" s="40"/>
      <c r="O1395" s="40"/>
      <c r="P1395" s="39"/>
      <c r="Q1395" s="39"/>
      <c r="R1395" s="39"/>
      <c r="S1395" s="39"/>
      <c r="T1395" s="39"/>
      <c r="V1395" t="b">
        <f>IF(Tabela3[[#This Row],[Pago]]&lt;&gt;"",IF(F1396="",Tabela3[[#This Row],[Saldo]],0))</f>
        <v>0</v>
      </c>
    </row>
    <row r="1396" spans="2:22" x14ac:dyDescent="0.25">
      <c r="B1396" s="37"/>
      <c r="C1396">
        <f>_xlfn.XLOOKUP(B1396,'Centro de Custo'!A$2:A$45,'Centro de Custo'!B$2:B$45)</f>
        <v>0</v>
      </c>
      <c r="E1396" s="39"/>
      <c r="F1396" s="40"/>
      <c r="G1396" s="41"/>
      <c r="H1396" s="42">
        <f>YEAR(Tabela3[[#This Row],[Data]])</f>
        <v>1900</v>
      </c>
      <c r="I1396" s="42" t="str">
        <f>_xlfn.XLOOKUP(J1396,'Centro de Custo'!J$2:J$13,'Centro de Custo'!K$2:K$13)</f>
        <v>Janeiro</v>
      </c>
      <c r="J1396" s="43">
        <f>MONTH(Tabela3[[#This Row],[Data]])</f>
        <v>1</v>
      </c>
      <c r="K1396" s="39">
        <f>SUM(E$3:Tabela3[[#This Row],[Valor]])</f>
        <v>4236027.08</v>
      </c>
      <c r="L1396" s="40">
        <f t="shared" si="21"/>
        <v>2.22375</v>
      </c>
      <c r="M1396" s="40"/>
      <c r="N1396" s="40"/>
      <c r="O1396" s="40"/>
      <c r="P1396" s="39"/>
      <c r="Q1396" s="39"/>
      <c r="R1396" s="39"/>
      <c r="S1396" s="39"/>
      <c r="T1396" s="39"/>
      <c r="V1396" t="b">
        <f>IF(Tabela3[[#This Row],[Pago]]&lt;&gt;"",IF(F1397="",Tabela3[[#This Row],[Saldo]],0))</f>
        <v>0</v>
      </c>
    </row>
    <row r="1397" spans="2:22" x14ac:dyDescent="0.25">
      <c r="B1397" s="37"/>
      <c r="C1397">
        <f>_xlfn.XLOOKUP(B1397,'Centro de Custo'!A$2:A$45,'Centro de Custo'!B$2:B$45)</f>
        <v>0</v>
      </c>
      <c r="E1397" s="39"/>
      <c r="F1397" s="40"/>
      <c r="G1397" s="41"/>
      <c r="H1397" s="42">
        <f>YEAR(Tabela3[[#This Row],[Data]])</f>
        <v>1900</v>
      </c>
      <c r="I1397" s="42" t="str">
        <f>_xlfn.XLOOKUP(J1397,'Centro de Custo'!J$2:J$13,'Centro de Custo'!K$2:K$13)</f>
        <v>Janeiro</v>
      </c>
      <c r="J1397" s="43">
        <f>MONTH(Tabela3[[#This Row],[Data]])</f>
        <v>1</v>
      </c>
      <c r="K1397" s="39">
        <f>SUM(E$3:Tabela3[[#This Row],[Valor]])</f>
        <v>4236027.08</v>
      </c>
      <c r="L1397" s="40">
        <f t="shared" si="21"/>
        <v>2.22375</v>
      </c>
      <c r="M1397" s="40"/>
      <c r="N1397" s="40"/>
      <c r="O1397" s="40"/>
      <c r="P1397" s="39"/>
      <c r="Q1397" s="39"/>
      <c r="R1397" s="39"/>
      <c r="S1397" s="39"/>
      <c r="T1397" s="39"/>
      <c r="V1397" t="b">
        <f>IF(Tabela3[[#This Row],[Pago]]&lt;&gt;"",IF(F1398="",Tabela3[[#This Row],[Saldo]],0))</f>
        <v>0</v>
      </c>
    </row>
    <row r="1398" spans="2:22" x14ac:dyDescent="0.25">
      <c r="B1398" s="37"/>
      <c r="C1398">
        <f>_xlfn.XLOOKUP(B1398,'Centro de Custo'!A$2:A$45,'Centro de Custo'!B$2:B$45)</f>
        <v>0</v>
      </c>
      <c r="E1398" s="39"/>
      <c r="F1398" s="40"/>
      <c r="G1398" s="41"/>
      <c r="H1398" s="42">
        <f>YEAR(Tabela3[[#This Row],[Data]])</f>
        <v>1900</v>
      </c>
      <c r="I1398" s="42" t="str">
        <f>_xlfn.XLOOKUP(J1398,'Centro de Custo'!J$2:J$13,'Centro de Custo'!K$2:K$13)</f>
        <v>Janeiro</v>
      </c>
      <c r="J1398" s="43">
        <f>MONTH(Tabela3[[#This Row],[Data]])</f>
        <v>1</v>
      </c>
      <c r="K1398" s="39">
        <f>SUM(E$3:Tabela3[[#This Row],[Valor]])</f>
        <v>4236027.08</v>
      </c>
      <c r="L1398" s="40">
        <f t="shared" si="21"/>
        <v>2.22375</v>
      </c>
      <c r="M1398" s="40"/>
      <c r="N1398" s="40"/>
      <c r="O1398" s="40"/>
      <c r="P1398" s="39"/>
      <c r="Q1398" s="39"/>
      <c r="R1398" s="39"/>
      <c r="S1398" s="39"/>
      <c r="T1398" s="39"/>
      <c r="V1398" t="b">
        <f>IF(Tabela3[[#This Row],[Pago]]&lt;&gt;"",IF(F1399="",Tabela3[[#This Row],[Saldo]],0))</f>
        <v>0</v>
      </c>
    </row>
    <row r="1399" spans="2:22" x14ac:dyDescent="0.25">
      <c r="B1399" s="37"/>
      <c r="C1399">
        <f>_xlfn.XLOOKUP(B1399,'Centro de Custo'!A$2:A$45,'Centro de Custo'!B$2:B$45)</f>
        <v>0</v>
      </c>
      <c r="E1399" s="39"/>
      <c r="F1399" s="40"/>
      <c r="G1399" s="41"/>
      <c r="H1399" s="42">
        <f>YEAR(Tabela3[[#This Row],[Data]])</f>
        <v>1900</v>
      </c>
      <c r="I1399" s="42" t="str">
        <f>_xlfn.XLOOKUP(J1399,'Centro de Custo'!J$2:J$13,'Centro de Custo'!K$2:K$13)</f>
        <v>Janeiro</v>
      </c>
      <c r="J1399" s="43">
        <f>MONTH(Tabela3[[#This Row],[Data]])</f>
        <v>1</v>
      </c>
      <c r="K1399" s="39">
        <f>SUM(E$3:Tabela3[[#This Row],[Valor]])</f>
        <v>4236027.08</v>
      </c>
      <c r="L1399" s="40">
        <f t="shared" si="21"/>
        <v>2.22375</v>
      </c>
      <c r="M1399" s="40"/>
      <c r="N1399" s="40"/>
      <c r="O1399" s="40"/>
      <c r="P1399" s="39"/>
      <c r="Q1399" s="39"/>
      <c r="R1399" s="39"/>
      <c r="S1399" s="39"/>
      <c r="T1399" s="39"/>
      <c r="V1399" t="b">
        <f>IF(Tabela3[[#This Row],[Pago]]&lt;&gt;"",IF(F1400="",Tabela3[[#This Row],[Saldo]],0))</f>
        <v>0</v>
      </c>
    </row>
    <row r="1400" spans="2:22" x14ac:dyDescent="0.25">
      <c r="B1400" s="37"/>
      <c r="C1400">
        <f>_xlfn.XLOOKUP(B1400,'Centro de Custo'!A$2:A$45,'Centro de Custo'!B$2:B$45)</f>
        <v>0</v>
      </c>
      <c r="E1400" s="39"/>
      <c r="F1400" s="40"/>
      <c r="G1400" s="41"/>
      <c r="H1400" s="42">
        <f>YEAR(Tabela3[[#This Row],[Data]])</f>
        <v>1900</v>
      </c>
      <c r="I1400" s="42" t="str">
        <f>_xlfn.XLOOKUP(J1400,'Centro de Custo'!J$2:J$13,'Centro de Custo'!K$2:K$13)</f>
        <v>Janeiro</v>
      </c>
      <c r="J1400" s="43">
        <f>MONTH(Tabela3[[#This Row],[Data]])</f>
        <v>1</v>
      </c>
      <c r="K1400" s="39">
        <f>SUM(E$3:Tabela3[[#This Row],[Valor]])</f>
        <v>4236027.08</v>
      </c>
      <c r="L1400" s="40">
        <f t="shared" si="21"/>
        <v>2.22375</v>
      </c>
      <c r="M1400" s="40"/>
      <c r="N1400" s="40"/>
      <c r="O1400" s="40"/>
      <c r="P1400" s="39"/>
      <c r="Q1400" s="39"/>
      <c r="R1400" s="39"/>
      <c r="S1400" s="39"/>
      <c r="T1400" s="39"/>
      <c r="V1400" t="b">
        <f>IF(Tabela3[[#This Row],[Pago]]&lt;&gt;"",IF(F1401="",Tabela3[[#This Row],[Saldo]],0))</f>
        <v>0</v>
      </c>
    </row>
    <row r="1401" spans="2:22" x14ac:dyDescent="0.25">
      <c r="B1401" s="37"/>
      <c r="C1401">
        <f>_xlfn.XLOOKUP(B1401,'Centro de Custo'!A$2:A$45,'Centro de Custo'!B$2:B$45)</f>
        <v>0</v>
      </c>
      <c r="E1401" s="39"/>
      <c r="F1401" s="40"/>
      <c r="G1401" s="41"/>
      <c r="H1401" s="42">
        <f>YEAR(Tabela3[[#This Row],[Data]])</f>
        <v>1900</v>
      </c>
      <c r="I1401" s="42" t="str">
        <f>_xlfn.XLOOKUP(J1401,'Centro de Custo'!J$2:J$13,'Centro de Custo'!K$2:K$13)</f>
        <v>Janeiro</v>
      </c>
      <c r="J1401" s="43">
        <f>MONTH(Tabela3[[#This Row],[Data]])</f>
        <v>1</v>
      </c>
      <c r="K1401" s="39">
        <f>SUM(E$3:Tabela3[[#This Row],[Valor]])</f>
        <v>4236027.08</v>
      </c>
      <c r="L1401" s="40">
        <f t="shared" si="21"/>
        <v>2.22375</v>
      </c>
      <c r="M1401" s="40"/>
      <c r="N1401" s="40"/>
      <c r="O1401" s="40"/>
      <c r="P1401" s="39"/>
      <c r="Q1401" s="39"/>
      <c r="R1401" s="39"/>
      <c r="S1401" s="39"/>
      <c r="T1401" s="39"/>
      <c r="V1401" t="b">
        <f>IF(Tabela3[[#This Row],[Pago]]&lt;&gt;"",IF(F1402="",Tabela3[[#This Row],[Saldo]],0))</f>
        <v>0</v>
      </c>
    </row>
    <row r="1402" spans="2:22" x14ac:dyDescent="0.25">
      <c r="B1402" s="37"/>
      <c r="C1402">
        <f>_xlfn.XLOOKUP(B1402,'Centro de Custo'!A$2:A$45,'Centro de Custo'!B$2:B$45)</f>
        <v>0</v>
      </c>
      <c r="E1402" s="39"/>
      <c r="F1402" s="40"/>
      <c r="G1402" s="41"/>
      <c r="H1402" s="42">
        <f>YEAR(Tabela3[[#This Row],[Data]])</f>
        <v>1900</v>
      </c>
      <c r="I1402" s="42" t="str">
        <f>_xlfn.XLOOKUP(J1402,'Centro de Custo'!J$2:J$13,'Centro de Custo'!K$2:K$13)</f>
        <v>Janeiro</v>
      </c>
      <c r="J1402" s="43">
        <f>MONTH(Tabela3[[#This Row],[Data]])</f>
        <v>1</v>
      </c>
      <c r="K1402" s="39">
        <f>SUM(E$3:Tabela3[[#This Row],[Valor]])</f>
        <v>4236027.08</v>
      </c>
      <c r="L1402" s="40">
        <f t="shared" si="21"/>
        <v>2.22375</v>
      </c>
      <c r="M1402" s="40"/>
      <c r="N1402" s="40"/>
      <c r="O1402" s="40"/>
      <c r="P1402" s="39"/>
      <c r="Q1402" s="39"/>
      <c r="R1402" s="39"/>
      <c r="S1402" s="39"/>
      <c r="T1402" s="39"/>
      <c r="V1402" t="b">
        <f>IF(Tabela3[[#This Row],[Pago]]&lt;&gt;"",IF(F1403="",Tabela3[[#This Row],[Saldo]],0))</f>
        <v>0</v>
      </c>
    </row>
    <row r="1403" spans="2:22" x14ac:dyDescent="0.25">
      <c r="B1403" s="37"/>
      <c r="C1403">
        <f>_xlfn.XLOOKUP(B1403,'Centro de Custo'!A$2:A$45,'Centro de Custo'!B$2:B$45)</f>
        <v>0</v>
      </c>
      <c r="E1403" s="39"/>
      <c r="F1403" s="40"/>
      <c r="G1403" s="41"/>
      <c r="H1403" s="42">
        <f>YEAR(Tabela3[[#This Row],[Data]])</f>
        <v>1900</v>
      </c>
      <c r="I1403" s="42" t="str">
        <f>_xlfn.XLOOKUP(J1403,'Centro de Custo'!J$2:J$13,'Centro de Custo'!K$2:K$13)</f>
        <v>Janeiro</v>
      </c>
      <c r="J1403" s="43">
        <f>MONTH(Tabela3[[#This Row],[Data]])</f>
        <v>1</v>
      </c>
      <c r="K1403" s="39">
        <f>SUM(E$3:Tabela3[[#This Row],[Valor]])</f>
        <v>4236027.08</v>
      </c>
      <c r="L1403" s="40">
        <f t="shared" si="21"/>
        <v>2.22375</v>
      </c>
      <c r="M1403" s="40"/>
      <c r="N1403" s="40"/>
      <c r="O1403" s="40"/>
      <c r="P1403" s="39"/>
      <c r="Q1403" s="39"/>
      <c r="R1403" s="39"/>
      <c r="S1403" s="39"/>
      <c r="T1403" s="39"/>
      <c r="V1403" t="b">
        <f>IF(Tabela3[[#This Row],[Pago]]&lt;&gt;"",IF(F1404="",Tabela3[[#This Row],[Saldo]],0))</f>
        <v>0</v>
      </c>
    </row>
    <row r="1404" spans="2:22" x14ac:dyDescent="0.25">
      <c r="B1404" s="37"/>
      <c r="C1404">
        <f>_xlfn.XLOOKUP(B1404,'Centro de Custo'!A$2:A$45,'Centro de Custo'!B$2:B$45)</f>
        <v>0</v>
      </c>
      <c r="E1404" s="39"/>
      <c r="F1404" s="40"/>
      <c r="G1404" s="41"/>
      <c r="H1404" s="42">
        <f>YEAR(Tabela3[[#This Row],[Data]])</f>
        <v>1900</v>
      </c>
      <c r="I1404" s="42" t="str">
        <f>_xlfn.XLOOKUP(J1404,'Centro de Custo'!J$2:J$13,'Centro de Custo'!K$2:K$13)</f>
        <v>Janeiro</v>
      </c>
      <c r="J1404" s="43">
        <f>MONTH(Tabela3[[#This Row],[Data]])</f>
        <v>1</v>
      </c>
      <c r="K1404" s="39">
        <f>SUM(E$3:Tabela3[[#This Row],[Valor]])</f>
        <v>4236027.08</v>
      </c>
      <c r="L1404" s="40">
        <f t="shared" si="21"/>
        <v>2.22375</v>
      </c>
      <c r="M1404" s="40"/>
      <c r="N1404" s="40"/>
      <c r="O1404" s="40"/>
      <c r="P1404" s="39"/>
      <c r="Q1404" s="39"/>
      <c r="R1404" s="39"/>
      <c r="S1404" s="39"/>
      <c r="T1404" s="39"/>
      <c r="V1404" t="b">
        <f>IF(Tabela3[[#This Row],[Pago]]&lt;&gt;"",IF(F1405="",Tabela3[[#This Row],[Saldo]],0))</f>
        <v>0</v>
      </c>
    </row>
    <row r="1405" spans="2:22" x14ac:dyDescent="0.25">
      <c r="B1405" s="37"/>
      <c r="C1405">
        <f>_xlfn.XLOOKUP(B1405,'Centro de Custo'!A$2:A$45,'Centro de Custo'!B$2:B$45)</f>
        <v>0</v>
      </c>
      <c r="E1405" s="39"/>
      <c r="F1405" s="40"/>
      <c r="G1405" s="41"/>
      <c r="H1405" s="42">
        <f>YEAR(Tabela3[[#This Row],[Data]])</f>
        <v>1900</v>
      </c>
      <c r="I1405" s="42" t="str">
        <f>_xlfn.XLOOKUP(J1405,'Centro de Custo'!J$2:J$13,'Centro de Custo'!K$2:K$13)</f>
        <v>Janeiro</v>
      </c>
      <c r="J1405" s="43">
        <f>MONTH(Tabela3[[#This Row],[Data]])</f>
        <v>1</v>
      </c>
      <c r="K1405" s="39">
        <f>SUM(E$3:Tabela3[[#This Row],[Valor]])</f>
        <v>4236027.08</v>
      </c>
      <c r="L1405" s="40">
        <f t="shared" si="21"/>
        <v>2.22375</v>
      </c>
      <c r="M1405" s="40"/>
      <c r="N1405" s="40"/>
      <c r="O1405" s="40"/>
      <c r="P1405" s="39"/>
      <c r="Q1405" s="39"/>
      <c r="R1405" s="39"/>
      <c r="S1405" s="39"/>
      <c r="T1405" s="39"/>
      <c r="V1405" t="b">
        <f>IF(Tabela3[[#This Row],[Pago]]&lt;&gt;"",IF(F1406="",Tabela3[[#This Row],[Saldo]],0))</f>
        <v>0</v>
      </c>
    </row>
    <row r="1406" spans="2:22" x14ac:dyDescent="0.25">
      <c r="B1406" s="37"/>
      <c r="C1406">
        <f>_xlfn.XLOOKUP(B1406,'Centro de Custo'!A$2:A$45,'Centro de Custo'!B$2:B$45)</f>
        <v>0</v>
      </c>
      <c r="E1406" s="39"/>
      <c r="F1406" s="40"/>
      <c r="G1406" s="41"/>
      <c r="H1406" s="42">
        <f>YEAR(Tabela3[[#This Row],[Data]])</f>
        <v>1900</v>
      </c>
      <c r="I1406" s="42" t="str">
        <f>_xlfn.XLOOKUP(J1406,'Centro de Custo'!J$2:J$13,'Centro de Custo'!K$2:K$13)</f>
        <v>Janeiro</v>
      </c>
      <c r="J1406" s="43">
        <f>MONTH(Tabela3[[#This Row],[Data]])</f>
        <v>1</v>
      </c>
      <c r="K1406" s="39">
        <f>SUM(E$3:Tabela3[[#This Row],[Valor]])</f>
        <v>4236027.08</v>
      </c>
      <c r="L1406" s="40">
        <f t="shared" si="21"/>
        <v>2.22375</v>
      </c>
      <c r="M1406" s="40"/>
      <c r="N1406" s="40"/>
      <c r="O1406" s="40"/>
      <c r="P1406" s="39"/>
      <c r="Q1406" s="39"/>
      <c r="R1406" s="39"/>
      <c r="S1406" s="39"/>
      <c r="T1406" s="39"/>
      <c r="V1406" t="b">
        <f>IF(Tabela3[[#This Row],[Pago]]&lt;&gt;"",IF(F1407="",Tabela3[[#This Row],[Saldo]],0))</f>
        <v>0</v>
      </c>
    </row>
    <row r="1407" spans="2:22" x14ac:dyDescent="0.25">
      <c r="B1407" s="37"/>
      <c r="C1407">
        <f>_xlfn.XLOOKUP(B1407,'Centro de Custo'!A$2:A$45,'Centro de Custo'!B$2:B$45)</f>
        <v>0</v>
      </c>
      <c r="E1407" s="39"/>
      <c r="F1407" s="40"/>
      <c r="G1407" s="41"/>
      <c r="H1407" s="42">
        <f>YEAR(Tabela3[[#This Row],[Data]])</f>
        <v>1900</v>
      </c>
      <c r="I1407" s="42" t="str">
        <f>_xlfn.XLOOKUP(J1407,'Centro de Custo'!J$2:J$13,'Centro de Custo'!K$2:K$13)</f>
        <v>Janeiro</v>
      </c>
      <c r="J1407" s="43">
        <f>MONTH(Tabela3[[#This Row],[Data]])</f>
        <v>1</v>
      </c>
      <c r="K1407" s="39">
        <f>SUM(E$3:Tabela3[[#This Row],[Valor]])</f>
        <v>4236027.08</v>
      </c>
      <c r="L1407" s="40">
        <f t="shared" si="21"/>
        <v>2.22375</v>
      </c>
      <c r="M1407" s="40"/>
      <c r="N1407" s="40"/>
      <c r="O1407" s="40"/>
      <c r="P1407" s="39"/>
      <c r="Q1407" s="39"/>
      <c r="R1407" s="39"/>
      <c r="S1407" s="39"/>
      <c r="T1407" s="39"/>
      <c r="V1407" t="b">
        <f>IF(Tabela3[[#This Row],[Pago]]&lt;&gt;"",IF(F1408="",Tabela3[[#This Row],[Saldo]],0))</f>
        <v>0</v>
      </c>
    </row>
    <row r="1408" spans="2:22" x14ac:dyDescent="0.25">
      <c r="B1408" s="37"/>
      <c r="C1408">
        <f>_xlfn.XLOOKUP(B1408,'Centro de Custo'!A$2:A$45,'Centro de Custo'!B$2:B$45)</f>
        <v>0</v>
      </c>
      <c r="E1408" s="39"/>
      <c r="F1408" s="40"/>
      <c r="G1408" s="41"/>
      <c r="H1408" s="42">
        <f>YEAR(Tabela3[[#This Row],[Data]])</f>
        <v>1900</v>
      </c>
      <c r="I1408" s="42" t="str">
        <f>_xlfn.XLOOKUP(J1408,'Centro de Custo'!J$2:J$13,'Centro de Custo'!K$2:K$13)</f>
        <v>Janeiro</v>
      </c>
      <c r="J1408" s="43">
        <f>MONTH(Tabela3[[#This Row],[Data]])</f>
        <v>1</v>
      </c>
      <c r="K1408" s="39">
        <f>SUM(E$3:Tabela3[[#This Row],[Valor]])</f>
        <v>4236027.08</v>
      </c>
      <c r="L1408" s="40">
        <f t="shared" si="21"/>
        <v>2.22375</v>
      </c>
      <c r="M1408" s="40"/>
      <c r="N1408" s="40"/>
      <c r="O1408" s="40"/>
      <c r="P1408" s="39"/>
      <c r="Q1408" s="39"/>
      <c r="R1408" s="39"/>
      <c r="S1408" s="39"/>
      <c r="T1408" s="39"/>
      <c r="V1408" t="b">
        <f>IF(Tabela3[[#This Row],[Pago]]&lt;&gt;"",IF(F1409="",Tabela3[[#This Row],[Saldo]],0))</f>
        <v>0</v>
      </c>
    </row>
    <row r="1409" spans="2:22" x14ac:dyDescent="0.25">
      <c r="B1409" s="37"/>
      <c r="C1409">
        <f>_xlfn.XLOOKUP(B1409,'Centro de Custo'!A$2:A$45,'Centro de Custo'!B$2:B$45)</f>
        <v>0</v>
      </c>
      <c r="E1409" s="39"/>
      <c r="F1409" s="40"/>
      <c r="G1409" s="41"/>
      <c r="H1409" s="42">
        <f>YEAR(Tabela3[[#This Row],[Data]])</f>
        <v>1900</v>
      </c>
      <c r="I1409" s="42" t="str">
        <f>_xlfn.XLOOKUP(J1409,'Centro de Custo'!J$2:J$13,'Centro de Custo'!K$2:K$13)</f>
        <v>Janeiro</v>
      </c>
      <c r="J1409" s="43">
        <f>MONTH(Tabela3[[#This Row],[Data]])</f>
        <v>1</v>
      </c>
      <c r="K1409" s="39">
        <f>SUM(E$3:Tabela3[[#This Row],[Valor]])</f>
        <v>4236027.08</v>
      </c>
      <c r="L1409" s="40">
        <f t="shared" si="21"/>
        <v>2.22375</v>
      </c>
      <c r="M1409" s="40"/>
      <c r="N1409" s="40"/>
      <c r="O1409" s="40"/>
      <c r="P1409" s="39"/>
      <c r="Q1409" s="39"/>
      <c r="R1409" s="39"/>
      <c r="S1409" s="39"/>
      <c r="T1409" s="39"/>
      <c r="V1409" t="b">
        <f>IF(Tabela3[[#This Row],[Pago]]&lt;&gt;"",IF(F1410="",Tabela3[[#This Row],[Saldo]],0))</f>
        <v>0</v>
      </c>
    </row>
    <row r="1410" spans="2:22" x14ac:dyDescent="0.25">
      <c r="B1410" s="37"/>
      <c r="C1410">
        <f>_xlfn.XLOOKUP(B1410,'Centro de Custo'!A$2:A$45,'Centro de Custo'!B$2:B$45)</f>
        <v>0</v>
      </c>
      <c r="E1410" s="39"/>
      <c r="F1410" s="40"/>
      <c r="G1410" s="41"/>
      <c r="H1410" s="42">
        <f>YEAR(Tabela3[[#This Row],[Data]])</f>
        <v>1900</v>
      </c>
      <c r="I1410" s="42" t="str">
        <f>_xlfn.XLOOKUP(J1410,'Centro de Custo'!J$2:J$13,'Centro de Custo'!K$2:K$13)</f>
        <v>Janeiro</v>
      </c>
      <c r="J1410" s="43">
        <f>MONTH(Tabela3[[#This Row],[Data]])</f>
        <v>1</v>
      </c>
      <c r="K1410" s="39">
        <f>SUM(E$3:Tabela3[[#This Row],[Valor]])</f>
        <v>4236027.08</v>
      </c>
      <c r="L1410" s="40">
        <f t="shared" si="21"/>
        <v>2.22375</v>
      </c>
      <c r="M1410" s="40"/>
      <c r="N1410" s="40"/>
      <c r="O1410" s="40"/>
      <c r="P1410" s="39"/>
      <c r="Q1410" s="39"/>
      <c r="R1410" s="39"/>
      <c r="S1410" s="39"/>
      <c r="T1410" s="39"/>
      <c r="V1410" t="b">
        <f>IF(Tabela3[[#This Row],[Pago]]&lt;&gt;"",IF(F1411="",Tabela3[[#This Row],[Saldo]],0))</f>
        <v>0</v>
      </c>
    </row>
    <row r="1411" spans="2:22" x14ac:dyDescent="0.25">
      <c r="B1411" s="37"/>
      <c r="C1411">
        <f>_xlfn.XLOOKUP(B1411,'Centro de Custo'!A$2:A$45,'Centro de Custo'!B$2:B$45)</f>
        <v>0</v>
      </c>
      <c r="E1411" s="39"/>
      <c r="F1411" s="40"/>
      <c r="G1411" s="41"/>
      <c r="H1411" s="42">
        <f>YEAR(Tabela3[[#This Row],[Data]])</f>
        <v>1900</v>
      </c>
      <c r="I1411" s="42" t="str">
        <f>_xlfn.XLOOKUP(J1411,'Centro de Custo'!J$2:J$13,'Centro de Custo'!K$2:K$13)</f>
        <v>Janeiro</v>
      </c>
      <c r="J1411" s="43">
        <f>MONTH(Tabela3[[#This Row],[Data]])</f>
        <v>1</v>
      </c>
      <c r="K1411" s="39">
        <f>SUM(E$3:Tabela3[[#This Row],[Valor]])</f>
        <v>4236027.08</v>
      </c>
      <c r="L1411" s="40">
        <f t="shared" ref="L1411:L1474" si="22">17.79/8</f>
        <v>2.22375</v>
      </c>
      <c r="M1411" s="40"/>
      <c r="N1411" s="40"/>
      <c r="O1411" s="40"/>
      <c r="P1411" s="39"/>
      <c r="Q1411" s="39"/>
      <c r="R1411" s="39"/>
      <c r="S1411" s="39"/>
      <c r="T1411" s="39"/>
      <c r="V1411" t="b">
        <f>IF(Tabela3[[#This Row],[Pago]]&lt;&gt;"",IF(F1412="",Tabela3[[#This Row],[Saldo]],0))</f>
        <v>0</v>
      </c>
    </row>
    <row r="1412" spans="2:22" x14ac:dyDescent="0.25">
      <c r="B1412" s="37"/>
      <c r="C1412">
        <f>_xlfn.XLOOKUP(B1412,'Centro de Custo'!A$2:A$45,'Centro de Custo'!B$2:B$45)</f>
        <v>0</v>
      </c>
      <c r="E1412" s="39"/>
      <c r="F1412" s="40"/>
      <c r="G1412" s="41"/>
      <c r="H1412" s="42">
        <f>YEAR(Tabela3[[#This Row],[Data]])</f>
        <v>1900</v>
      </c>
      <c r="I1412" s="42" t="str">
        <f>_xlfn.XLOOKUP(J1412,'Centro de Custo'!J$2:J$13,'Centro de Custo'!K$2:K$13)</f>
        <v>Janeiro</v>
      </c>
      <c r="J1412" s="43">
        <f>MONTH(Tabela3[[#This Row],[Data]])</f>
        <v>1</v>
      </c>
      <c r="K1412" s="39">
        <f>SUM(E$3:Tabela3[[#This Row],[Valor]])</f>
        <v>4236027.08</v>
      </c>
      <c r="L1412" s="40">
        <f t="shared" si="22"/>
        <v>2.22375</v>
      </c>
      <c r="M1412" s="40"/>
      <c r="N1412" s="40"/>
      <c r="O1412" s="40"/>
      <c r="P1412" s="39"/>
      <c r="Q1412" s="39"/>
      <c r="R1412" s="39"/>
      <c r="S1412" s="39"/>
      <c r="T1412" s="39"/>
      <c r="V1412" t="b">
        <f>IF(Tabela3[[#This Row],[Pago]]&lt;&gt;"",IF(F1413="",Tabela3[[#This Row],[Saldo]],0))</f>
        <v>0</v>
      </c>
    </row>
    <row r="1413" spans="2:22" x14ac:dyDescent="0.25">
      <c r="B1413" s="37"/>
      <c r="C1413">
        <f>_xlfn.XLOOKUP(B1413,'Centro de Custo'!A$2:A$45,'Centro de Custo'!B$2:B$45)</f>
        <v>0</v>
      </c>
      <c r="E1413" s="39"/>
      <c r="F1413" s="40"/>
      <c r="G1413" s="41"/>
      <c r="H1413" s="42">
        <f>YEAR(Tabela3[[#This Row],[Data]])</f>
        <v>1900</v>
      </c>
      <c r="I1413" s="42" t="str">
        <f>_xlfn.XLOOKUP(J1413,'Centro de Custo'!J$2:J$13,'Centro de Custo'!K$2:K$13)</f>
        <v>Janeiro</v>
      </c>
      <c r="J1413" s="43">
        <f>MONTH(Tabela3[[#This Row],[Data]])</f>
        <v>1</v>
      </c>
      <c r="K1413" s="39">
        <f>SUM(E$3:Tabela3[[#This Row],[Valor]])</f>
        <v>4236027.08</v>
      </c>
      <c r="L1413" s="40">
        <f t="shared" si="22"/>
        <v>2.22375</v>
      </c>
      <c r="M1413" s="40"/>
      <c r="N1413" s="40"/>
      <c r="O1413" s="40"/>
      <c r="P1413" s="39"/>
      <c r="Q1413" s="39"/>
      <c r="R1413" s="39"/>
      <c r="S1413" s="39"/>
      <c r="T1413" s="39"/>
      <c r="V1413" t="b">
        <f>IF(Tabela3[[#This Row],[Pago]]&lt;&gt;"",IF(F1414="",Tabela3[[#This Row],[Saldo]],0))</f>
        <v>0</v>
      </c>
    </row>
    <row r="1414" spans="2:22" x14ac:dyDescent="0.25">
      <c r="B1414" s="37"/>
      <c r="C1414">
        <f>_xlfn.XLOOKUP(B1414,'Centro de Custo'!A$2:A$45,'Centro de Custo'!B$2:B$45)</f>
        <v>0</v>
      </c>
      <c r="E1414" s="39"/>
      <c r="F1414" s="40"/>
      <c r="G1414" s="41"/>
      <c r="H1414" s="42">
        <f>YEAR(Tabela3[[#This Row],[Data]])</f>
        <v>1900</v>
      </c>
      <c r="I1414" s="42" t="str">
        <f>_xlfn.XLOOKUP(J1414,'Centro de Custo'!J$2:J$13,'Centro de Custo'!K$2:K$13)</f>
        <v>Janeiro</v>
      </c>
      <c r="J1414" s="43">
        <f>MONTH(Tabela3[[#This Row],[Data]])</f>
        <v>1</v>
      </c>
      <c r="K1414" s="39">
        <f>SUM(E$3:Tabela3[[#This Row],[Valor]])</f>
        <v>4236027.08</v>
      </c>
      <c r="L1414" s="40">
        <f t="shared" si="22"/>
        <v>2.22375</v>
      </c>
      <c r="M1414" s="40"/>
      <c r="N1414" s="40"/>
      <c r="O1414" s="40"/>
      <c r="P1414" s="39"/>
      <c r="Q1414" s="39"/>
      <c r="R1414" s="39"/>
      <c r="S1414" s="39"/>
      <c r="T1414" s="39"/>
      <c r="V1414" t="b">
        <f>IF(Tabela3[[#This Row],[Pago]]&lt;&gt;"",IF(F1415="",Tabela3[[#This Row],[Saldo]],0))</f>
        <v>0</v>
      </c>
    </row>
    <row r="1415" spans="2:22" x14ac:dyDescent="0.25">
      <c r="B1415" s="37"/>
      <c r="C1415">
        <f>_xlfn.XLOOKUP(B1415,'Centro de Custo'!A$2:A$45,'Centro de Custo'!B$2:B$45)</f>
        <v>0</v>
      </c>
      <c r="E1415" s="39"/>
      <c r="F1415" s="40"/>
      <c r="G1415" s="41"/>
      <c r="H1415" s="42">
        <f>YEAR(Tabela3[[#This Row],[Data]])</f>
        <v>1900</v>
      </c>
      <c r="I1415" s="42" t="str">
        <f>_xlfn.XLOOKUP(J1415,'Centro de Custo'!J$2:J$13,'Centro de Custo'!K$2:K$13)</f>
        <v>Janeiro</v>
      </c>
      <c r="J1415" s="43">
        <f>MONTH(Tabela3[[#This Row],[Data]])</f>
        <v>1</v>
      </c>
      <c r="K1415" s="39">
        <f>SUM(E$3:Tabela3[[#This Row],[Valor]])</f>
        <v>4236027.08</v>
      </c>
      <c r="L1415" s="40">
        <f t="shared" si="22"/>
        <v>2.22375</v>
      </c>
      <c r="M1415" s="40"/>
      <c r="N1415" s="40"/>
      <c r="O1415" s="40"/>
      <c r="P1415" s="39"/>
      <c r="Q1415" s="39"/>
      <c r="R1415" s="39"/>
      <c r="S1415" s="39"/>
      <c r="T1415" s="39"/>
      <c r="V1415" t="b">
        <f>IF(Tabela3[[#This Row],[Pago]]&lt;&gt;"",IF(F1416="",Tabela3[[#This Row],[Saldo]],0))</f>
        <v>0</v>
      </c>
    </row>
    <row r="1416" spans="2:22" x14ac:dyDescent="0.25">
      <c r="B1416" s="37"/>
      <c r="C1416">
        <f>_xlfn.XLOOKUP(B1416,'Centro de Custo'!A$2:A$45,'Centro de Custo'!B$2:B$45)</f>
        <v>0</v>
      </c>
      <c r="E1416" s="39"/>
      <c r="F1416" s="40"/>
      <c r="G1416" s="41"/>
      <c r="H1416" s="42">
        <f>YEAR(Tabela3[[#This Row],[Data]])</f>
        <v>1900</v>
      </c>
      <c r="I1416" s="42" t="str">
        <f>_xlfn.XLOOKUP(J1416,'Centro de Custo'!J$2:J$13,'Centro de Custo'!K$2:K$13)</f>
        <v>Janeiro</v>
      </c>
      <c r="J1416" s="43">
        <f>MONTH(Tabela3[[#This Row],[Data]])</f>
        <v>1</v>
      </c>
      <c r="K1416" s="39">
        <f>SUM(E$3:Tabela3[[#This Row],[Valor]])</f>
        <v>4236027.08</v>
      </c>
      <c r="L1416" s="40">
        <f t="shared" si="22"/>
        <v>2.22375</v>
      </c>
      <c r="M1416" s="40"/>
      <c r="N1416" s="40"/>
      <c r="O1416" s="40"/>
      <c r="P1416" s="39"/>
      <c r="Q1416" s="39"/>
      <c r="R1416" s="39"/>
      <c r="S1416" s="39"/>
      <c r="T1416" s="39"/>
      <c r="V1416" t="b">
        <f>IF(Tabela3[[#This Row],[Pago]]&lt;&gt;"",IF(F1417="",Tabela3[[#This Row],[Saldo]],0))</f>
        <v>0</v>
      </c>
    </row>
    <row r="1417" spans="2:22" x14ac:dyDescent="0.25">
      <c r="B1417" s="37"/>
      <c r="C1417">
        <f>_xlfn.XLOOKUP(B1417,'Centro de Custo'!A$2:A$45,'Centro de Custo'!B$2:B$45)</f>
        <v>0</v>
      </c>
      <c r="E1417" s="39"/>
      <c r="F1417" s="40"/>
      <c r="G1417" s="41"/>
      <c r="H1417" s="42">
        <f>YEAR(Tabela3[[#This Row],[Data]])</f>
        <v>1900</v>
      </c>
      <c r="I1417" s="42" t="str">
        <f>_xlfn.XLOOKUP(J1417,'Centro de Custo'!J$2:J$13,'Centro de Custo'!K$2:K$13)</f>
        <v>Janeiro</v>
      </c>
      <c r="J1417" s="43">
        <f>MONTH(Tabela3[[#This Row],[Data]])</f>
        <v>1</v>
      </c>
      <c r="K1417" s="39">
        <f>SUM(E$3:Tabela3[[#This Row],[Valor]])</f>
        <v>4236027.08</v>
      </c>
      <c r="L1417" s="40">
        <f t="shared" si="22"/>
        <v>2.22375</v>
      </c>
      <c r="M1417" s="40"/>
      <c r="N1417" s="40"/>
      <c r="O1417" s="40"/>
      <c r="P1417" s="39"/>
      <c r="Q1417" s="39"/>
      <c r="R1417" s="39"/>
      <c r="S1417" s="39"/>
      <c r="T1417" s="39"/>
      <c r="V1417" t="b">
        <f>IF(Tabela3[[#This Row],[Pago]]&lt;&gt;"",IF(F1418="",Tabela3[[#This Row],[Saldo]],0))</f>
        <v>0</v>
      </c>
    </row>
    <row r="1418" spans="2:22" x14ac:dyDescent="0.25">
      <c r="B1418" s="37"/>
      <c r="C1418">
        <f>_xlfn.XLOOKUP(B1418,'Centro de Custo'!A$2:A$45,'Centro de Custo'!B$2:B$45)</f>
        <v>0</v>
      </c>
      <c r="E1418" s="39"/>
      <c r="F1418" s="40"/>
      <c r="G1418" s="41"/>
      <c r="H1418" s="42">
        <f>YEAR(Tabela3[[#This Row],[Data]])</f>
        <v>1900</v>
      </c>
      <c r="I1418" s="42" t="str">
        <f>_xlfn.XLOOKUP(J1418,'Centro de Custo'!J$2:J$13,'Centro de Custo'!K$2:K$13)</f>
        <v>Janeiro</v>
      </c>
      <c r="J1418" s="43">
        <f>MONTH(Tabela3[[#This Row],[Data]])</f>
        <v>1</v>
      </c>
      <c r="K1418" s="39">
        <f>SUM(E$3:Tabela3[[#This Row],[Valor]])</f>
        <v>4236027.08</v>
      </c>
      <c r="L1418" s="40">
        <f t="shared" si="22"/>
        <v>2.22375</v>
      </c>
      <c r="M1418" s="40"/>
      <c r="N1418" s="40"/>
      <c r="O1418" s="40"/>
      <c r="P1418" s="39"/>
      <c r="Q1418" s="39"/>
      <c r="R1418" s="39"/>
      <c r="S1418" s="39"/>
      <c r="T1418" s="39"/>
      <c r="V1418" t="b">
        <f>IF(Tabela3[[#This Row],[Pago]]&lt;&gt;"",IF(F1419="",Tabela3[[#This Row],[Saldo]],0))</f>
        <v>0</v>
      </c>
    </row>
    <row r="1419" spans="2:22" x14ac:dyDescent="0.25">
      <c r="B1419" s="37"/>
      <c r="C1419">
        <f>_xlfn.XLOOKUP(B1419,'Centro de Custo'!A$2:A$45,'Centro de Custo'!B$2:B$45)</f>
        <v>0</v>
      </c>
      <c r="E1419" s="39"/>
      <c r="F1419" s="40"/>
      <c r="G1419" s="41"/>
      <c r="H1419" s="42">
        <f>YEAR(Tabela3[[#This Row],[Data]])</f>
        <v>1900</v>
      </c>
      <c r="I1419" s="42" t="str">
        <f>_xlfn.XLOOKUP(J1419,'Centro de Custo'!J$2:J$13,'Centro de Custo'!K$2:K$13)</f>
        <v>Janeiro</v>
      </c>
      <c r="J1419" s="43">
        <f>MONTH(Tabela3[[#This Row],[Data]])</f>
        <v>1</v>
      </c>
      <c r="K1419" s="39">
        <f>SUM(E$3:Tabela3[[#This Row],[Valor]])</f>
        <v>4236027.08</v>
      </c>
      <c r="L1419" s="40">
        <f t="shared" si="22"/>
        <v>2.22375</v>
      </c>
      <c r="M1419" s="40"/>
      <c r="N1419" s="40"/>
      <c r="O1419" s="40"/>
      <c r="P1419" s="39"/>
      <c r="Q1419" s="39"/>
      <c r="R1419" s="39"/>
      <c r="S1419" s="39"/>
      <c r="T1419" s="39"/>
      <c r="V1419" t="b">
        <f>IF(Tabela3[[#This Row],[Pago]]&lt;&gt;"",IF(F1420="",Tabela3[[#This Row],[Saldo]],0))</f>
        <v>0</v>
      </c>
    </row>
    <row r="1420" spans="2:22" x14ac:dyDescent="0.25">
      <c r="B1420" s="37"/>
      <c r="C1420">
        <f>_xlfn.XLOOKUP(B1420,'Centro de Custo'!A$2:A$45,'Centro de Custo'!B$2:B$45)</f>
        <v>0</v>
      </c>
      <c r="E1420" s="39"/>
      <c r="F1420" s="40"/>
      <c r="G1420" s="41"/>
      <c r="H1420" s="42">
        <f>YEAR(Tabela3[[#This Row],[Data]])</f>
        <v>1900</v>
      </c>
      <c r="I1420" s="42" t="str">
        <f>_xlfn.XLOOKUP(J1420,'Centro de Custo'!J$2:J$13,'Centro de Custo'!K$2:K$13)</f>
        <v>Janeiro</v>
      </c>
      <c r="J1420" s="43">
        <f>MONTH(Tabela3[[#This Row],[Data]])</f>
        <v>1</v>
      </c>
      <c r="K1420" s="39">
        <f>SUM(E$3:Tabela3[[#This Row],[Valor]])</f>
        <v>4236027.08</v>
      </c>
      <c r="L1420" s="40">
        <f t="shared" si="22"/>
        <v>2.22375</v>
      </c>
      <c r="M1420" s="40"/>
      <c r="N1420" s="40"/>
      <c r="O1420" s="40"/>
      <c r="P1420" s="39"/>
      <c r="Q1420" s="39"/>
      <c r="R1420" s="39"/>
      <c r="S1420" s="39"/>
      <c r="T1420" s="39"/>
      <c r="V1420" t="b">
        <f>IF(Tabela3[[#This Row],[Pago]]&lt;&gt;"",IF(F1421="",Tabela3[[#This Row],[Saldo]],0))</f>
        <v>0</v>
      </c>
    </row>
    <row r="1421" spans="2:22" x14ac:dyDescent="0.25">
      <c r="B1421" s="37"/>
      <c r="C1421">
        <f>_xlfn.XLOOKUP(B1421,'Centro de Custo'!A$2:A$45,'Centro de Custo'!B$2:B$45)</f>
        <v>0</v>
      </c>
      <c r="E1421" s="39"/>
      <c r="F1421" s="40"/>
      <c r="G1421" s="41"/>
      <c r="H1421" s="42">
        <f>YEAR(Tabela3[[#This Row],[Data]])</f>
        <v>1900</v>
      </c>
      <c r="I1421" s="42" t="str">
        <f>_xlfn.XLOOKUP(J1421,'Centro de Custo'!J$2:J$13,'Centro de Custo'!K$2:K$13)</f>
        <v>Janeiro</v>
      </c>
      <c r="J1421" s="43">
        <f>MONTH(Tabela3[[#This Row],[Data]])</f>
        <v>1</v>
      </c>
      <c r="K1421" s="39">
        <f>SUM(E$3:Tabela3[[#This Row],[Valor]])</f>
        <v>4236027.08</v>
      </c>
      <c r="L1421" s="40">
        <f t="shared" si="22"/>
        <v>2.22375</v>
      </c>
      <c r="M1421" s="40"/>
      <c r="N1421" s="40"/>
      <c r="O1421" s="40"/>
      <c r="P1421" s="39"/>
      <c r="Q1421" s="39"/>
      <c r="R1421" s="39"/>
      <c r="S1421" s="39"/>
      <c r="T1421" s="39"/>
      <c r="V1421" t="b">
        <f>IF(Tabela3[[#This Row],[Pago]]&lt;&gt;"",IF(F1422="",Tabela3[[#This Row],[Saldo]],0))</f>
        <v>0</v>
      </c>
    </row>
    <row r="1422" spans="2:22" x14ac:dyDescent="0.25">
      <c r="B1422" s="37"/>
      <c r="C1422">
        <f>_xlfn.XLOOKUP(B1422,'Centro de Custo'!A$2:A$45,'Centro de Custo'!B$2:B$45)</f>
        <v>0</v>
      </c>
      <c r="E1422" s="39"/>
      <c r="F1422" s="40"/>
      <c r="G1422" s="41"/>
      <c r="H1422" s="42">
        <f>YEAR(Tabela3[[#This Row],[Data]])</f>
        <v>1900</v>
      </c>
      <c r="I1422" s="42" t="str">
        <f>_xlfn.XLOOKUP(J1422,'Centro de Custo'!J$2:J$13,'Centro de Custo'!K$2:K$13)</f>
        <v>Janeiro</v>
      </c>
      <c r="J1422" s="43">
        <f>MONTH(Tabela3[[#This Row],[Data]])</f>
        <v>1</v>
      </c>
      <c r="K1422" s="39">
        <f>SUM(E$3:Tabela3[[#This Row],[Valor]])</f>
        <v>4236027.08</v>
      </c>
      <c r="L1422" s="40">
        <f t="shared" si="22"/>
        <v>2.22375</v>
      </c>
      <c r="M1422" s="40"/>
      <c r="N1422" s="40"/>
      <c r="O1422" s="40"/>
      <c r="P1422" s="39"/>
      <c r="Q1422" s="39"/>
      <c r="R1422" s="39"/>
      <c r="S1422" s="39"/>
      <c r="T1422" s="39"/>
      <c r="V1422" t="b">
        <f>IF(Tabela3[[#This Row],[Pago]]&lt;&gt;"",IF(F1423="",Tabela3[[#This Row],[Saldo]],0))</f>
        <v>0</v>
      </c>
    </row>
    <row r="1423" spans="2:22" x14ac:dyDescent="0.25">
      <c r="B1423" s="37"/>
      <c r="C1423">
        <f>_xlfn.XLOOKUP(B1423,'Centro de Custo'!A$2:A$45,'Centro de Custo'!B$2:B$45)</f>
        <v>0</v>
      </c>
      <c r="E1423" s="39"/>
      <c r="F1423" s="40"/>
      <c r="G1423" s="41"/>
      <c r="H1423" s="42">
        <f>YEAR(Tabela3[[#This Row],[Data]])</f>
        <v>1900</v>
      </c>
      <c r="I1423" s="42" t="str">
        <f>_xlfn.XLOOKUP(J1423,'Centro de Custo'!J$2:J$13,'Centro de Custo'!K$2:K$13)</f>
        <v>Janeiro</v>
      </c>
      <c r="J1423" s="43">
        <f>MONTH(Tabela3[[#This Row],[Data]])</f>
        <v>1</v>
      </c>
      <c r="K1423" s="39">
        <f>SUM(E$3:Tabela3[[#This Row],[Valor]])</f>
        <v>4236027.08</v>
      </c>
      <c r="L1423" s="40">
        <f t="shared" si="22"/>
        <v>2.22375</v>
      </c>
      <c r="M1423" s="40"/>
      <c r="N1423" s="40"/>
      <c r="O1423" s="40"/>
      <c r="P1423" s="39"/>
      <c r="Q1423" s="39"/>
      <c r="R1423" s="39"/>
      <c r="S1423" s="39"/>
      <c r="T1423" s="39"/>
      <c r="V1423" t="b">
        <f>IF(Tabela3[[#This Row],[Pago]]&lt;&gt;"",IF(F1424="",Tabela3[[#This Row],[Saldo]],0))</f>
        <v>0</v>
      </c>
    </row>
    <row r="1424" spans="2:22" x14ac:dyDescent="0.25">
      <c r="B1424" s="37"/>
      <c r="C1424">
        <f>_xlfn.XLOOKUP(B1424,'Centro de Custo'!A$2:A$45,'Centro de Custo'!B$2:B$45)</f>
        <v>0</v>
      </c>
      <c r="E1424" s="39"/>
      <c r="F1424" s="40"/>
      <c r="G1424" s="41"/>
      <c r="H1424" s="42">
        <f>YEAR(Tabela3[[#This Row],[Data]])</f>
        <v>1900</v>
      </c>
      <c r="I1424" s="42" t="str">
        <f>_xlfn.XLOOKUP(J1424,'Centro de Custo'!J$2:J$13,'Centro de Custo'!K$2:K$13)</f>
        <v>Janeiro</v>
      </c>
      <c r="J1424" s="43">
        <f>MONTH(Tabela3[[#This Row],[Data]])</f>
        <v>1</v>
      </c>
      <c r="K1424" s="39">
        <f>SUM(E$3:Tabela3[[#This Row],[Valor]])</f>
        <v>4236027.08</v>
      </c>
      <c r="L1424" s="40">
        <f t="shared" si="22"/>
        <v>2.22375</v>
      </c>
      <c r="M1424" s="40"/>
      <c r="N1424" s="40"/>
      <c r="O1424" s="40"/>
      <c r="P1424" s="39"/>
      <c r="Q1424" s="39"/>
      <c r="R1424" s="39"/>
      <c r="S1424" s="39"/>
      <c r="T1424" s="39"/>
      <c r="V1424" t="b">
        <f>IF(Tabela3[[#This Row],[Pago]]&lt;&gt;"",IF(F1425="",Tabela3[[#This Row],[Saldo]],0))</f>
        <v>0</v>
      </c>
    </row>
    <row r="1425" spans="2:22" x14ac:dyDescent="0.25">
      <c r="B1425" s="37"/>
      <c r="C1425">
        <f>_xlfn.XLOOKUP(B1425,'Centro de Custo'!A$2:A$45,'Centro de Custo'!B$2:B$45)</f>
        <v>0</v>
      </c>
      <c r="E1425" s="39"/>
      <c r="F1425" s="40"/>
      <c r="G1425" s="41"/>
      <c r="H1425" s="42">
        <f>YEAR(Tabela3[[#This Row],[Data]])</f>
        <v>1900</v>
      </c>
      <c r="I1425" s="42" t="str">
        <f>_xlfn.XLOOKUP(J1425,'Centro de Custo'!J$2:J$13,'Centro de Custo'!K$2:K$13)</f>
        <v>Janeiro</v>
      </c>
      <c r="J1425" s="43">
        <f>MONTH(Tabela3[[#This Row],[Data]])</f>
        <v>1</v>
      </c>
      <c r="K1425" s="39">
        <f>SUM(E$3:Tabela3[[#This Row],[Valor]])</f>
        <v>4236027.08</v>
      </c>
      <c r="L1425" s="40">
        <f t="shared" si="22"/>
        <v>2.22375</v>
      </c>
      <c r="M1425" s="40"/>
      <c r="N1425" s="40"/>
      <c r="O1425" s="40"/>
      <c r="P1425" s="39"/>
      <c r="Q1425" s="39"/>
      <c r="R1425" s="39"/>
      <c r="S1425" s="39"/>
      <c r="T1425" s="39"/>
      <c r="V1425" t="b">
        <f>IF(Tabela3[[#This Row],[Pago]]&lt;&gt;"",IF(F1426="",Tabela3[[#This Row],[Saldo]],0))</f>
        <v>0</v>
      </c>
    </row>
    <row r="1426" spans="2:22" x14ac:dyDescent="0.25">
      <c r="B1426" s="37"/>
      <c r="C1426">
        <f>_xlfn.XLOOKUP(B1426,'Centro de Custo'!A$2:A$45,'Centro de Custo'!B$2:B$45)</f>
        <v>0</v>
      </c>
      <c r="E1426" s="39"/>
      <c r="F1426" s="40"/>
      <c r="G1426" s="41"/>
      <c r="H1426" s="42">
        <f>YEAR(Tabela3[[#This Row],[Data]])</f>
        <v>1900</v>
      </c>
      <c r="I1426" s="42" t="str">
        <f>_xlfn.XLOOKUP(J1426,'Centro de Custo'!J$2:J$13,'Centro de Custo'!K$2:K$13)</f>
        <v>Janeiro</v>
      </c>
      <c r="J1426" s="43">
        <f>MONTH(Tabela3[[#This Row],[Data]])</f>
        <v>1</v>
      </c>
      <c r="K1426" s="39">
        <f>SUM(E$3:Tabela3[[#This Row],[Valor]])</f>
        <v>4236027.08</v>
      </c>
      <c r="L1426" s="40">
        <f t="shared" si="22"/>
        <v>2.22375</v>
      </c>
      <c r="M1426" s="40"/>
      <c r="N1426" s="40"/>
      <c r="O1426" s="40"/>
      <c r="P1426" s="39"/>
      <c r="Q1426" s="39"/>
      <c r="R1426" s="39"/>
      <c r="S1426" s="39"/>
      <c r="T1426" s="39"/>
      <c r="V1426" t="b">
        <f>IF(Tabela3[[#This Row],[Pago]]&lt;&gt;"",IF(F1427="",Tabela3[[#This Row],[Saldo]],0))</f>
        <v>0</v>
      </c>
    </row>
    <row r="1427" spans="2:22" x14ac:dyDescent="0.25">
      <c r="B1427" s="37"/>
      <c r="C1427">
        <f>_xlfn.XLOOKUP(B1427,'Centro de Custo'!A$2:A$45,'Centro de Custo'!B$2:B$45)</f>
        <v>0</v>
      </c>
      <c r="E1427" s="39"/>
      <c r="F1427" s="40"/>
      <c r="G1427" s="41"/>
      <c r="H1427" s="42">
        <f>YEAR(Tabela3[[#This Row],[Data]])</f>
        <v>1900</v>
      </c>
      <c r="I1427" s="42" t="str">
        <f>_xlfn.XLOOKUP(J1427,'Centro de Custo'!J$2:J$13,'Centro de Custo'!K$2:K$13)</f>
        <v>Janeiro</v>
      </c>
      <c r="J1427" s="43">
        <f>MONTH(Tabela3[[#This Row],[Data]])</f>
        <v>1</v>
      </c>
      <c r="K1427" s="39">
        <f>SUM(E$3:Tabela3[[#This Row],[Valor]])</f>
        <v>4236027.08</v>
      </c>
      <c r="L1427" s="40">
        <f t="shared" si="22"/>
        <v>2.22375</v>
      </c>
      <c r="M1427" s="40"/>
      <c r="N1427" s="40"/>
      <c r="O1427" s="40"/>
      <c r="P1427" s="39"/>
      <c r="Q1427" s="39"/>
      <c r="R1427" s="39"/>
      <c r="S1427" s="39"/>
      <c r="T1427" s="39"/>
      <c r="V1427" t="b">
        <f>IF(Tabela3[[#This Row],[Pago]]&lt;&gt;"",IF(F1428="",Tabela3[[#This Row],[Saldo]],0))</f>
        <v>0</v>
      </c>
    </row>
    <row r="1428" spans="2:22" x14ac:dyDescent="0.25">
      <c r="B1428" s="37"/>
      <c r="C1428">
        <f>_xlfn.XLOOKUP(B1428,'Centro de Custo'!A$2:A$45,'Centro de Custo'!B$2:B$45)</f>
        <v>0</v>
      </c>
      <c r="E1428" s="39"/>
      <c r="F1428" s="40"/>
      <c r="G1428" s="41"/>
      <c r="H1428" s="42">
        <f>YEAR(Tabela3[[#This Row],[Data]])</f>
        <v>1900</v>
      </c>
      <c r="I1428" s="42" t="str">
        <f>_xlfn.XLOOKUP(J1428,'Centro de Custo'!J$2:J$13,'Centro de Custo'!K$2:K$13)</f>
        <v>Janeiro</v>
      </c>
      <c r="J1428" s="43">
        <f>MONTH(Tabela3[[#This Row],[Data]])</f>
        <v>1</v>
      </c>
      <c r="K1428" s="39">
        <f>SUM(E$3:Tabela3[[#This Row],[Valor]])</f>
        <v>4236027.08</v>
      </c>
      <c r="L1428" s="40">
        <f t="shared" si="22"/>
        <v>2.22375</v>
      </c>
      <c r="M1428" s="40"/>
      <c r="N1428" s="40"/>
      <c r="O1428" s="40"/>
      <c r="P1428" s="39"/>
      <c r="Q1428" s="39"/>
      <c r="R1428" s="39"/>
      <c r="S1428" s="39"/>
      <c r="T1428" s="39"/>
      <c r="V1428" t="b">
        <f>IF(Tabela3[[#This Row],[Pago]]&lt;&gt;"",IF(F1429="",Tabela3[[#This Row],[Saldo]],0))</f>
        <v>0</v>
      </c>
    </row>
    <row r="1429" spans="2:22" x14ac:dyDescent="0.25">
      <c r="B1429" s="37"/>
      <c r="C1429">
        <f>_xlfn.XLOOKUP(B1429,'Centro de Custo'!A$2:A$45,'Centro de Custo'!B$2:B$45)</f>
        <v>0</v>
      </c>
      <c r="E1429" s="39"/>
      <c r="F1429" s="40"/>
      <c r="G1429" s="41"/>
      <c r="H1429" s="42">
        <f>YEAR(Tabela3[[#This Row],[Data]])</f>
        <v>1900</v>
      </c>
      <c r="I1429" s="42" t="str">
        <f>_xlfn.XLOOKUP(J1429,'Centro de Custo'!J$2:J$13,'Centro de Custo'!K$2:K$13)</f>
        <v>Janeiro</v>
      </c>
      <c r="J1429" s="43">
        <f>MONTH(Tabela3[[#This Row],[Data]])</f>
        <v>1</v>
      </c>
      <c r="K1429" s="39">
        <f>SUM(E$3:Tabela3[[#This Row],[Valor]])</f>
        <v>4236027.08</v>
      </c>
      <c r="L1429" s="40">
        <f t="shared" si="22"/>
        <v>2.22375</v>
      </c>
      <c r="M1429" s="40"/>
      <c r="N1429" s="40"/>
      <c r="O1429" s="40"/>
      <c r="P1429" s="39"/>
      <c r="Q1429" s="39"/>
      <c r="R1429" s="39"/>
      <c r="S1429" s="39"/>
      <c r="T1429" s="39"/>
      <c r="V1429" t="b">
        <f>IF(Tabela3[[#This Row],[Pago]]&lt;&gt;"",IF(F1430="",Tabela3[[#This Row],[Saldo]],0))</f>
        <v>0</v>
      </c>
    </row>
    <row r="1430" spans="2:22" x14ac:dyDescent="0.25">
      <c r="B1430" s="37"/>
      <c r="C1430">
        <f>_xlfn.XLOOKUP(B1430,'Centro de Custo'!A$2:A$45,'Centro de Custo'!B$2:B$45)</f>
        <v>0</v>
      </c>
      <c r="E1430" s="39"/>
      <c r="F1430" s="40"/>
      <c r="G1430" s="41"/>
      <c r="H1430" s="42">
        <f>YEAR(Tabela3[[#This Row],[Data]])</f>
        <v>1900</v>
      </c>
      <c r="I1430" s="42" t="str">
        <f>_xlfn.XLOOKUP(J1430,'Centro de Custo'!J$2:J$13,'Centro de Custo'!K$2:K$13)</f>
        <v>Janeiro</v>
      </c>
      <c r="J1430" s="43">
        <f>MONTH(Tabela3[[#This Row],[Data]])</f>
        <v>1</v>
      </c>
      <c r="K1430" s="39">
        <f>SUM(E$3:Tabela3[[#This Row],[Valor]])</f>
        <v>4236027.08</v>
      </c>
      <c r="L1430" s="40">
        <f t="shared" si="22"/>
        <v>2.22375</v>
      </c>
      <c r="M1430" s="40"/>
      <c r="N1430" s="40"/>
      <c r="O1430" s="40"/>
      <c r="P1430" s="39"/>
      <c r="Q1430" s="39"/>
      <c r="R1430" s="39"/>
      <c r="S1430" s="39"/>
      <c r="T1430" s="39"/>
      <c r="V1430" t="b">
        <f>IF(Tabela3[[#This Row],[Pago]]&lt;&gt;"",IF(F1431="",Tabela3[[#This Row],[Saldo]],0))</f>
        <v>0</v>
      </c>
    </row>
    <row r="1431" spans="2:22" x14ac:dyDescent="0.25">
      <c r="B1431" s="37"/>
      <c r="C1431">
        <f>_xlfn.XLOOKUP(B1431,'Centro de Custo'!A$2:A$45,'Centro de Custo'!B$2:B$45)</f>
        <v>0</v>
      </c>
      <c r="E1431" s="39"/>
      <c r="F1431" s="40"/>
      <c r="G1431" s="41"/>
      <c r="H1431" s="42">
        <f>YEAR(Tabela3[[#This Row],[Data]])</f>
        <v>1900</v>
      </c>
      <c r="I1431" s="42" t="str">
        <f>_xlfn.XLOOKUP(J1431,'Centro de Custo'!J$2:J$13,'Centro de Custo'!K$2:K$13)</f>
        <v>Janeiro</v>
      </c>
      <c r="J1431" s="43">
        <f>MONTH(Tabela3[[#This Row],[Data]])</f>
        <v>1</v>
      </c>
      <c r="K1431" s="39">
        <f>SUM(E$3:Tabela3[[#This Row],[Valor]])</f>
        <v>4236027.08</v>
      </c>
      <c r="L1431" s="40">
        <f t="shared" si="22"/>
        <v>2.22375</v>
      </c>
      <c r="M1431" s="40"/>
      <c r="N1431" s="40"/>
      <c r="O1431" s="40"/>
      <c r="P1431" s="39"/>
      <c r="Q1431" s="39"/>
      <c r="R1431" s="39"/>
      <c r="S1431" s="39"/>
      <c r="T1431" s="39"/>
      <c r="V1431" t="b">
        <f>IF(Tabela3[[#This Row],[Pago]]&lt;&gt;"",IF(F1432="",Tabela3[[#This Row],[Saldo]],0))</f>
        <v>0</v>
      </c>
    </row>
    <row r="1432" spans="2:22" x14ac:dyDescent="0.25">
      <c r="B1432" s="37"/>
      <c r="C1432">
        <f>_xlfn.XLOOKUP(B1432,'Centro de Custo'!A$2:A$45,'Centro de Custo'!B$2:B$45)</f>
        <v>0</v>
      </c>
      <c r="E1432" s="39"/>
      <c r="F1432" s="40"/>
      <c r="G1432" s="41"/>
      <c r="H1432" s="42">
        <f>YEAR(Tabela3[[#This Row],[Data]])</f>
        <v>1900</v>
      </c>
      <c r="I1432" s="42" t="str">
        <f>_xlfn.XLOOKUP(J1432,'Centro de Custo'!J$2:J$13,'Centro de Custo'!K$2:K$13)</f>
        <v>Janeiro</v>
      </c>
      <c r="J1432" s="43">
        <f>MONTH(Tabela3[[#This Row],[Data]])</f>
        <v>1</v>
      </c>
      <c r="K1432" s="39">
        <f>SUM(E$3:Tabela3[[#This Row],[Valor]])</f>
        <v>4236027.08</v>
      </c>
      <c r="L1432" s="40">
        <f t="shared" si="22"/>
        <v>2.22375</v>
      </c>
      <c r="M1432" s="40"/>
      <c r="N1432" s="40"/>
      <c r="O1432" s="40"/>
      <c r="P1432" s="39"/>
      <c r="Q1432" s="39"/>
      <c r="R1432" s="39"/>
      <c r="S1432" s="39"/>
      <c r="T1432" s="39"/>
      <c r="V1432" t="b">
        <f>IF(Tabela3[[#This Row],[Pago]]&lt;&gt;"",IF(F1433="",Tabela3[[#This Row],[Saldo]],0))</f>
        <v>0</v>
      </c>
    </row>
    <row r="1433" spans="2:22" x14ac:dyDescent="0.25">
      <c r="B1433" s="37"/>
      <c r="C1433">
        <f>_xlfn.XLOOKUP(B1433,'Centro de Custo'!A$2:A$45,'Centro de Custo'!B$2:B$45)</f>
        <v>0</v>
      </c>
      <c r="E1433" s="39"/>
      <c r="F1433" s="40"/>
      <c r="G1433" s="41"/>
      <c r="H1433" s="42">
        <f>YEAR(Tabela3[[#This Row],[Data]])</f>
        <v>1900</v>
      </c>
      <c r="I1433" s="42" t="str">
        <f>_xlfn.XLOOKUP(J1433,'Centro de Custo'!J$2:J$13,'Centro de Custo'!K$2:K$13)</f>
        <v>Janeiro</v>
      </c>
      <c r="J1433" s="43">
        <f>MONTH(Tabela3[[#This Row],[Data]])</f>
        <v>1</v>
      </c>
      <c r="K1433" s="39">
        <f>SUM(E$3:Tabela3[[#This Row],[Valor]])</f>
        <v>4236027.08</v>
      </c>
      <c r="L1433" s="40">
        <f t="shared" si="22"/>
        <v>2.22375</v>
      </c>
      <c r="M1433" s="40"/>
      <c r="N1433" s="40"/>
      <c r="O1433" s="40"/>
      <c r="P1433" s="39"/>
      <c r="Q1433" s="39"/>
      <c r="R1433" s="39"/>
      <c r="S1433" s="39"/>
      <c r="T1433" s="39"/>
      <c r="V1433" t="b">
        <f>IF(Tabela3[[#This Row],[Pago]]&lt;&gt;"",IF(F1434="",Tabela3[[#This Row],[Saldo]],0))</f>
        <v>0</v>
      </c>
    </row>
    <row r="1434" spans="2:22" x14ac:dyDescent="0.25">
      <c r="B1434" s="37"/>
      <c r="C1434">
        <f>_xlfn.XLOOKUP(B1434,'Centro de Custo'!A$2:A$45,'Centro de Custo'!B$2:B$45)</f>
        <v>0</v>
      </c>
      <c r="E1434" s="39"/>
      <c r="F1434" s="40"/>
      <c r="G1434" s="41"/>
      <c r="H1434" s="42">
        <f>YEAR(Tabela3[[#This Row],[Data]])</f>
        <v>1900</v>
      </c>
      <c r="I1434" s="42" t="str">
        <f>_xlfn.XLOOKUP(J1434,'Centro de Custo'!J$2:J$13,'Centro de Custo'!K$2:K$13)</f>
        <v>Janeiro</v>
      </c>
      <c r="J1434" s="43">
        <f>MONTH(Tabela3[[#This Row],[Data]])</f>
        <v>1</v>
      </c>
      <c r="K1434" s="39">
        <f>SUM(E$3:Tabela3[[#This Row],[Valor]])</f>
        <v>4236027.08</v>
      </c>
      <c r="L1434" s="40">
        <f t="shared" si="22"/>
        <v>2.22375</v>
      </c>
      <c r="M1434" s="40"/>
      <c r="N1434" s="40"/>
      <c r="O1434" s="40"/>
      <c r="P1434" s="39"/>
      <c r="Q1434" s="39"/>
      <c r="R1434" s="39"/>
      <c r="S1434" s="39"/>
      <c r="T1434" s="39"/>
      <c r="V1434" t="b">
        <f>IF(Tabela3[[#This Row],[Pago]]&lt;&gt;"",IF(F1435="",Tabela3[[#This Row],[Saldo]],0))</f>
        <v>0</v>
      </c>
    </row>
    <row r="1435" spans="2:22" x14ac:dyDescent="0.25">
      <c r="B1435" s="37"/>
      <c r="C1435">
        <f>_xlfn.XLOOKUP(B1435,'Centro de Custo'!A$2:A$45,'Centro de Custo'!B$2:B$45)</f>
        <v>0</v>
      </c>
      <c r="E1435" s="39"/>
      <c r="F1435" s="40"/>
      <c r="G1435" s="41"/>
      <c r="H1435" s="42">
        <f>YEAR(Tabela3[[#This Row],[Data]])</f>
        <v>1900</v>
      </c>
      <c r="I1435" s="42" t="str">
        <f>_xlfn.XLOOKUP(J1435,'Centro de Custo'!J$2:J$13,'Centro de Custo'!K$2:K$13)</f>
        <v>Janeiro</v>
      </c>
      <c r="J1435" s="43">
        <f>MONTH(Tabela3[[#This Row],[Data]])</f>
        <v>1</v>
      </c>
      <c r="K1435" s="39">
        <f>SUM(E$3:Tabela3[[#This Row],[Valor]])</f>
        <v>4236027.08</v>
      </c>
      <c r="L1435" s="40">
        <f t="shared" si="22"/>
        <v>2.22375</v>
      </c>
      <c r="M1435" s="40"/>
      <c r="N1435" s="40"/>
      <c r="O1435" s="40"/>
      <c r="P1435" s="39"/>
      <c r="Q1435" s="39"/>
      <c r="R1435" s="39"/>
      <c r="S1435" s="39"/>
      <c r="T1435" s="39"/>
      <c r="V1435" t="b">
        <f>IF(Tabela3[[#This Row],[Pago]]&lt;&gt;"",IF(F1436="",Tabela3[[#This Row],[Saldo]],0))</f>
        <v>0</v>
      </c>
    </row>
    <row r="1436" spans="2:22" x14ac:dyDescent="0.25">
      <c r="B1436" s="37"/>
      <c r="C1436">
        <f>_xlfn.XLOOKUP(B1436,'Centro de Custo'!A$2:A$45,'Centro de Custo'!B$2:B$45)</f>
        <v>0</v>
      </c>
      <c r="E1436" s="39"/>
      <c r="F1436" s="40"/>
      <c r="G1436" s="41"/>
      <c r="H1436" s="42">
        <f>YEAR(Tabela3[[#This Row],[Data]])</f>
        <v>1900</v>
      </c>
      <c r="I1436" s="42" t="str">
        <f>_xlfn.XLOOKUP(J1436,'Centro de Custo'!J$2:J$13,'Centro de Custo'!K$2:K$13)</f>
        <v>Janeiro</v>
      </c>
      <c r="J1436" s="43">
        <f>MONTH(Tabela3[[#This Row],[Data]])</f>
        <v>1</v>
      </c>
      <c r="K1436" s="39">
        <f>SUM(E$3:Tabela3[[#This Row],[Valor]])</f>
        <v>4236027.08</v>
      </c>
      <c r="L1436" s="40">
        <f t="shared" si="22"/>
        <v>2.22375</v>
      </c>
      <c r="M1436" s="40"/>
      <c r="N1436" s="40"/>
      <c r="O1436" s="40"/>
      <c r="P1436" s="39"/>
      <c r="Q1436" s="39"/>
      <c r="R1436" s="39"/>
      <c r="S1436" s="39"/>
      <c r="T1436" s="39"/>
      <c r="V1436" t="b">
        <f>IF(Tabela3[[#This Row],[Pago]]&lt;&gt;"",IF(F1437="",Tabela3[[#This Row],[Saldo]],0))</f>
        <v>0</v>
      </c>
    </row>
    <row r="1437" spans="2:22" x14ac:dyDescent="0.25">
      <c r="B1437" s="37"/>
      <c r="C1437">
        <f>_xlfn.XLOOKUP(B1437,'Centro de Custo'!A$2:A$45,'Centro de Custo'!B$2:B$45)</f>
        <v>0</v>
      </c>
      <c r="E1437" s="39"/>
      <c r="F1437" s="40"/>
      <c r="G1437" s="41"/>
      <c r="H1437" s="42">
        <f>YEAR(Tabela3[[#This Row],[Data]])</f>
        <v>1900</v>
      </c>
      <c r="I1437" s="42" t="str">
        <f>_xlfn.XLOOKUP(J1437,'Centro de Custo'!J$2:J$13,'Centro de Custo'!K$2:K$13)</f>
        <v>Janeiro</v>
      </c>
      <c r="J1437" s="43">
        <f>MONTH(Tabela3[[#This Row],[Data]])</f>
        <v>1</v>
      </c>
      <c r="K1437" s="39">
        <f>SUM(E$3:Tabela3[[#This Row],[Valor]])</f>
        <v>4236027.08</v>
      </c>
      <c r="L1437" s="40">
        <f t="shared" si="22"/>
        <v>2.22375</v>
      </c>
      <c r="M1437" s="40"/>
      <c r="N1437" s="40"/>
      <c r="O1437" s="40"/>
      <c r="P1437" s="39"/>
      <c r="Q1437" s="39"/>
      <c r="R1437" s="39"/>
      <c r="S1437" s="39"/>
      <c r="T1437" s="39"/>
      <c r="V1437" t="b">
        <f>IF(Tabela3[[#This Row],[Pago]]&lt;&gt;"",IF(F1438="",Tabela3[[#This Row],[Saldo]],0))</f>
        <v>0</v>
      </c>
    </row>
    <row r="1438" spans="2:22" x14ac:dyDescent="0.25">
      <c r="B1438" s="37"/>
      <c r="C1438">
        <f>_xlfn.XLOOKUP(B1438,'Centro de Custo'!A$2:A$45,'Centro de Custo'!B$2:B$45)</f>
        <v>0</v>
      </c>
      <c r="E1438" s="39"/>
      <c r="F1438" s="40"/>
      <c r="G1438" s="41"/>
      <c r="H1438" s="42">
        <f>YEAR(Tabela3[[#This Row],[Data]])</f>
        <v>1900</v>
      </c>
      <c r="I1438" s="42" t="str">
        <f>_xlfn.XLOOKUP(J1438,'Centro de Custo'!J$2:J$13,'Centro de Custo'!K$2:K$13)</f>
        <v>Janeiro</v>
      </c>
      <c r="J1438" s="43">
        <f>MONTH(Tabela3[[#This Row],[Data]])</f>
        <v>1</v>
      </c>
      <c r="K1438" s="39">
        <f>SUM(E$3:Tabela3[[#This Row],[Valor]])</f>
        <v>4236027.08</v>
      </c>
      <c r="L1438" s="40">
        <f t="shared" si="22"/>
        <v>2.22375</v>
      </c>
      <c r="M1438" s="40"/>
      <c r="N1438" s="40"/>
      <c r="O1438" s="40"/>
      <c r="P1438" s="39"/>
      <c r="Q1438" s="39"/>
      <c r="R1438" s="39"/>
      <c r="S1438" s="39"/>
      <c r="T1438" s="39"/>
      <c r="V1438" t="b">
        <f>IF(Tabela3[[#This Row],[Pago]]&lt;&gt;"",IF(F1439="",Tabela3[[#This Row],[Saldo]],0))</f>
        <v>0</v>
      </c>
    </row>
    <row r="1439" spans="2:22" x14ac:dyDescent="0.25">
      <c r="B1439" s="37"/>
      <c r="C1439">
        <f>_xlfn.XLOOKUP(B1439,'Centro de Custo'!A$2:A$45,'Centro de Custo'!B$2:B$45)</f>
        <v>0</v>
      </c>
      <c r="E1439" s="39"/>
      <c r="F1439" s="40"/>
      <c r="G1439" s="41"/>
      <c r="H1439" s="42">
        <f>YEAR(Tabela3[[#This Row],[Data]])</f>
        <v>1900</v>
      </c>
      <c r="I1439" s="42" t="str">
        <f>_xlfn.XLOOKUP(J1439,'Centro de Custo'!J$2:J$13,'Centro de Custo'!K$2:K$13)</f>
        <v>Janeiro</v>
      </c>
      <c r="J1439" s="43">
        <f>MONTH(Tabela3[[#This Row],[Data]])</f>
        <v>1</v>
      </c>
      <c r="K1439" s="39">
        <f>SUM(E$3:Tabela3[[#This Row],[Valor]])</f>
        <v>4236027.08</v>
      </c>
      <c r="L1439" s="40">
        <f t="shared" si="22"/>
        <v>2.22375</v>
      </c>
      <c r="M1439" s="40"/>
      <c r="N1439" s="40"/>
      <c r="O1439" s="40"/>
      <c r="P1439" s="39"/>
      <c r="Q1439" s="39"/>
      <c r="R1439" s="39"/>
      <c r="S1439" s="39"/>
      <c r="T1439" s="39"/>
      <c r="V1439" t="b">
        <f>IF(Tabela3[[#This Row],[Pago]]&lt;&gt;"",IF(F1440="",Tabela3[[#This Row],[Saldo]],0))</f>
        <v>0</v>
      </c>
    </row>
    <row r="1440" spans="2:22" x14ac:dyDescent="0.25">
      <c r="B1440" s="37"/>
      <c r="C1440">
        <f>_xlfn.XLOOKUP(B1440,'Centro de Custo'!A$2:A$45,'Centro de Custo'!B$2:B$45)</f>
        <v>0</v>
      </c>
      <c r="E1440" s="39"/>
      <c r="F1440" s="40"/>
      <c r="G1440" s="41"/>
      <c r="H1440" s="42">
        <f>YEAR(Tabela3[[#This Row],[Data]])</f>
        <v>1900</v>
      </c>
      <c r="I1440" s="42" t="str">
        <f>_xlfn.XLOOKUP(J1440,'Centro de Custo'!J$2:J$13,'Centro de Custo'!K$2:K$13)</f>
        <v>Janeiro</v>
      </c>
      <c r="J1440" s="43">
        <f>MONTH(Tabela3[[#This Row],[Data]])</f>
        <v>1</v>
      </c>
      <c r="K1440" s="39">
        <f>SUM(E$3:Tabela3[[#This Row],[Valor]])</f>
        <v>4236027.08</v>
      </c>
      <c r="L1440" s="40">
        <f t="shared" si="22"/>
        <v>2.22375</v>
      </c>
      <c r="M1440" s="40"/>
      <c r="N1440" s="40"/>
      <c r="O1440" s="40"/>
      <c r="P1440" s="39"/>
      <c r="Q1440" s="39"/>
      <c r="R1440" s="39"/>
      <c r="S1440" s="39"/>
      <c r="T1440" s="39"/>
      <c r="V1440" t="b">
        <f>IF(Tabela3[[#This Row],[Pago]]&lt;&gt;"",IF(F1441="",Tabela3[[#This Row],[Saldo]],0))</f>
        <v>0</v>
      </c>
    </row>
    <row r="1441" spans="2:22" x14ac:dyDescent="0.25">
      <c r="B1441" s="37"/>
      <c r="C1441">
        <f>_xlfn.XLOOKUP(B1441,'Centro de Custo'!A$2:A$45,'Centro de Custo'!B$2:B$45)</f>
        <v>0</v>
      </c>
      <c r="E1441" s="39"/>
      <c r="F1441" s="40"/>
      <c r="G1441" s="41"/>
      <c r="H1441" s="42">
        <f>YEAR(Tabela3[[#This Row],[Data]])</f>
        <v>1900</v>
      </c>
      <c r="I1441" s="42" t="str">
        <f>_xlfn.XLOOKUP(J1441,'Centro de Custo'!J$2:J$13,'Centro de Custo'!K$2:K$13)</f>
        <v>Janeiro</v>
      </c>
      <c r="J1441" s="43">
        <f>MONTH(Tabela3[[#This Row],[Data]])</f>
        <v>1</v>
      </c>
      <c r="K1441" s="39">
        <f>SUM(E$3:Tabela3[[#This Row],[Valor]])</f>
        <v>4236027.08</v>
      </c>
      <c r="L1441" s="40">
        <f t="shared" si="22"/>
        <v>2.22375</v>
      </c>
      <c r="M1441" s="40"/>
      <c r="N1441" s="40"/>
      <c r="O1441" s="40"/>
      <c r="P1441" s="39"/>
      <c r="Q1441" s="39"/>
      <c r="R1441" s="39"/>
      <c r="S1441" s="39"/>
      <c r="T1441" s="39"/>
      <c r="V1441" t="b">
        <f>IF(Tabela3[[#This Row],[Pago]]&lt;&gt;"",IF(F1442="",Tabela3[[#This Row],[Saldo]],0))</f>
        <v>0</v>
      </c>
    </row>
    <row r="1442" spans="2:22" x14ac:dyDescent="0.25">
      <c r="B1442" s="37"/>
      <c r="C1442">
        <f>_xlfn.XLOOKUP(B1442,'Centro de Custo'!A$2:A$45,'Centro de Custo'!B$2:B$45)</f>
        <v>0</v>
      </c>
      <c r="E1442" s="39"/>
      <c r="F1442" s="40"/>
      <c r="G1442" s="41"/>
      <c r="H1442" s="42">
        <f>YEAR(Tabela3[[#This Row],[Data]])</f>
        <v>1900</v>
      </c>
      <c r="I1442" s="42" t="str">
        <f>_xlfn.XLOOKUP(J1442,'Centro de Custo'!J$2:J$13,'Centro de Custo'!K$2:K$13)</f>
        <v>Janeiro</v>
      </c>
      <c r="J1442" s="43">
        <f>MONTH(Tabela3[[#This Row],[Data]])</f>
        <v>1</v>
      </c>
      <c r="K1442" s="39">
        <f>SUM(E$3:Tabela3[[#This Row],[Valor]])</f>
        <v>4236027.08</v>
      </c>
      <c r="L1442" s="40">
        <f t="shared" si="22"/>
        <v>2.22375</v>
      </c>
      <c r="M1442" s="40"/>
      <c r="N1442" s="40"/>
      <c r="O1442" s="40"/>
      <c r="P1442" s="39"/>
      <c r="Q1442" s="39"/>
      <c r="R1442" s="39"/>
      <c r="S1442" s="39"/>
      <c r="T1442" s="39"/>
      <c r="V1442" t="b">
        <f>IF(Tabela3[[#This Row],[Pago]]&lt;&gt;"",IF(F1443="",Tabela3[[#This Row],[Saldo]],0))</f>
        <v>0</v>
      </c>
    </row>
    <row r="1443" spans="2:22" x14ac:dyDescent="0.25">
      <c r="B1443" s="37"/>
      <c r="C1443">
        <f>_xlfn.XLOOKUP(B1443,'Centro de Custo'!A$2:A$45,'Centro de Custo'!B$2:B$45)</f>
        <v>0</v>
      </c>
      <c r="E1443" s="39"/>
      <c r="F1443" s="40"/>
      <c r="G1443" s="41"/>
      <c r="H1443" s="42">
        <f>YEAR(Tabela3[[#This Row],[Data]])</f>
        <v>1900</v>
      </c>
      <c r="I1443" s="42" t="str">
        <f>_xlfn.XLOOKUP(J1443,'Centro de Custo'!J$2:J$13,'Centro de Custo'!K$2:K$13)</f>
        <v>Janeiro</v>
      </c>
      <c r="J1443" s="43">
        <f>MONTH(Tabela3[[#This Row],[Data]])</f>
        <v>1</v>
      </c>
      <c r="K1443" s="39">
        <f>SUM(E$3:Tabela3[[#This Row],[Valor]])</f>
        <v>4236027.08</v>
      </c>
      <c r="L1443" s="40">
        <f t="shared" si="22"/>
        <v>2.22375</v>
      </c>
      <c r="M1443" s="40"/>
      <c r="N1443" s="40"/>
      <c r="O1443" s="40"/>
      <c r="P1443" s="39"/>
      <c r="Q1443" s="39"/>
      <c r="R1443" s="39"/>
      <c r="S1443" s="39"/>
      <c r="T1443" s="39"/>
      <c r="V1443" t="b">
        <f>IF(Tabela3[[#This Row],[Pago]]&lt;&gt;"",IF(F1444="",Tabela3[[#This Row],[Saldo]],0))</f>
        <v>0</v>
      </c>
    </row>
    <row r="1444" spans="2:22" x14ac:dyDescent="0.25">
      <c r="B1444" s="37"/>
      <c r="C1444">
        <f>_xlfn.XLOOKUP(B1444,'Centro de Custo'!A$2:A$45,'Centro de Custo'!B$2:B$45)</f>
        <v>0</v>
      </c>
      <c r="E1444" s="39"/>
      <c r="F1444" s="40"/>
      <c r="G1444" s="41"/>
      <c r="H1444" s="42">
        <f>YEAR(Tabela3[[#This Row],[Data]])</f>
        <v>1900</v>
      </c>
      <c r="I1444" s="42" t="str">
        <f>_xlfn.XLOOKUP(J1444,'Centro de Custo'!J$2:J$13,'Centro de Custo'!K$2:K$13)</f>
        <v>Janeiro</v>
      </c>
      <c r="J1444" s="43">
        <f>MONTH(Tabela3[[#This Row],[Data]])</f>
        <v>1</v>
      </c>
      <c r="K1444" s="39">
        <f>SUM(E$3:Tabela3[[#This Row],[Valor]])</f>
        <v>4236027.08</v>
      </c>
      <c r="L1444" s="40">
        <f t="shared" si="22"/>
        <v>2.22375</v>
      </c>
      <c r="M1444" s="40"/>
      <c r="N1444" s="40"/>
      <c r="O1444" s="40"/>
      <c r="P1444" s="39"/>
      <c r="Q1444" s="39"/>
      <c r="R1444" s="39"/>
      <c r="S1444" s="39"/>
      <c r="T1444" s="39"/>
      <c r="V1444" t="b">
        <f>IF(Tabela3[[#This Row],[Pago]]&lt;&gt;"",IF(F1445="",Tabela3[[#This Row],[Saldo]],0))</f>
        <v>0</v>
      </c>
    </row>
    <row r="1445" spans="2:22" x14ac:dyDescent="0.25">
      <c r="B1445" s="37"/>
      <c r="C1445">
        <f>_xlfn.XLOOKUP(B1445,'Centro de Custo'!A$2:A$45,'Centro de Custo'!B$2:B$45)</f>
        <v>0</v>
      </c>
      <c r="E1445" s="39"/>
      <c r="F1445" s="40"/>
      <c r="G1445" s="41"/>
      <c r="H1445" s="42">
        <f>YEAR(Tabela3[[#This Row],[Data]])</f>
        <v>1900</v>
      </c>
      <c r="I1445" s="42" t="str">
        <f>_xlfn.XLOOKUP(J1445,'Centro de Custo'!J$2:J$13,'Centro de Custo'!K$2:K$13)</f>
        <v>Janeiro</v>
      </c>
      <c r="J1445" s="43">
        <f>MONTH(Tabela3[[#This Row],[Data]])</f>
        <v>1</v>
      </c>
      <c r="K1445" s="39">
        <f>SUM(E$3:Tabela3[[#This Row],[Valor]])</f>
        <v>4236027.08</v>
      </c>
      <c r="L1445" s="40">
        <f t="shared" si="22"/>
        <v>2.22375</v>
      </c>
      <c r="M1445" s="40"/>
      <c r="N1445" s="40"/>
      <c r="O1445" s="40"/>
      <c r="P1445" s="39"/>
      <c r="Q1445" s="39"/>
      <c r="R1445" s="39"/>
      <c r="S1445" s="39"/>
      <c r="T1445" s="39"/>
      <c r="V1445" t="b">
        <f>IF(Tabela3[[#This Row],[Pago]]&lt;&gt;"",IF(F1446="",Tabela3[[#This Row],[Saldo]],0))</f>
        <v>0</v>
      </c>
    </row>
    <row r="1446" spans="2:22" x14ac:dyDescent="0.25">
      <c r="B1446" s="37"/>
      <c r="C1446">
        <f>_xlfn.XLOOKUP(B1446,'Centro de Custo'!A$2:A$45,'Centro de Custo'!B$2:B$45)</f>
        <v>0</v>
      </c>
      <c r="E1446" s="39"/>
      <c r="F1446" s="40"/>
      <c r="G1446" s="41"/>
      <c r="H1446" s="42">
        <f>YEAR(Tabela3[[#This Row],[Data]])</f>
        <v>1900</v>
      </c>
      <c r="I1446" s="42" t="str">
        <f>_xlfn.XLOOKUP(J1446,'Centro de Custo'!J$2:J$13,'Centro de Custo'!K$2:K$13)</f>
        <v>Janeiro</v>
      </c>
      <c r="J1446" s="43">
        <f>MONTH(Tabela3[[#This Row],[Data]])</f>
        <v>1</v>
      </c>
      <c r="K1446" s="39">
        <f>SUM(E$3:Tabela3[[#This Row],[Valor]])</f>
        <v>4236027.08</v>
      </c>
      <c r="L1446" s="40">
        <f t="shared" si="22"/>
        <v>2.22375</v>
      </c>
      <c r="M1446" s="40"/>
      <c r="N1446" s="40"/>
      <c r="O1446" s="40"/>
      <c r="P1446" s="39"/>
      <c r="Q1446" s="39"/>
      <c r="R1446" s="39"/>
      <c r="S1446" s="39"/>
      <c r="T1446" s="39"/>
      <c r="V1446" t="b">
        <f>IF(Tabela3[[#This Row],[Pago]]&lt;&gt;"",IF(F1447="",Tabela3[[#This Row],[Saldo]],0))</f>
        <v>0</v>
      </c>
    </row>
    <row r="1447" spans="2:22" x14ac:dyDescent="0.25">
      <c r="B1447" s="37"/>
      <c r="C1447">
        <f>_xlfn.XLOOKUP(B1447,'Centro de Custo'!A$2:A$45,'Centro de Custo'!B$2:B$45)</f>
        <v>0</v>
      </c>
      <c r="E1447" s="39"/>
      <c r="F1447" s="40"/>
      <c r="G1447" s="41"/>
      <c r="H1447" s="42">
        <f>YEAR(Tabela3[[#This Row],[Data]])</f>
        <v>1900</v>
      </c>
      <c r="I1447" s="42" t="str">
        <f>_xlfn.XLOOKUP(J1447,'Centro de Custo'!J$2:J$13,'Centro de Custo'!K$2:K$13)</f>
        <v>Janeiro</v>
      </c>
      <c r="J1447" s="43">
        <f>MONTH(Tabela3[[#This Row],[Data]])</f>
        <v>1</v>
      </c>
      <c r="K1447" s="39">
        <f>SUM(E$3:Tabela3[[#This Row],[Valor]])</f>
        <v>4236027.08</v>
      </c>
      <c r="L1447" s="40">
        <f t="shared" si="22"/>
        <v>2.22375</v>
      </c>
      <c r="M1447" s="40"/>
      <c r="N1447" s="40"/>
      <c r="O1447" s="40"/>
      <c r="P1447" s="39"/>
      <c r="Q1447" s="39"/>
      <c r="R1447" s="39"/>
      <c r="S1447" s="39"/>
      <c r="T1447" s="39"/>
      <c r="V1447" t="b">
        <f>IF(Tabela3[[#This Row],[Pago]]&lt;&gt;"",IF(F1448="",Tabela3[[#This Row],[Saldo]],0))</f>
        <v>0</v>
      </c>
    </row>
    <row r="1448" spans="2:22" x14ac:dyDescent="0.25">
      <c r="B1448" s="37"/>
      <c r="C1448">
        <f>_xlfn.XLOOKUP(B1448,'Centro de Custo'!A$2:A$45,'Centro de Custo'!B$2:B$45)</f>
        <v>0</v>
      </c>
      <c r="E1448" s="39"/>
      <c r="F1448" s="40"/>
      <c r="G1448" s="41"/>
      <c r="H1448" s="42">
        <f>YEAR(Tabela3[[#This Row],[Data]])</f>
        <v>1900</v>
      </c>
      <c r="I1448" s="42" t="str">
        <f>_xlfn.XLOOKUP(J1448,'Centro de Custo'!J$2:J$13,'Centro de Custo'!K$2:K$13)</f>
        <v>Janeiro</v>
      </c>
      <c r="J1448" s="43">
        <f>MONTH(Tabela3[[#This Row],[Data]])</f>
        <v>1</v>
      </c>
      <c r="K1448" s="39">
        <f>SUM(E$3:Tabela3[[#This Row],[Valor]])</f>
        <v>4236027.08</v>
      </c>
      <c r="L1448" s="40">
        <f t="shared" si="22"/>
        <v>2.22375</v>
      </c>
      <c r="M1448" s="40"/>
      <c r="N1448" s="40"/>
      <c r="O1448" s="40"/>
      <c r="P1448" s="39"/>
      <c r="Q1448" s="39"/>
      <c r="R1448" s="39"/>
      <c r="S1448" s="39"/>
      <c r="T1448" s="39"/>
      <c r="V1448" t="b">
        <f>IF(Tabela3[[#This Row],[Pago]]&lt;&gt;"",IF(F1449="",Tabela3[[#This Row],[Saldo]],0))</f>
        <v>0</v>
      </c>
    </row>
    <row r="1449" spans="2:22" x14ac:dyDescent="0.25">
      <c r="B1449" s="37"/>
      <c r="C1449">
        <f>_xlfn.XLOOKUP(B1449,'Centro de Custo'!A$2:A$45,'Centro de Custo'!B$2:B$45)</f>
        <v>0</v>
      </c>
      <c r="E1449" s="39"/>
      <c r="F1449" s="40"/>
      <c r="G1449" s="41"/>
      <c r="H1449" s="42">
        <f>YEAR(Tabela3[[#This Row],[Data]])</f>
        <v>1900</v>
      </c>
      <c r="I1449" s="42" t="str">
        <f>_xlfn.XLOOKUP(J1449,'Centro de Custo'!J$2:J$13,'Centro de Custo'!K$2:K$13)</f>
        <v>Janeiro</v>
      </c>
      <c r="J1449" s="43">
        <f>MONTH(Tabela3[[#This Row],[Data]])</f>
        <v>1</v>
      </c>
      <c r="K1449" s="39">
        <f>SUM(E$3:Tabela3[[#This Row],[Valor]])</f>
        <v>4236027.08</v>
      </c>
      <c r="L1449" s="40">
        <f t="shared" si="22"/>
        <v>2.22375</v>
      </c>
      <c r="M1449" s="40"/>
      <c r="N1449" s="40"/>
      <c r="O1449" s="40"/>
      <c r="P1449" s="39"/>
      <c r="Q1449" s="39"/>
      <c r="R1449" s="39"/>
      <c r="S1449" s="39"/>
      <c r="T1449" s="39"/>
      <c r="V1449" t="b">
        <f>IF(Tabela3[[#This Row],[Pago]]&lt;&gt;"",IF(F1450="",Tabela3[[#This Row],[Saldo]],0))</f>
        <v>0</v>
      </c>
    </row>
    <row r="1450" spans="2:22" x14ac:dyDescent="0.25">
      <c r="B1450" s="37"/>
      <c r="C1450">
        <f>_xlfn.XLOOKUP(B1450,'Centro de Custo'!A$2:A$45,'Centro de Custo'!B$2:B$45)</f>
        <v>0</v>
      </c>
      <c r="E1450" s="39"/>
      <c r="F1450" s="40"/>
      <c r="G1450" s="41"/>
      <c r="H1450" s="42">
        <f>YEAR(Tabela3[[#This Row],[Data]])</f>
        <v>1900</v>
      </c>
      <c r="I1450" s="42" t="str">
        <f>_xlfn.XLOOKUP(J1450,'Centro de Custo'!J$2:J$13,'Centro de Custo'!K$2:K$13)</f>
        <v>Janeiro</v>
      </c>
      <c r="J1450" s="43">
        <f>MONTH(Tabela3[[#This Row],[Data]])</f>
        <v>1</v>
      </c>
      <c r="K1450" s="39">
        <f>SUM(E$3:Tabela3[[#This Row],[Valor]])</f>
        <v>4236027.08</v>
      </c>
      <c r="L1450" s="40">
        <f t="shared" si="22"/>
        <v>2.22375</v>
      </c>
      <c r="M1450" s="40"/>
      <c r="N1450" s="40"/>
      <c r="O1450" s="40"/>
      <c r="P1450" s="39"/>
      <c r="Q1450" s="39"/>
      <c r="R1450" s="39"/>
      <c r="S1450" s="39"/>
      <c r="T1450" s="39"/>
      <c r="V1450" t="b">
        <f>IF(Tabela3[[#This Row],[Pago]]&lt;&gt;"",IF(F1451="",Tabela3[[#This Row],[Saldo]],0))</f>
        <v>0</v>
      </c>
    </row>
    <row r="1451" spans="2:22" x14ac:dyDescent="0.25">
      <c r="B1451" s="37"/>
      <c r="C1451">
        <f>_xlfn.XLOOKUP(B1451,'Centro de Custo'!A$2:A$45,'Centro de Custo'!B$2:B$45)</f>
        <v>0</v>
      </c>
      <c r="E1451" s="39"/>
      <c r="F1451" s="40"/>
      <c r="G1451" s="41"/>
      <c r="H1451" s="42">
        <f>YEAR(Tabela3[[#This Row],[Data]])</f>
        <v>1900</v>
      </c>
      <c r="I1451" s="42" t="str">
        <f>_xlfn.XLOOKUP(J1451,'Centro de Custo'!J$2:J$13,'Centro de Custo'!K$2:K$13)</f>
        <v>Janeiro</v>
      </c>
      <c r="J1451" s="43">
        <f>MONTH(Tabela3[[#This Row],[Data]])</f>
        <v>1</v>
      </c>
      <c r="K1451" s="39">
        <f>SUM(E$3:Tabela3[[#This Row],[Valor]])</f>
        <v>4236027.08</v>
      </c>
      <c r="L1451" s="40">
        <f t="shared" si="22"/>
        <v>2.22375</v>
      </c>
      <c r="M1451" s="40"/>
      <c r="N1451" s="40"/>
      <c r="O1451" s="40"/>
      <c r="P1451" s="39"/>
      <c r="Q1451" s="39"/>
      <c r="R1451" s="39"/>
      <c r="S1451" s="39"/>
      <c r="T1451" s="39"/>
      <c r="V1451" t="b">
        <f>IF(Tabela3[[#This Row],[Pago]]&lt;&gt;"",IF(F1452="",Tabela3[[#This Row],[Saldo]],0))</f>
        <v>0</v>
      </c>
    </row>
    <row r="1452" spans="2:22" x14ac:dyDescent="0.25">
      <c r="B1452" s="37"/>
      <c r="C1452">
        <f>_xlfn.XLOOKUP(B1452,'Centro de Custo'!A$2:A$45,'Centro de Custo'!B$2:B$45)</f>
        <v>0</v>
      </c>
      <c r="E1452" s="39"/>
      <c r="F1452" s="40"/>
      <c r="G1452" s="41"/>
      <c r="H1452" s="42">
        <f>YEAR(Tabela3[[#This Row],[Data]])</f>
        <v>1900</v>
      </c>
      <c r="I1452" s="42" t="str">
        <f>_xlfn.XLOOKUP(J1452,'Centro de Custo'!J$2:J$13,'Centro de Custo'!K$2:K$13)</f>
        <v>Janeiro</v>
      </c>
      <c r="J1452" s="43">
        <f>MONTH(Tabela3[[#This Row],[Data]])</f>
        <v>1</v>
      </c>
      <c r="K1452" s="39">
        <f>SUM(E$3:Tabela3[[#This Row],[Valor]])</f>
        <v>4236027.08</v>
      </c>
      <c r="L1452" s="40">
        <f t="shared" si="22"/>
        <v>2.22375</v>
      </c>
      <c r="M1452" s="40"/>
      <c r="N1452" s="40"/>
      <c r="O1452" s="40"/>
      <c r="P1452" s="39"/>
      <c r="Q1452" s="39"/>
      <c r="R1452" s="39"/>
      <c r="S1452" s="39"/>
      <c r="T1452" s="39"/>
      <c r="V1452" t="b">
        <f>IF(Tabela3[[#This Row],[Pago]]&lt;&gt;"",IF(F1453="",Tabela3[[#This Row],[Saldo]],0))</f>
        <v>0</v>
      </c>
    </row>
    <row r="1453" spans="2:22" x14ac:dyDescent="0.25">
      <c r="B1453" s="37"/>
      <c r="C1453">
        <f>_xlfn.XLOOKUP(B1453,'Centro de Custo'!A$2:A$45,'Centro de Custo'!B$2:B$45)</f>
        <v>0</v>
      </c>
      <c r="E1453" s="39"/>
      <c r="F1453" s="40"/>
      <c r="G1453" s="41"/>
      <c r="H1453" s="42">
        <f>YEAR(Tabela3[[#This Row],[Data]])</f>
        <v>1900</v>
      </c>
      <c r="I1453" s="42" t="str">
        <f>_xlfn.XLOOKUP(J1453,'Centro de Custo'!J$2:J$13,'Centro de Custo'!K$2:K$13)</f>
        <v>Janeiro</v>
      </c>
      <c r="J1453" s="43">
        <f>MONTH(Tabela3[[#This Row],[Data]])</f>
        <v>1</v>
      </c>
      <c r="K1453" s="39">
        <f>SUM(E$3:Tabela3[[#This Row],[Valor]])</f>
        <v>4236027.08</v>
      </c>
      <c r="L1453" s="40">
        <f t="shared" si="22"/>
        <v>2.22375</v>
      </c>
      <c r="M1453" s="40"/>
      <c r="N1453" s="40"/>
      <c r="O1453" s="40"/>
      <c r="P1453" s="39"/>
      <c r="Q1453" s="39"/>
      <c r="R1453" s="39"/>
      <c r="S1453" s="39"/>
      <c r="T1453" s="39"/>
      <c r="V1453" t="b">
        <f>IF(Tabela3[[#This Row],[Pago]]&lt;&gt;"",IF(F1454="",Tabela3[[#This Row],[Saldo]],0))</f>
        <v>0</v>
      </c>
    </row>
    <row r="1454" spans="2:22" x14ac:dyDescent="0.25">
      <c r="B1454" s="37"/>
      <c r="C1454">
        <f>_xlfn.XLOOKUP(B1454,'Centro de Custo'!A$2:A$45,'Centro de Custo'!B$2:B$45)</f>
        <v>0</v>
      </c>
      <c r="E1454" s="39"/>
      <c r="F1454" s="40"/>
      <c r="G1454" s="41"/>
      <c r="H1454" s="42">
        <f>YEAR(Tabela3[[#This Row],[Data]])</f>
        <v>1900</v>
      </c>
      <c r="I1454" s="42" t="str">
        <f>_xlfn.XLOOKUP(J1454,'Centro de Custo'!J$2:J$13,'Centro de Custo'!K$2:K$13)</f>
        <v>Janeiro</v>
      </c>
      <c r="J1454" s="43">
        <f>MONTH(Tabela3[[#This Row],[Data]])</f>
        <v>1</v>
      </c>
      <c r="K1454" s="39">
        <f>SUM(E$3:Tabela3[[#This Row],[Valor]])</f>
        <v>4236027.08</v>
      </c>
      <c r="L1454" s="40">
        <f t="shared" si="22"/>
        <v>2.22375</v>
      </c>
      <c r="M1454" s="40"/>
      <c r="N1454" s="40"/>
      <c r="O1454" s="40"/>
      <c r="P1454" s="39"/>
      <c r="Q1454" s="39"/>
      <c r="R1454" s="39"/>
      <c r="S1454" s="39"/>
      <c r="T1454" s="39"/>
      <c r="V1454" t="b">
        <f>IF(Tabela3[[#This Row],[Pago]]&lt;&gt;"",IF(F1455="",Tabela3[[#This Row],[Saldo]],0))</f>
        <v>0</v>
      </c>
    </row>
    <row r="1455" spans="2:22" x14ac:dyDescent="0.25">
      <c r="B1455" s="37"/>
      <c r="C1455">
        <f>_xlfn.XLOOKUP(B1455,'Centro de Custo'!A$2:A$45,'Centro de Custo'!B$2:B$45)</f>
        <v>0</v>
      </c>
      <c r="E1455" s="39"/>
      <c r="F1455" s="40"/>
      <c r="G1455" s="41"/>
      <c r="H1455" s="42">
        <f>YEAR(Tabela3[[#This Row],[Data]])</f>
        <v>1900</v>
      </c>
      <c r="I1455" s="42" t="str">
        <f>_xlfn.XLOOKUP(J1455,'Centro de Custo'!J$2:J$13,'Centro de Custo'!K$2:K$13)</f>
        <v>Janeiro</v>
      </c>
      <c r="J1455" s="43">
        <f>MONTH(Tabela3[[#This Row],[Data]])</f>
        <v>1</v>
      </c>
      <c r="K1455" s="39">
        <f>SUM(E$3:Tabela3[[#This Row],[Valor]])</f>
        <v>4236027.08</v>
      </c>
      <c r="L1455" s="40">
        <f t="shared" si="22"/>
        <v>2.22375</v>
      </c>
      <c r="M1455" s="40"/>
      <c r="N1455" s="40"/>
      <c r="O1455" s="40"/>
      <c r="P1455" s="39"/>
      <c r="Q1455" s="39"/>
      <c r="R1455" s="39"/>
      <c r="S1455" s="39"/>
      <c r="T1455" s="39"/>
      <c r="V1455" t="b">
        <f>IF(Tabela3[[#This Row],[Pago]]&lt;&gt;"",IF(F1456="",Tabela3[[#This Row],[Saldo]],0))</f>
        <v>0</v>
      </c>
    </row>
    <row r="1456" spans="2:22" x14ac:dyDescent="0.25">
      <c r="B1456" s="37"/>
      <c r="C1456">
        <f>_xlfn.XLOOKUP(B1456,'Centro de Custo'!A$2:A$45,'Centro de Custo'!B$2:B$45)</f>
        <v>0</v>
      </c>
      <c r="E1456" s="39"/>
      <c r="F1456" s="40"/>
      <c r="G1456" s="41"/>
      <c r="H1456" s="42">
        <f>YEAR(Tabela3[[#This Row],[Data]])</f>
        <v>1900</v>
      </c>
      <c r="I1456" s="42" t="str">
        <f>_xlfn.XLOOKUP(J1456,'Centro de Custo'!J$2:J$13,'Centro de Custo'!K$2:K$13)</f>
        <v>Janeiro</v>
      </c>
      <c r="J1456" s="43">
        <f>MONTH(Tabela3[[#This Row],[Data]])</f>
        <v>1</v>
      </c>
      <c r="K1456" s="39">
        <f>SUM(E$3:Tabela3[[#This Row],[Valor]])</f>
        <v>4236027.08</v>
      </c>
      <c r="L1456" s="40">
        <f t="shared" si="22"/>
        <v>2.22375</v>
      </c>
      <c r="M1456" s="40"/>
      <c r="N1456" s="40"/>
      <c r="O1456" s="40"/>
      <c r="P1456" s="39"/>
      <c r="Q1456" s="39"/>
      <c r="R1456" s="39"/>
      <c r="S1456" s="39"/>
      <c r="T1456" s="39"/>
      <c r="V1456" t="b">
        <f>IF(Tabela3[[#This Row],[Pago]]&lt;&gt;"",IF(F1457="",Tabela3[[#This Row],[Saldo]],0))</f>
        <v>0</v>
      </c>
    </row>
    <row r="1457" spans="2:22" x14ac:dyDescent="0.25">
      <c r="B1457" s="37"/>
      <c r="C1457">
        <f>_xlfn.XLOOKUP(B1457,'Centro de Custo'!A$2:A$45,'Centro de Custo'!B$2:B$45)</f>
        <v>0</v>
      </c>
      <c r="E1457" s="39"/>
      <c r="F1457" s="40"/>
      <c r="G1457" s="41"/>
      <c r="H1457" s="42">
        <f>YEAR(Tabela3[[#This Row],[Data]])</f>
        <v>1900</v>
      </c>
      <c r="I1457" s="42" t="str">
        <f>_xlfn.XLOOKUP(J1457,'Centro de Custo'!J$2:J$13,'Centro de Custo'!K$2:K$13)</f>
        <v>Janeiro</v>
      </c>
      <c r="J1457" s="43">
        <f>MONTH(Tabela3[[#This Row],[Data]])</f>
        <v>1</v>
      </c>
      <c r="K1457" s="39">
        <f>SUM(E$3:Tabela3[[#This Row],[Valor]])</f>
        <v>4236027.08</v>
      </c>
      <c r="L1457" s="40">
        <f t="shared" si="22"/>
        <v>2.22375</v>
      </c>
      <c r="M1457" s="40"/>
      <c r="N1457" s="40"/>
      <c r="O1457" s="40"/>
      <c r="P1457" s="39"/>
      <c r="Q1457" s="39"/>
      <c r="R1457" s="39"/>
      <c r="S1457" s="39"/>
      <c r="T1457" s="39"/>
      <c r="V1457" t="b">
        <f>IF(Tabela3[[#This Row],[Pago]]&lt;&gt;"",IF(F1458="",Tabela3[[#This Row],[Saldo]],0))</f>
        <v>0</v>
      </c>
    </row>
    <row r="1458" spans="2:22" x14ac:dyDescent="0.25">
      <c r="B1458" s="37"/>
      <c r="C1458">
        <f>_xlfn.XLOOKUP(B1458,'Centro de Custo'!A$2:A$45,'Centro de Custo'!B$2:B$45)</f>
        <v>0</v>
      </c>
      <c r="E1458" s="39"/>
      <c r="F1458" s="40"/>
      <c r="G1458" s="41"/>
      <c r="H1458" s="42">
        <f>YEAR(Tabela3[[#This Row],[Data]])</f>
        <v>1900</v>
      </c>
      <c r="I1458" s="42" t="str">
        <f>_xlfn.XLOOKUP(J1458,'Centro de Custo'!J$2:J$13,'Centro de Custo'!K$2:K$13)</f>
        <v>Janeiro</v>
      </c>
      <c r="J1458" s="43">
        <f>MONTH(Tabela3[[#This Row],[Data]])</f>
        <v>1</v>
      </c>
      <c r="K1458" s="39">
        <f>SUM(E$3:Tabela3[[#This Row],[Valor]])</f>
        <v>4236027.08</v>
      </c>
      <c r="L1458" s="40">
        <f t="shared" si="22"/>
        <v>2.22375</v>
      </c>
      <c r="M1458" s="40"/>
      <c r="N1458" s="40"/>
      <c r="O1458" s="40"/>
      <c r="P1458" s="39"/>
      <c r="Q1458" s="39"/>
      <c r="R1458" s="39"/>
      <c r="S1458" s="39"/>
      <c r="T1458" s="39"/>
      <c r="V1458" t="b">
        <f>IF(Tabela3[[#This Row],[Pago]]&lt;&gt;"",IF(F1459="",Tabela3[[#This Row],[Saldo]],0))</f>
        <v>0</v>
      </c>
    </row>
    <row r="1459" spans="2:22" x14ac:dyDescent="0.25">
      <c r="B1459" s="37"/>
      <c r="C1459">
        <f>_xlfn.XLOOKUP(B1459,'Centro de Custo'!A$2:A$45,'Centro de Custo'!B$2:B$45)</f>
        <v>0</v>
      </c>
      <c r="E1459" s="39"/>
      <c r="F1459" s="40"/>
      <c r="G1459" s="41"/>
      <c r="H1459" s="42">
        <f>YEAR(Tabela3[[#This Row],[Data]])</f>
        <v>1900</v>
      </c>
      <c r="I1459" s="42" t="str">
        <f>_xlfn.XLOOKUP(J1459,'Centro de Custo'!J$2:J$13,'Centro de Custo'!K$2:K$13)</f>
        <v>Janeiro</v>
      </c>
      <c r="J1459" s="43">
        <f>MONTH(Tabela3[[#This Row],[Data]])</f>
        <v>1</v>
      </c>
      <c r="K1459" s="39">
        <f>SUM(E$3:Tabela3[[#This Row],[Valor]])</f>
        <v>4236027.08</v>
      </c>
      <c r="L1459" s="40">
        <f t="shared" si="22"/>
        <v>2.22375</v>
      </c>
      <c r="M1459" s="40"/>
      <c r="N1459" s="40"/>
      <c r="O1459" s="40"/>
      <c r="P1459" s="39"/>
      <c r="Q1459" s="39"/>
      <c r="R1459" s="39"/>
      <c r="S1459" s="39"/>
      <c r="T1459" s="39"/>
      <c r="V1459" t="b">
        <f>IF(Tabela3[[#This Row],[Pago]]&lt;&gt;"",IF(F1460="",Tabela3[[#This Row],[Saldo]],0))</f>
        <v>0</v>
      </c>
    </row>
    <row r="1460" spans="2:22" x14ac:dyDescent="0.25">
      <c r="B1460" s="37"/>
      <c r="C1460">
        <f>_xlfn.XLOOKUP(B1460,'Centro de Custo'!A$2:A$45,'Centro de Custo'!B$2:B$45)</f>
        <v>0</v>
      </c>
      <c r="E1460" s="39"/>
      <c r="F1460" s="40"/>
      <c r="G1460" s="41"/>
      <c r="H1460" s="42">
        <f>YEAR(Tabela3[[#This Row],[Data]])</f>
        <v>1900</v>
      </c>
      <c r="I1460" s="42" t="str">
        <f>_xlfn.XLOOKUP(J1460,'Centro de Custo'!J$2:J$13,'Centro de Custo'!K$2:K$13)</f>
        <v>Janeiro</v>
      </c>
      <c r="J1460" s="43">
        <f>MONTH(Tabela3[[#This Row],[Data]])</f>
        <v>1</v>
      </c>
      <c r="K1460" s="39">
        <f>SUM(E$3:Tabela3[[#This Row],[Valor]])</f>
        <v>4236027.08</v>
      </c>
      <c r="L1460" s="40">
        <f t="shared" si="22"/>
        <v>2.22375</v>
      </c>
      <c r="M1460" s="40"/>
      <c r="N1460" s="40"/>
      <c r="O1460" s="40"/>
      <c r="P1460" s="39"/>
      <c r="Q1460" s="39"/>
      <c r="R1460" s="39"/>
      <c r="S1460" s="39"/>
      <c r="T1460" s="39"/>
      <c r="V1460" t="b">
        <f>IF(Tabela3[[#This Row],[Pago]]&lt;&gt;"",IF(F1461="",Tabela3[[#This Row],[Saldo]],0))</f>
        <v>0</v>
      </c>
    </row>
    <row r="1461" spans="2:22" x14ac:dyDescent="0.25">
      <c r="B1461" s="37"/>
      <c r="C1461">
        <f>_xlfn.XLOOKUP(B1461,'Centro de Custo'!A$2:A$45,'Centro de Custo'!B$2:B$45)</f>
        <v>0</v>
      </c>
      <c r="E1461" s="39"/>
      <c r="F1461" s="40"/>
      <c r="G1461" s="41"/>
      <c r="H1461" s="42">
        <f>YEAR(Tabela3[[#This Row],[Data]])</f>
        <v>1900</v>
      </c>
      <c r="I1461" s="42" t="str">
        <f>_xlfn.XLOOKUP(J1461,'Centro de Custo'!J$2:J$13,'Centro de Custo'!K$2:K$13)</f>
        <v>Janeiro</v>
      </c>
      <c r="J1461" s="43">
        <f>MONTH(Tabela3[[#This Row],[Data]])</f>
        <v>1</v>
      </c>
      <c r="K1461" s="39">
        <f>SUM(E$3:Tabela3[[#This Row],[Valor]])</f>
        <v>4236027.08</v>
      </c>
      <c r="L1461" s="40">
        <f t="shared" si="22"/>
        <v>2.22375</v>
      </c>
      <c r="M1461" s="40"/>
      <c r="N1461" s="40"/>
      <c r="O1461" s="40"/>
      <c r="P1461" s="39"/>
      <c r="Q1461" s="39"/>
      <c r="R1461" s="39"/>
      <c r="S1461" s="39"/>
      <c r="T1461" s="39"/>
      <c r="V1461" t="b">
        <f>IF(Tabela3[[#This Row],[Pago]]&lt;&gt;"",IF(F1462="",Tabela3[[#This Row],[Saldo]],0))</f>
        <v>0</v>
      </c>
    </row>
    <row r="1462" spans="2:22" x14ac:dyDescent="0.25">
      <c r="B1462" s="37"/>
      <c r="C1462">
        <f>_xlfn.XLOOKUP(B1462,'Centro de Custo'!A$2:A$45,'Centro de Custo'!B$2:B$45)</f>
        <v>0</v>
      </c>
      <c r="E1462" s="39"/>
      <c r="F1462" s="40"/>
      <c r="G1462" s="41"/>
      <c r="H1462" s="42">
        <f>YEAR(Tabela3[[#This Row],[Data]])</f>
        <v>1900</v>
      </c>
      <c r="I1462" s="42" t="str">
        <f>_xlfn.XLOOKUP(J1462,'Centro de Custo'!J$2:J$13,'Centro de Custo'!K$2:K$13)</f>
        <v>Janeiro</v>
      </c>
      <c r="J1462" s="43">
        <f>MONTH(Tabela3[[#This Row],[Data]])</f>
        <v>1</v>
      </c>
      <c r="K1462" s="39">
        <f>SUM(E$3:Tabela3[[#This Row],[Valor]])</f>
        <v>4236027.08</v>
      </c>
      <c r="L1462" s="40">
        <f t="shared" si="22"/>
        <v>2.22375</v>
      </c>
      <c r="M1462" s="40"/>
      <c r="N1462" s="40"/>
      <c r="O1462" s="40"/>
      <c r="P1462" s="39"/>
      <c r="Q1462" s="39"/>
      <c r="R1462" s="39"/>
      <c r="S1462" s="39"/>
      <c r="T1462" s="39"/>
      <c r="V1462" t="b">
        <f>IF(Tabela3[[#This Row],[Pago]]&lt;&gt;"",IF(F1463="",Tabela3[[#This Row],[Saldo]],0))</f>
        <v>0</v>
      </c>
    </row>
    <row r="1463" spans="2:22" x14ac:dyDescent="0.25">
      <c r="B1463" s="37"/>
      <c r="C1463">
        <f>_xlfn.XLOOKUP(B1463,'Centro de Custo'!A$2:A$45,'Centro de Custo'!B$2:B$45)</f>
        <v>0</v>
      </c>
      <c r="E1463" s="39"/>
      <c r="F1463" s="40"/>
      <c r="G1463" s="41"/>
      <c r="H1463" s="42">
        <f>YEAR(Tabela3[[#This Row],[Data]])</f>
        <v>1900</v>
      </c>
      <c r="I1463" s="42" t="str">
        <f>_xlfn.XLOOKUP(J1463,'Centro de Custo'!J$2:J$13,'Centro de Custo'!K$2:K$13)</f>
        <v>Janeiro</v>
      </c>
      <c r="J1463" s="43">
        <f>MONTH(Tabela3[[#This Row],[Data]])</f>
        <v>1</v>
      </c>
      <c r="K1463" s="39">
        <f>SUM(E$3:Tabela3[[#This Row],[Valor]])</f>
        <v>4236027.08</v>
      </c>
      <c r="L1463" s="40">
        <f t="shared" si="22"/>
        <v>2.22375</v>
      </c>
      <c r="M1463" s="40"/>
      <c r="N1463" s="40"/>
      <c r="O1463" s="40"/>
      <c r="P1463" s="39"/>
      <c r="Q1463" s="39"/>
      <c r="R1463" s="39"/>
      <c r="S1463" s="39"/>
      <c r="T1463" s="39"/>
      <c r="V1463" t="b">
        <f>IF(Tabela3[[#This Row],[Pago]]&lt;&gt;"",IF(F1464="",Tabela3[[#This Row],[Saldo]],0))</f>
        <v>0</v>
      </c>
    </row>
    <row r="1464" spans="2:22" x14ac:dyDescent="0.25">
      <c r="B1464" s="37"/>
      <c r="C1464">
        <f>_xlfn.XLOOKUP(B1464,'Centro de Custo'!A$2:A$45,'Centro de Custo'!B$2:B$45)</f>
        <v>0</v>
      </c>
      <c r="E1464" s="39"/>
      <c r="F1464" s="40"/>
      <c r="G1464" s="41"/>
      <c r="H1464" s="42">
        <f>YEAR(Tabela3[[#This Row],[Data]])</f>
        <v>1900</v>
      </c>
      <c r="I1464" s="42" t="str">
        <f>_xlfn.XLOOKUP(J1464,'Centro de Custo'!J$2:J$13,'Centro de Custo'!K$2:K$13)</f>
        <v>Janeiro</v>
      </c>
      <c r="J1464" s="43">
        <f>MONTH(Tabela3[[#This Row],[Data]])</f>
        <v>1</v>
      </c>
      <c r="K1464" s="39">
        <f>SUM(E$3:Tabela3[[#This Row],[Valor]])</f>
        <v>4236027.08</v>
      </c>
      <c r="L1464" s="40">
        <f t="shared" si="22"/>
        <v>2.22375</v>
      </c>
      <c r="M1464" s="40"/>
      <c r="N1464" s="40"/>
      <c r="O1464" s="40"/>
      <c r="P1464" s="39"/>
      <c r="Q1464" s="39"/>
      <c r="R1464" s="39"/>
      <c r="S1464" s="39"/>
      <c r="T1464" s="39"/>
      <c r="V1464" t="b">
        <f>IF(Tabela3[[#This Row],[Pago]]&lt;&gt;"",IF(F1465="",Tabela3[[#This Row],[Saldo]],0))</f>
        <v>0</v>
      </c>
    </row>
    <row r="1465" spans="2:22" x14ac:dyDescent="0.25">
      <c r="B1465" s="37"/>
      <c r="C1465">
        <f>_xlfn.XLOOKUP(B1465,'Centro de Custo'!A$2:A$45,'Centro de Custo'!B$2:B$45)</f>
        <v>0</v>
      </c>
      <c r="E1465" s="39"/>
      <c r="F1465" s="40"/>
      <c r="G1465" s="41"/>
      <c r="H1465" s="42">
        <f>YEAR(Tabela3[[#This Row],[Data]])</f>
        <v>1900</v>
      </c>
      <c r="I1465" s="42" t="str">
        <f>_xlfn.XLOOKUP(J1465,'Centro de Custo'!J$2:J$13,'Centro de Custo'!K$2:K$13)</f>
        <v>Janeiro</v>
      </c>
      <c r="J1465" s="43">
        <f>MONTH(Tabela3[[#This Row],[Data]])</f>
        <v>1</v>
      </c>
      <c r="K1465" s="39">
        <f>SUM(E$3:Tabela3[[#This Row],[Valor]])</f>
        <v>4236027.08</v>
      </c>
      <c r="L1465" s="40">
        <f t="shared" si="22"/>
        <v>2.22375</v>
      </c>
      <c r="M1465" s="40"/>
      <c r="N1465" s="40"/>
      <c r="O1465" s="40"/>
      <c r="P1465" s="39"/>
      <c r="Q1465" s="39"/>
      <c r="R1465" s="39"/>
      <c r="S1465" s="39"/>
      <c r="T1465" s="39"/>
      <c r="V1465" t="b">
        <f>IF(Tabela3[[#This Row],[Pago]]&lt;&gt;"",IF(F1466="",Tabela3[[#This Row],[Saldo]],0))</f>
        <v>0</v>
      </c>
    </row>
    <row r="1466" spans="2:22" x14ac:dyDescent="0.25">
      <c r="B1466" s="37"/>
      <c r="C1466">
        <f>_xlfn.XLOOKUP(B1466,'Centro de Custo'!A$2:A$45,'Centro de Custo'!B$2:B$45)</f>
        <v>0</v>
      </c>
      <c r="E1466" s="39"/>
      <c r="F1466" s="40"/>
      <c r="G1466" s="41"/>
      <c r="H1466" s="42">
        <f>YEAR(Tabela3[[#This Row],[Data]])</f>
        <v>1900</v>
      </c>
      <c r="I1466" s="42" t="str">
        <f>_xlfn.XLOOKUP(J1466,'Centro de Custo'!J$2:J$13,'Centro de Custo'!K$2:K$13)</f>
        <v>Janeiro</v>
      </c>
      <c r="J1466" s="43">
        <f>MONTH(Tabela3[[#This Row],[Data]])</f>
        <v>1</v>
      </c>
      <c r="K1466" s="39">
        <f>SUM(E$3:Tabela3[[#This Row],[Valor]])</f>
        <v>4236027.08</v>
      </c>
      <c r="L1466" s="40">
        <f t="shared" si="22"/>
        <v>2.22375</v>
      </c>
      <c r="M1466" s="40"/>
      <c r="N1466" s="40"/>
      <c r="O1466" s="40"/>
      <c r="P1466" s="39"/>
      <c r="Q1466" s="39"/>
      <c r="R1466" s="39"/>
      <c r="S1466" s="39"/>
      <c r="T1466" s="39"/>
      <c r="V1466" t="b">
        <f>IF(Tabela3[[#This Row],[Pago]]&lt;&gt;"",IF(F1467="",Tabela3[[#This Row],[Saldo]],0))</f>
        <v>0</v>
      </c>
    </row>
    <row r="1467" spans="2:22" x14ac:dyDescent="0.25">
      <c r="B1467" s="37"/>
      <c r="C1467">
        <f>_xlfn.XLOOKUP(B1467,'Centro de Custo'!A$2:A$45,'Centro de Custo'!B$2:B$45)</f>
        <v>0</v>
      </c>
      <c r="E1467" s="39"/>
      <c r="F1467" s="40"/>
      <c r="G1467" s="41"/>
      <c r="H1467" s="42">
        <f>YEAR(Tabela3[[#This Row],[Data]])</f>
        <v>1900</v>
      </c>
      <c r="I1467" s="42" t="str">
        <f>_xlfn.XLOOKUP(J1467,'Centro de Custo'!J$2:J$13,'Centro de Custo'!K$2:K$13)</f>
        <v>Janeiro</v>
      </c>
      <c r="J1467" s="43">
        <f>MONTH(Tabela3[[#This Row],[Data]])</f>
        <v>1</v>
      </c>
      <c r="K1467" s="39">
        <f>SUM(E$3:Tabela3[[#This Row],[Valor]])</f>
        <v>4236027.08</v>
      </c>
      <c r="L1467" s="40">
        <f t="shared" si="22"/>
        <v>2.22375</v>
      </c>
      <c r="M1467" s="40"/>
      <c r="N1467" s="40"/>
      <c r="O1467" s="40"/>
      <c r="P1467" s="39"/>
      <c r="Q1467" s="39"/>
      <c r="R1467" s="39"/>
      <c r="S1467" s="39"/>
      <c r="T1467" s="39"/>
      <c r="V1467" t="b">
        <f>IF(Tabela3[[#This Row],[Pago]]&lt;&gt;"",IF(F1468="",Tabela3[[#This Row],[Saldo]],0))</f>
        <v>0</v>
      </c>
    </row>
    <row r="1468" spans="2:22" x14ac:dyDescent="0.25">
      <c r="B1468" s="37"/>
      <c r="C1468">
        <f>_xlfn.XLOOKUP(B1468,'Centro de Custo'!A$2:A$45,'Centro de Custo'!B$2:B$45)</f>
        <v>0</v>
      </c>
      <c r="E1468" s="39"/>
      <c r="F1468" s="40"/>
      <c r="G1468" s="41"/>
      <c r="H1468" s="42">
        <f>YEAR(Tabela3[[#This Row],[Data]])</f>
        <v>1900</v>
      </c>
      <c r="I1468" s="42" t="str">
        <f>_xlfn.XLOOKUP(J1468,'Centro de Custo'!J$2:J$13,'Centro de Custo'!K$2:K$13)</f>
        <v>Janeiro</v>
      </c>
      <c r="J1468" s="43">
        <f>MONTH(Tabela3[[#This Row],[Data]])</f>
        <v>1</v>
      </c>
      <c r="K1468" s="39">
        <f>SUM(E$3:Tabela3[[#This Row],[Valor]])</f>
        <v>4236027.08</v>
      </c>
      <c r="L1468" s="40">
        <f t="shared" si="22"/>
        <v>2.22375</v>
      </c>
      <c r="M1468" s="40"/>
      <c r="N1468" s="40"/>
      <c r="O1468" s="40"/>
      <c r="P1468" s="39"/>
      <c r="Q1468" s="39"/>
      <c r="R1468" s="39"/>
      <c r="S1468" s="39"/>
      <c r="T1468" s="39"/>
      <c r="V1468" t="b">
        <f>IF(Tabela3[[#This Row],[Pago]]&lt;&gt;"",IF(F1469="",Tabela3[[#This Row],[Saldo]],0))</f>
        <v>0</v>
      </c>
    </row>
    <row r="1469" spans="2:22" x14ac:dyDescent="0.25">
      <c r="B1469" s="37"/>
      <c r="C1469">
        <f>_xlfn.XLOOKUP(B1469,'Centro de Custo'!A$2:A$45,'Centro de Custo'!B$2:B$45)</f>
        <v>0</v>
      </c>
      <c r="E1469" s="39"/>
      <c r="F1469" s="40"/>
      <c r="G1469" s="41"/>
      <c r="H1469" s="42">
        <f>YEAR(Tabela3[[#This Row],[Data]])</f>
        <v>1900</v>
      </c>
      <c r="I1469" s="42" t="str">
        <f>_xlfn.XLOOKUP(J1469,'Centro de Custo'!J$2:J$13,'Centro de Custo'!K$2:K$13)</f>
        <v>Janeiro</v>
      </c>
      <c r="J1469" s="43">
        <f>MONTH(Tabela3[[#This Row],[Data]])</f>
        <v>1</v>
      </c>
      <c r="K1469" s="39">
        <f>SUM(E$3:Tabela3[[#This Row],[Valor]])</f>
        <v>4236027.08</v>
      </c>
      <c r="L1469" s="40">
        <f t="shared" si="22"/>
        <v>2.22375</v>
      </c>
      <c r="M1469" s="40"/>
      <c r="N1469" s="40"/>
      <c r="O1469" s="40"/>
      <c r="P1469" s="39"/>
      <c r="Q1469" s="39"/>
      <c r="R1469" s="39"/>
      <c r="S1469" s="39"/>
      <c r="T1469" s="39"/>
      <c r="V1469" t="b">
        <f>IF(Tabela3[[#This Row],[Pago]]&lt;&gt;"",IF(F1470="",Tabela3[[#This Row],[Saldo]],0))</f>
        <v>0</v>
      </c>
    </row>
    <row r="1470" spans="2:22" x14ac:dyDescent="0.25">
      <c r="B1470" s="37"/>
      <c r="C1470">
        <f>_xlfn.XLOOKUP(B1470,'Centro de Custo'!A$2:A$45,'Centro de Custo'!B$2:B$45)</f>
        <v>0</v>
      </c>
      <c r="E1470" s="39"/>
      <c r="F1470" s="40"/>
      <c r="G1470" s="41"/>
      <c r="H1470" s="42">
        <f>YEAR(Tabela3[[#This Row],[Data]])</f>
        <v>1900</v>
      </c>
      <c r="I1470" s="42" t="str">
        <f>_xlfn.XLOOKUP(J1470,'Centro de Custo'!J$2:J$13,'Centro de Custo'!K$2:K$13)</f>
        <v>Janeiro</v>
      </c>
      <c r="J1470" s="43">
        <f>MONTH(Tabela3[[#This Row],[Data]])</f>
        <v>1</v>
      </c>
      <c r="K1470" s="39">
        <f>SUM(E$3:Tabela3[[#This Row],[Valor]])</f>
        <v>4236027.08</v>
      </c>
      <c r="L1470" s="40">
        <f t="shared" si="22"/>
        <v>2.22375</v>
      </c>
      <c r="M1470" s="40"/>
      <c r="N1470" s="40"/>
      <c r="O1470" s="40"/>
      <c r="P1470" s="39"/>
      <c r="Q1470" s="39"/>
      <c r="R1470" s="39"/>
      <c r="S1470" s="39"/>
      <c r="T1470" s="39"/>
      <c r="V1470" t="b">
        <f>IF(Tabela3[[#This Row],[Pago]]&lt;&gt;"",IF(F1471="",Tabela3[[#This Row],[Saldo]],0))</f>
        <v>0</v>
      </c>
    </row>
    <row r="1471" spans="2:22" x14ac:dyDescent="0.25">
      <c r="B1471" s="37"/>
      <c r="C1471">
        <f>_xlfn.XLOOKUP(B1471,'Centro de Custo'!A$2:A$45,'Centro de Custo'!B$2:B$45)</f>
        <v>0</v>
      </c>
      <c r="E1471" s="39"/>
      <c r="F1471" s="40"/>
      <c r="G1471" s="41"/>
      <c r="H1471" s="42">
        <f>YEAR(Tabela3[[#This Row],[Data]])</f>
        <v>1900</v>
      </c>
      <c r="I1471" s="42" t="str">
        <f>_xlfn.XLOOKUP(J1471,'Centro de Custo'!J$2:J$13,'Centro de Custo'!K$2:K$13)</f>
        <v>Janeiro</v>
      </c>
      <c r="J1471" s="43">
        <f>MONTH(Tabela3[[#This Row],[Data]])</f>
        <v>1</v>
      </c>
      <c r="K1471" s="39">
        <f>SUM(E$3:Tabela3[[#This Row],[Valor]])</f>
        <v>4236027.08</v>
      </c>
      <c r="L1471" s="40">
        <f t="shared" si="22"/>
        <v>2.22375</v>
      </c>
      <c r="M1471" s="40"/>
      <c r="N1471" s="40"/>
      <c r="O1471" s="40"/>
      <c r="P1471" s="39"/>
      <c r="Q1471" s="39"/>
      <c r="R1471" s="39"/>
      <c r="S1471" s="39"/>
      <c r="T1471" s="39"/>
      <c r="V1471" t="b">
        <f>IF(Tabela3[[#This Row],[Pago]]&lt;&gt;"",IF(F1472="",Tabela3[[#This Row],[Saldo]],0))</f>
        <v>0</v>
      </c>
    </row>
    <row r="1472" spans="2:22" x14ac:dyDescent="0.25">
      <c r="B1472" s="37"/>
      <c r="C1472">
        <f>_xlfn.XLOOKUP(B1472,'Centro de Custo'!A$2:A$45,'Centro de Custo'!B$2:B$45)</f>
        <v>0</v>
      </c>
      <c r="E1472" s="39"/>
      <c r="F1472" s="40"/>
      <c r="G1472" s="41"/>
      <c r="H1472" s="42">
        <f>YEAR(Tabela3[[#This Row],[Data]])</f>
        <v>1900</v>
      </c>
      <c r="I1472" s="42" t="str">
        <f>_xlfn.XLOOKUP(J1472,'Centro de Custo'!J$2:J$13,'Centro de Custo'!K$2:K$13)</f>
        <v>Janeiro</v>
      </c>
      <c r="J1472" s="43">
        <f>MONTH(Tabela3[[#This Row],[Data]])</f>
        <v>1</v>
      </c>
      <c r="K1472" s="39">
        <f>SUM(E$3:Tabela3[[#This Row],[Valor]])</f>
        <v>4236027.08</v>
      </c>
      <c r="L1472" s="40">
        <f t="shared" si="22"/>
        <v>2.22375</v>
      </c>
      <c r="M1472" s="40"/>
      <c r="N1472" s="40"/>
      <c r="O1472" s="40"/>
      <c r="P1472" s="39"/>
      <c r="Q1472" s="39"/>
      <c r="R1472" s="39"/>
      <c r="S1472" s="39"/>
      <c r="T1472" s="39"/>
      <c r="V1472" t="b">
        <f>IF(Tabela3[[#This Row],[Pago]]&lt;&gt;"",IF(F1473="",Tabela3[[#This Row],[Saldo]],0))</f>
        <v>0</v>
      </c>
    </row>
    <row r="1473" spans="2:22" x14ac:dyDescent="0.25">
      <c r="B1473" s="37"/>
      <c r="C1473">
        <f>_xlfn.XLOOKUP(B1473,'Centro de Custo'!A$2:A$45,'Centro de Custo'!B$2:B$45)</f>
        <v>0</v>
      </c>
      <c r="E1473" s="39"/>
      <c r="F1473" s="40"/>
      <c r="G1473" s="41"/>
      <c r="H1473" s="42">
        <f>YEAR(Tabela3[[#This Row],[Data]])</f>
        <v>1900</v>
      </c>
      <c r="I1473" s="42" t="str">
        <f>_xlfn.XLOOKUP(J1473,'Centro de Custo'!J$2:J$13,'Centro de Custo'!K$2:K$13)</f>
        <v>Janeiro</v>
      </c>
      <c r="J1473" s="43">
        <f>MONTH(Tabela3[[#This Row],[Data]])</f>
        <v>1</v>
      </c>
      <c r="K1473" s="39">
        <f>SUM(E$3:Tabela3[[#This Row],[Valor]])</f>
        <v>4236027.08</v>
      </c>
      <c r="L1473" s="40">
        <f t="shared" si="22"/>
        <v>2.22375</v>
      </c>
      <c r="M1473" s="40"/>
      <c r="N1473" s="40"/>
      <c r="O1473" s="40"/>
      <c r="P1473" s="39"/>
      <c r="Q1473" s="39"/>
      <c r="R1473" s="39"/>
      <c r="S1473" s="39"/>
      <c r="T1473" s="39"/>
      <c r="V1473" t="b">
        <f>IF(Tabela3[[#This Row],[Pago]]&lt;&gt;"",IF(F1474="",Tabela3[[#This Row],[Saldo]],0))</f>
        <v>0</v>
      </c>
    </row>
    <row r="1474" spans="2:22" x14ac:dyDescent="0.25">
      <c r="B1474" s="37"/>
      <c r="C1474">
        <f>_xlfn.XLOOKUP(B1474,'Centro de Custo'!A$2:A$45,'Centro de Custo'!B$2:B$45)</f>
        <v>0</v>
      </c>
      <c r="E1474" s="39"/>
      <c r="F1474" s="40"/>
      <c r="G1474" s="41"/>
      <c r="H1474" s="42">
        <f>YEAR(Tabela3[[#This Row],[Data]])</f>
        <v>1900</v>
      </c>
      <c r="I1474" s="42" t="str">
        <f>_xlfn.XLOOKUP(J1474,'Centro de Custo'!J$2:J$13,'Centro de Custo'!K$2:K$13)</f>
        <v>Janeiro</v>
      </c>
      <c r="J1474" s="43">
        <f>MONTH(Tabela3[[#This Row],[Data]])</f>
        <v>1</v>
      </c>
      <c r="K1474" s="39">
        <f>SUM(E$3:Tabela3[[#This Row],[Valor]])</f>
        <v>4236027.08</v>
      </c>
      <c r="L1474" s="40">
        <f t="shared" si="22"/>
        <v>2.22375</v>
      </c>
      <c r="M1474" s="40"/>
      <c r="N1474" s="40"/>
      <c r="O1474" s="40"/>
      <c r="P1474" s="39"/>
      <c r="Q1474" s="39"/>
      <c r="R1474" s="39"/>
      <c r="S1474" s="39"/>
      <c r="T1474" s="39"/>
      <c r="V1474" t="b">
        <f>IF(Tabela3[[#This Row],[Pago]]&lt;&gt;"",IF(F1475="",Tabela3[[#This Row],[Saldo]],0))</f>
        <v>0</v>
      </c>
    </row>
    <row r="1475" spans="2:22" x14ac:dyDescent="0.25">
      <c r="B1475" s="37"/>
      <c r="C1475">
        <f>_xlfn.XLOOKUP(B1475,'Centro de Custo'!A$2:A$45,'Centro de Custo'!B$2:B$45)</f>
        <v>0</v>
      </c>
      <c r="E1475" s="39"/>
      <c r="F1475" s="40"/>
      <c r="G1475" s="41"/>
      <c r="H1475" s="42">
        <f>YEAR(Tabela3[[#This Row],[Data]])</f>
        <v>1900</v>
      </c>
      <c r="I1475" s="42" t="str">
        <f>_xlfn.XLOOKUP(J1475,'Centro de Custo'!J$2:J$13,'Centro de Custo'!K$2:K$13)</f>
        <v>Janeiro</v>
      </c>
      <c r="J1475" s="43">
        <f>MONTH(Tabela3[[#This Row],[Data]])</f>
        <v>1</v>
      </c>
      <c r="K1475" s="39">
        <f>SUM(E$3:Tabela3[[#This Row],[Valor]])</f>
        <v>4236027.08</v>
      </c>
      <c r="L1475" s="40">
        <f t="shared" ref="L1475:L1538" si="23">17.79/8</f>
        <v>2.22375</v>
      </c>
      <c r="M1475" s="40"/>
      <c r="N1475" s="40"/>
      <c r="O1475" s="40"/>
      <c r="P1475" s="39"/>
      <c r="Q1475" s="39"/>
      <c r="R1475" s="39"/>
      <c r="S1475" s="39"/>
      <c r="T1475" s="39"/>
      <c r="V1475" t="b">
        <f>IF(Tabela3[[#This Row],[Pago]]&lt;&gt;"",IF(F1476="",Tabela3[[#This Row],[Saldo]],0))</f>
        <v>0</v>
      </c>
    </row>
    <row r="1476" spans="2:22" x14ac:dyDescent="0.25">
      <c r="B1476" s="37"/>
      <c r="C1476">
        <f>_xlfn.XLOOKUP(B1476,'Centro de Custo'!A$2:A$45,'Centro de Custo'!B$2:B$45)</f>
        <v>0</v>
      </c>
      <c r="E1476" s="39"/>
      <c r="F1476" s="40"/>
      <c r="G1476" s="41"/>
      <c r="H1476" s="42">
        <f>YEAR(Tabela3[[#This Row],[Data]])</f>
        <v>1900</v>
      </c>
      <c r="I1476" s="42" t="str">
        <f>_xlfn.XLOOKUP(J1476,'Centro de Custo'!J$2:J$13,'Centro de Custo'!K$2:K$13)</f>
        <v>Janeiro</v>
      </c>
      <c r="J1476" s="43">
        <f>MONTH(Tabela3[[#This Row],[Data]])</f>
        <v>1</v>
      </c>
      <c r="K1476" s="39">
        <f>SUM(E$3:Tabela3[[#This Row],[Valor]])</f>
        <v>4236027.08</v>
      </c>
      <c r="L1476" s="40">
        <f t="shared" si="23"/>
        <v>2.22375</v>
      </c>
      <c r="M1476" s="40"/>
      <c r="N1476" s="40"/>
      <c r="O1476" s="40"/>
      <c r="P1476" s="39"/>
      <c r="Q1476" s="39"/>
      <c r="R1476" s="39"/>
      <c r="S1476" s="39"/>
      <c r="T1476" s="39"/>
      <c r="V1476" t="b">
        <f>IF(Tabela3[[#This Row],[Pago]]&lt;&gt;"",IF(F1477="",Tabela3[[#This Row],[Saldo]],0))</f>
        <v>0</v>
      </c>
    </row>
    <row r="1477" spans="2:22" x14ac:dyDescent="0.25">
      <c r="B1477" s="37"/>
      <c r="C1477">
        <f>_xlfn.XLOOKUP(B1477,'Centro de Custo'!A$2:A$45,'Centro de Custo'!B$2:B$45)</f>
        <v>0</v>
      </c>
      <c r="E1477" s="39"/>
      <c r="F1477" s="40"/>
      <c r="G1477" s="41"/>
      <c r="H1477" s="42">
        <f>YEAR(Tabela3[[#This Row],[Data]])</f>
        <v>1900</v>
      </c>
      <c r="I1477" s="42" t="str">
        <f>_xlfn.XLOOKUP(J1477,'Centro de Custo'!J$2:J$13,'Centro de Custo'!K$2:K$13)</f>
        <v>Janeiro</v>
      </c>
      <c r="J1477" s="43">
        <f>MONTH(Tabela3[[#This Row],[Data]])</f>
        <v>1</v>
      </c>
      <c r="K1477" s="39">
        <f>SUM(E$3:Tabela3[[#This Row],[Valor]])</f>
        <v>4236027.08</v>
      </c>
      <c r="L1477" s="40">
        <f t="shared" si="23"/>
        <v>2.22375</v>
      </c>
      <c r="M1477" s="40"/>
      <c r="N1477" s="40"/>
      <c r="O1477" s="40"/>
      <c r="P1477" s="39"/>
      <c r="Q1477" s="39"/>
      <c r="R1477" s="39"/>
      <c r="S1477" s="39"/>
      <c r="T1477" s="39"/>
      <c r="V1477" t="b">
        <f>IF(Tabela3[[#This Row],[Pago]]&lt;&gt;"",IF(F1478="",Tabela3[[#This Row],[Saldo]],0))</f>
        <v>0</v>
      </c>
    </row>
    <row r="1478" spans="2:22" x14ac:dyDescent="0.25">
      <c r="B1478" s="37"/>
      <c r="C1478">
        <f>_xlfn.XLOOKUP(B1478,'Centro de Custo'!A$2:A$45,'Centro de Custo'!B$2:B$45)</f>
        <v>0</v>
      </c>
      <c r="E1478" s="39"/>
      <c r="F1478" s="40"/>
      <c r="G1478" s="41"/>
      <c r="H1478" s="42">
        <f>YEAR(Tabela3[[#This Row],[Data]])</f>
        <v>1900</v>
      </c>
      <c r="I1478" s="42" t="str">
        <f>_xlfn.XLOOKUP(J1478,'Centro de Custo'!J$2:J$13,'Centro de Custo'!K$2:K$13)</f>
        <v>Janeiro</v>
      </c>
      <c r="J1478" s="43">
        <f>MONTH(Tabela3[[#This Row],[Data]])</f>
        <v>1</v>
      </c>
      <c r="K1478" s="39">
        <f>SUM(E$3:Tabela3[[#This Row],[Valor]])</f>
        <v>4236027.08</v>
      </c>
      <c r="L1478" s="40">
        <f t="shared" si="23"/>
        <v>2.22375</v>
      </c>
      <c r="M1478" s="40"/>
      <c r="N1478" s="40"/>
      <c r="O1478" s="40"/>
      <c r="P1478" s="39"/>
      <c r="Q1478" s="39"/>
      <c r="R1478" s="39"/>
      <c r="S1478" s="39"/>
      <c r="T1478" s="39"/>
      <c r="V1478" t="b">
        <f>IF(Tabela3[[#This Row],[Pago]]&lt;&gt;"",IF(F1479="",Tabela3[[#This Row],[Saldo]],0))</f>
        <v>0</v>
      </c>
    </row>
    <row r="1479" spans="2:22" x14ac:dyDescent="0.25">
      <c r="B1479" s="37"/>
      <c r="C1479">
        <f>_xlfn.XLOOKUP(B1479,'Centro de Custo'!A$2:A$45,'Centro de Custo'!B$2:B$45)</f>
        <v>0</v>
      </c>
      <c r="E1479" s="39"/>
      <c r="F1479" s="40"/>
      <c r="G1479" s="41"/>
      <c r="H1479" s="42">
        <f>YEAR(Tabela3[[#This Row],[Data]])</f>
        <v>1900</v>
      </c>
      <c r="I1479" s="42" t="str">
        <f>_xlfn.XLOOKUP(J1479,'Centro de Custo'!J$2:J$13,'Centro de Custo'!K$2:K$13)</f>
        <v>Janeiro</v>
      </c>
      <c r="J1479" s="43">
        <f>MONTH(Tabela3[[#This Row],[Data]])</f>
        <v>1</v>
      </c>
      <c r="K1479" s="39">
        <f>SUM(E$3:Tabela3[[#This Row],[Valor]])</f>
        <v>4236027.08</v>
      </c>
      <c r="L1479" s="40">
        <f t="shared" si="23"/>
        <v>2.22375</v>
      </c>
      <c r="M1479" s="40"/>
      <c r="N1479" s="40"/>
      <c r="O1479" s="40"/>
      <c r="P1479" s="39"/>
      <c r="Q1479" s="39"/>
      <c r="R1479" s="39"/>
      <c r="S1479" s="39"/>
      <c r="T1479" s="39"/>
      <c r="V1479" t="b">
        <f>IF(Tabela3[[#This Row],[Pago]]&lt;&gt;"",IF(F1480="",Tabela3[[#This Row],[Saldo]],0))</f>
        <v>0</v>
      </c>
    </row>
    <row r="1480" spans="2:22" x14ac:dyDescent="0.25">
      <c r="B1480" s="37"/>
      <c r="C1480">
        <f>_xlfn.XLOOKUP(B1480,'Centro de Custo'!A$2:A$45,'Centro de Custo'!B$2:B$45)</f>
        <v>0</v>
      </c>
      <c r="E1480" s="39"/>
      <c r="F1480" s="40"/>
      <c r="G1480" s="41"/>
      <c r="H1480" s="42">
        <f>YEAR(Tabela3[[#This Row],[Data]])</f>
        <v>1900</v>
      </c>
      <c r="I1480" s="42" t="str">
        <f>_xlfn.XLOOKUP(J1480,'Centro de Custo'!J$2:J$13,'Centro de Custo'!K$2:K$13)</f>
        <v>Janeiro</v>
      </c>
      <c r="J1480" s="43">
        <f>MONTH(Tabela3[[#This Row],[Data]])</f>
        <v>1</v>
      </c>
      <c r="K1480" s="39">
        <f>SUM(E$3:Tabela3[[#This Row],[Valor]])</f>
        <v>4236027.08</v>
      </c>
      <c r="L1480" s="40">
        <f t="shared" si="23"/>
        <v>2.22375</v>
      </c>
      <c r="M1480" s="40"/>
      <c r="N1480" s="40"/>
      <c r="O1480" s="40"/>
      <c r="P1480" s="39"/>
      <c r="Q1480" s="39"/>
      <c r="R1480" s="39"/>
      <c r="S1480" s="39"/>
      <c r="T1480" s="39"/>
      <c r="V1480" t="b">
        <f>IF(Tabela3[[#This Row],[Pago]]&lt;&gt;"",IF(F1481="",Tabela3[[#This Row],[Saldo]],0))</f>
        <v>0</v>
      </c>
    </row>
    <row r="1481" spans="2:22" x14ac:dyDescent="0.25">
      <c r="B1481" s="37"/>
      <c r="C1481">
        <f>_xlfn.XLOOKUP(B1481,'Centro de Custo'!A$2:A$45,'Centro de Custo'!B$2:B$45)</f>
        <v>0</v>
      </c>
      <c r="E1481" s="39"/>
      <c r="F1481" s="40"/>
      <c r="G1481" s="41"/>
      <c r="H1481" s="42">
        <f>YEAR(Tabela3[[#This Row],[Data]])</f>
        <v>1900</v>
      </c>
      <c r="I1481" s="42" t="str">
        <f>_xlfn.XLOOKUP(J1481,'Centro de Custo'!J$2:J$13,'Centro de Custo'!K$2:K$13)</f>
        <v>Janeiro</v>
      </c>
      <c r="J1481" s="43">
        <f>MONTH(Tabela3[[#This Row],[Data]])</f>
        <v>1</v>
      </c>
      <c r="K1481" s="39">
        <f>SUM(E$3:Tabela3[[#This Row],[Valor]])</f>
        <v>4236027.08</v>
      </c>
      <c r="L1481" s="40">
        <f t="shared" si="23"/>
        <v>2.22375</v>
      </c>
      <c r="M1481" s="40"/>
      <c r="N1481" s="40"/>
      <c r="O1481" s="40"/>
      <c r="P1481" s="39"/>
      <c r="Q1481" s="39"/>
      <c r="R1481" s="39"/>
      <c r="S1481" s="39"/>
      <c r="T1481" s="39"/>
      <c r="V1481" t="b">
        <f>IF(Tabela3[[#This Row],[Pago]]&lt;&gt;"",IF(F1482="",Tabela3[[#This Row],[Saldo]],0))</f>
        <v>0</v>
      </c>
    </row>
    <row r="1482" spans="2:22" x14ac:dyDescent="0.25">
      <c r="B1482" s="37"/>
      <c r="C1482">
        <f>_xlfn.XLOOKUP(B1482,'Centro de Custo'!A$2:A$45,'Centro de Custo'!B$2:B$45)</f>
        <v>0</v>
      </c>
      <c r="E1482" s="39"/>
      <c r="F1482" s="40"/>
      <c r="G1482" s="41"/>
      <c r="H1482" s="42">
        <f>YEAR(Tabela3[[#This Row],[Data]])</f>
        <v>1900</v>
      </c>
      <c r="I1482" s="42" t="str">
        <f>_xlfn.XLOOKUP(J1482,'Centro de Custo'!J$2:J$13,'Centro de Custo'!K$2:K$13)</f>
        <v>Janeiro</v>
      </c>
      <c r="J1482" s="43">
        <f>MONTH(Tabela3[[#This Row],[Data]])</f>
        <v>1</v>
      </c>
      <c r="K1482" s="39">
        <f>SUM(E$3:Tabela3[[#This Row],[Valor]])</f>
        <v>4236027.08</v>
      </c>
      <c r="L1482" s="40">
        <f t="shared" si="23"/>
        <v>2.22375</v>
      </c>
      <c r="M1482" s="40"/>
      <c r="N1482" s="40"/>
      <c r="O1482" s="40"/>
      <c r="P1482" s="39"/>
      <c r="Q1482" s="39"/>
      <c r="R1482" s="39"/>
      <c r="S1482" s="39"/>
      <c r="T1482" s="39"/>
      <c r="V1482" t="b">
        <f>IF(Tabela3[[#This Row],[Pago]]&lt;&gt;"",IF(F1483="",Tabela3[[#This Row],[Saldo]],0))</f>
        <v>0</v>
      </c>
    </row>
    <row r="1483" spans="2:22" x14ac:dyDescent="0.25">
      <c r="B1483" s="37"/>
      <c r="C1483">
        <f>_xlfn.XLOOKUP(B1483,'Centro de Custo'!A$2:A$45,'Centro de Custo'!B$2:B$45)</f>
        <v>0</v>
      </c>
      <c r="E1483" s="39"/>
      <c r="F1483" s="40"/>
      <c r="G1483" s="41"/>
      <c r="H1483" s="42">
        <f>YEAR(Tabela3[[#This Row],[Data]])</f>
        <v>1900</v>
      </c>
      <c r="I1483" s="42" t="str">
        <f>_xlfn.XLOOKUP(J1483,'Centro de Custo'!J$2:J$13,'Centro de Custo'!K$2:K$13)</f>
        <v>Janeiro</v>
      </c>
      <c r="J1483" s="43">
        <f>MONTH(Tabela3[[#This Row],[Data]])</f>
        <v>1</v>
      </c>
      <c r="K1483" s="39">
        <f>SUM(E$3:Tabela3[[#This Row],[Valor]])</f>
        <v>4236027.08</v>
      </c>
      <c r="L1483" s="40">
        <f t="shared" si="23"/>
        <v>2.22375</v>
      </c>
      <c r="M1483" s="40"/>
      <c r="N1483" s="40"/>
      <c r="O1483" s="40"/>
      <c r="P1483" s="39"/>
      <c r="Q1483" s="39"/>
      <c r="R1483" s="39"/>
      <c r="S1483" s="39"/>
      <c r="T1483" s="39"/>
      <c r="V1483" t="b">
        <f>IF(Tabela3[[#This Row],[Pago]]&lt;&gt;"",IF(F1484="",Tabela3[[#This Row],[Saldo]],0))</f>
        <v>0</v>
      </c>
    </row>
    <row r="1484" spans="2:22" x14ac:dyDescent="0.25">
      <c r="B1484" s="37"/>
      <c r="C1484">
        <f>_xlfn.XLOOKUP(B1484,'Centro de Custo'!A$2:A$45,'Centro de Custo'!B$2:B$45)</f>
        <v>0</v>
      </c>
      <c r="E1484" s="39"/>
      <c r="F1484" s="40"/>
      <c r="G1484" s="41"/>
      <c r="H1484" s="42">
        <f>YEAR(Tabela3[[#This Row],[Data]])</f>
        <v>1900</v>
      </c>
      <c r="I1484" s="42" t="str">
        <f>_xlfn.XLOOKUP(J1484,'Centro de Custo'!J$2:J$13,'Centro de Custo'!K$2:K$13)</f>
        <v>Janeiro</v>
      </c>
      <c r="J1484" s="43">
        <f>MONTH(Tabela3[[#This Row],[Data]])</f>
        <v>1</v>
      </c>
      <c r="K1484" s="39">
        <f>SUM(E$3:Tabela3[[#This Row],[Valor]])</f>
        <v>4236027.08</v>
      </c>
      <c r="L1484" s="40">
        <f t="shared" si="23"/>
        <v>2.22375</v>
      </c>
      <c r="M1484" s="40"/>
      <c r="N1484" s="40"/>
      <c r="O1484" s="40"/>
      <c r="P1484" s="39"/>
      <c r="Q1484" s="39"/>
      <c r="R1484" s="39"/>
      <c r="S1484" s="39"/>
      <c r="T1484" s="39"/>
      <c r="V1484" t="b">
        <f>IF(Tabela3[[#This Row],[Pago]]&lt;&gt;"",IF(F1485="",Tabela3[[#This Row],[Saldo]],0))</f>
        <v>0</v>
      </c>
    </row>
    <row r="1485" spans="2:22" x14ac:dyDescent="0.25">
      <c r="B1485" s="37"/>
      <c r="C1485">
        <f>_xlfn.XLOOKUP(B1485,'Centro de Custo'!A$2:A$45,'Centro de Custo'!B$2:B$45)</f>
        <v>0</v>
      </c>
      <c r="E1485" s="39"/>
      <c r="F1485" s="40"/>
      <c r="G1485" s="41"/>
      <c r="H1485" s="42">
        <f>YEAR(Tabela3[[#This Row],[Data]])</f>
        <v>1900</v>
      </c>
      <c r="I1485" s="42" t="str">
        <f>_xlfn.XLOOKUP(J1485,'Centro de Custo'!J$2:J$13,'Centro de Custo'!K$2:K$13)</f>
        <v>Janeiro</v>
      </c>
      <c r="J1485" s="43">
        <f>MONTH(Tabela3[[#This Row],[Data]])</f>
        <v>1</v>
      </c>
      <c r="K1485" s="39">
        <f>SUM(E$3:Tabela3[[#This Row],[Valor]])</f>
        <v>4236027.08</v>
      </c>
      <c r="L1485" s="40">
        <f t="shared" si="23"/>
        <v>2.22375</v>
      </c>
      <c r="M1485" s="40"/>
      <c r="N1485" s="40"/>
      <c r="O1485" s="40"/>
      <c r="P1485" s="39"/>
      <c r="Q1485" s="39"/>
      <c r="R1485" s="39"/>
      <c r="S1485" s="39"/>
      <c r="T1485" s="39"/>
      <c r="V1485" t="b">
        <f>IF(Tabela3[[#This Row],[Pago]]&lt;&gt;"",IF(F1486="",Tabela3[[#This Row],[Saldo]],0))</f>
        <v>0</v>
      </c>
    </row>
    <row r="1486" spans="2:22" x14ac:dyDescent="0.25">
      <c r="B1486" s="37"/>
      <c r="C1486">
        <f>_xlfn.XLOOKUP(B1486,'Centro de Custo'!A$2:A$45,'Centro de Custo'!B$2:B$45)</f>
        <v>0</v>
      </c>
      <c r="E1486" s="39"/>
      <c r="F1486" s="40"/>
      <c r="G1486" s="41"/>
      <c r="H1486" s="42">
        <f>YEAR(Tabela3[[#This Row],[Data]])</f>
        <v>1900</v>
      </c>
      <c r="I1486" s="42" t="str">
        <f>_xlfn.XLOOKUP(J1486,'Centro de Custo'!J$2:J$13,'Centro de Custo'!K$2:K$13)</f>
        <v>Janeiro</v>
      </c>
      <c r="J1486" s="43">
        <f>MONTH(Tabela3[[#This Row],[Data]])</f>
        <v>1</v>
      </c>
      <c r="K1486" s="39">
        <f>SUM(E$3:Tabela3[[#This Row],[Valor]])</f>
        <v>4236027.08</v>
      </c>
      <c r="L1486" s="40">
        <f t="shared" si="23"/>
        <v>2.22375</v>
      </c>
      <c r="M1486" s="40"/>
      <c r="N1486" s="40"/>
      <c r="O1486" s="40"/>
      <c r="P1486" s="39"/>
      <c r="Q1486" s="39"/>
      <c r="R1486" s="39"/>
      <c r="S1486" s="39"/>
      <c r="T1486" s="39"/>
      <c r="V1486" t="b">
        <f>IF(Tabela3[[#This Row],[Pago]]&lt;&gt;"",IF(F1487="",Tabela3[[#This Row],[Saldo]],0))</f>
        <v>0</v>
      </c>
    </row>
    <row r="1487" spans="2:22" x14ac:dyDescent="0.25">
      <c r="B1487" s="37"/>
      <c r="C1487">
        <f>_xlfn.XLOOKUP(B1487,'Centro de Custo'!A$2:A$45,'Centro de Custo'!B$2:B$45)</f>
        <v>0</v>
      </c>
      <c r="E1487" s="39"/>
      <c r="F1487" s="40"/>
      <c r="G1487" s="41"/>
      <c r="H1487" s="42">
        <f>YEAR(Tabela3[[#This Row],[Data]])</f>
        <v>1900</v>
      </c>
      <c r="I1487" s="42" t="str">
        <f>_xlfn.XLOOKUP(J1487,'Centro de Custo'!J$2:J$13,'Centro de Custo'!K$2:K$13)</f>
        <v>Janeiro</v>
      </c>
      <c r="J1487" s="43">
        <f>MONTH(Tabela3[[#This Row],[Data]])</f>
        <v>1</v>
      </c>
      <c r="K1487" s="39">
        <f>SUM(E$3:Tabela3[[#This Row],[Valor]])</f>
        <v>4236027.08</v>
      </c>
      <c r="L1487" s="40">
        <f t="shared" si="23"/>
        <v>2.22375</v>
      </c>
      <c r="M1487" s="40"/>
      <c r="N1487" s="40"/>
      <c r="O1487" s="40"/>
      <c r="P1487" s="39"/>
      <c r="Q1487" s="39"/>
      <c r="R1487" s="39"/>
      <c r="S1487" s="39"/>
      <c r="T1487" s="39"/>
      <c r="V1487" t="b">
        <f>IF(Tabela3[[#This Row],[Pago]]&lt;&gt;"",IF(F1488="",Tabela3[[#This Row],[Saldo]],0))</f>
        <v>0</v>
      </c>
    </row>
    <row r="1488" spans="2:22" x14ac:dyDescent="0.25">
      <c r="B1488" s="37"/>
      <c r="C1488">
        <f>_xlfn.XLOOKUP(B1488,'Centro de Custo'!A$2:A$45,'Centro de Custo'!B$2:B$45)</f>
        <v>0</v>
      </c>
      <c r="E1488" s="39"/>
      <c r="F1488" s="40"/>
      <c r="G1488" s="41"/>
      <c r="H1488" s="42">
        <f>YEAR(Tabela3[[#This Row],[Data]])</f>
        <v>1900</v>
      </c>
      <c r="I1488" s="42" t="str">
        <f>_xlfn.XLOOKUP(J1488,'Centro de Custo'!J$2:J$13,'Centro de Custo'!K$2:K$13)</f>
        <v>Janeiro</v>
      </c>
      <c r="J1488" s="43">
        <f>MONTH(Tabela3[[#This Row],[Data]])</f>
        <v>1</v>
      </c>
      <c r="K1488" s="39">
        <f>SUM(E$3:Tabela3[[#This Row],[Valor]])</f>
        <v>4236027.08</v>
      </c>
      <c r="L1488" s="40">
        <f t="shared" si="23"/>
        <v>2.22375</v>
      </c>
      <c r="M1488" s="40"/>
      <c r="N1488" s="40"/>
      <c r="O1488" s="40"/>
      <c r="P1488" s="39"/>
      <c r="Q1488" s="39"/>
      <c r="R1488" s="39"/>
      <c r="S1488" s="39"/>
      <c r="T1488" s="39"/>
      <c r="V1488" t="b">
        <f>IF(Tabela3[[#This Row],[Pago]]&lt;&gt;"",IF(F1489="",Tabela3[[#This Row],[Saldo]],0))</f>
        <v>0</v>
      </c>
    </row>
    <row r="1489" spans="2:22" x14ac:dyDescent="0.25">
      <c r="B1489" s="37"/>
      <c r="C1489">
        <f>_xlfn.XLOOKUP(B1489,'Centro de Custo'!A$2:A$45,'Centro de Custo'!B$2:B$45)</f>
        <v>0</v>
      </c>
      <c r="E1489" s="39"/>
      <c r="F1489" s="40"/>
      <c r="G1489" s="41"/>
      <c r="H1489" s="42">
        <f>YEAR(Tabela3[[#This Row],[Data]])</f>
        <v>1900</v>
      </c>
      <c r="I1489" s="42" t="str">
        <f>_xlfn.XLOOKUP(J1489,'Centro de Custo'!J$2:J$13,'Centro de Custo'!K$2:K$13)</f>
        <v>Janeiro</v>
      </c>
      <c r="J1489" s="43">
        <f>MONTH(Tabela3[[#This Row],[Data]])</f>
        <v>1</v>
      </c>
      <c r="K1489" s="39">
        <f>SUM(E$3:Tabela3[[#This Row],[Valor]])</f>
        <v>4236027.08</v>
      </c>
      <c r="L1489" s="40">
        <f t="shared" si="23"/>
        <v>2.22375</v>
      </c>
      <c r="M1489" s="40"/>
      <c r="N1489" s="40"/>
      <c r="O1489" s="40"/>
      <c r="P1489" s="39"/>
      <c r="Q1489" s="39"/>
      <c r="R1489" s="39"/>
      <c r="S1489" s="39"/>
      <c r="T1489" s="39"/>
      <c r="V1489" t="b">
        <f>IF(Tabela3[[#This Row],[Pago]]&lt;&gt;"",IF(F1490="",Tabela3[[#This Row],[Saldo]],0))</f>
        <v>0</v>
      </c>
    </row>
    <row r="1490" spans="2:22" x14ac:dyDescent="0.25">
      <c r="B1490" s="37"/>
      <c r="C1490">
        <f>_xlfn.XLOOKUP(B1490,'Centro de Custo'!A$2:A$45,'Centro de Custo'!B$2:B$45)</f>
        <v>0</v>
      </c>
      <c r="E1490" s="39"/>
      <c r="F1490" s="40"/>
      <c r="G1490" s="41"/>
      <c r="H1490" s="42">
        <f>YEAR(Tabela3[[#This Row],[Data]])</f>
        <v>1900</v>
      </c>
      <c r="I1490" s="42" t="str">
        <f>_xlfn.XLOOKUP(J1490,'Centro de Custo'!J$2:J$13,'Centro de Custo'!K$2:K$13)</f>
        <v>Janeiro</v>
      </c>
      <c r="J1490" s="43">
        <f>MONTH(Tabela3[[#This Row],[Data]])</f>
        <v>1</v>
      </c>
      <c r="K1490" s="39">
        <f>SUM(E$3:Tabela3[[#This Row],[Valor]])</f>
        <v>4236027.08</v>
      </c>
      <c r="L1490" s="40">
        <f t="shared" si="23"/>
        <v>2.22375</v>
      </c>
      <c r="M1490" s="40"/>
      <c r="N1490" s="40"/>
      <c r="O1490" s="40"/>
      <c r="P1490" s="39"/>
      <c r="Q1490" s="39"/>
      <c r="R1490" s="39"/>
      <c r="S1490" s="39"/>
      <c r="T1490" s="39"/>
      <c r="V1490" t="b">
        <f>IF(Tabela3[[#This Row],[Pago]]&lt;&gt;"",IF(F1491="",Tabela3[[#This Row],[Saldo]],0))</f>
        <v>0</v>
      </c>
    </row>
    <row r="1491" spans="2:22" x14ac:dyDescent="0.25">
      <c r="B1491" s="37"/>
      <c r="C1491">
        <f>_xlfn.XLOOKUP(B1491,'Centro de Custo'!A$2:A$45,'Centro de Custo'!B$2:B$45)</f>
        <v>0</v>
      </c>
      <c r="E1491" s="39"/>
      <c r="F1491" s="40"/>
      <c r="G1491" s="41"/>
      <c r="H1491" s="42">
        <f>YEAR(Tabela3[[#This Row],[Data]])</f>
        <v>1900</v>
      </c>
      <c r="I1491" s="42" t="str">
        <f>_xlfn.XLOOKUP(J1491,'Centro de Custo'!J$2:J$13,'Centro de Custo'!K$2:K$13)</f>
        <v>Janeiro</v>
      </c>
      <c r="J1491" s="43">
        <f>MONTH(Tabela3[[#This Row],[Data]])</f>
        <v>1</v>
      </c>
      <c r="K1491" s="39">
        <f>SUM(E$3:Tabela3[[#This Row],[Valor]])</f>
        <v>4236027.08</v>
      </c>
      <c r="L1491" s="40">
        <f t="shared" si="23"/>
        <v>2.22375</v>
      </c>
      <c r="M1491" s="40"/>
      <c r="N1491" s="40"/>
      <c r="O1491" s="40"/>
      <c r="P1491" s="39"/>
      <c r="Q1491" s="39"/>
      <c r="R1491" s="39"/>
      <c r="S1491" s="39"/>
      <c r="T1491" s="39"/>
      <c r="V1491" t="b">
        <f>IF(Tabela3[[#This Row],[Pago]]&lt;&gt;"",IF(F1492="",Tabela3[[#This Row],[Saldo]],0))</f>
        <v>0</v>
      </c>
    </row>
    <row r="1492" spans="2:22" x14ac:dyDescent="0.25">
      <c r="B1492" s="37"/>
      <c r="C1492">
        <f>_xlfn.XLOOKUP(B1492,'Centro de Custo'!A$2:A$45,'Centro de Custo'!B$2:B$45)</f>
        <v>0</v>
      </c>
      <c r="E1492" s="39"/>
      <c r="F1492" s="40"/>
      <c r="G1492" s="41"/>
      <c r="H1492" s="42">
        <f>YEAR(Tabela3[[#This Row],[Data]])</f>
        <v>1900</v>
      </c>
      <c r="I1492" s="42" t="str">
        <f>_xlfn.XLOOKUP(J1492,'Centro de Custo'!J$2:J$13,'Centro de Custo'!K$2:K$13)</f>
        <v>Janeiro</v>
      </c>
      <c r="J1492" s="43">
        <f>MONTH(Tabela3[[#This Row],[Data]])</f>
        <v>1</v>
      </c>
      <c r="K1492" s="39">
        <f>SUM(E$3:Tabela3[[#This Row],[Valor]])</f>
        <v>4236027.08</v>
      </c>
      <c r="L1492" s="40">
        <f t="shared" si="23"/>
        <v>2.22375</v>
      </c>
      <c r="M1492" s="40"/>
      <c r="N1492" s="40"/>
      <c r="O1492" s="40"/>
      <c r="P1492" s="39"/>
      <c r="Q1492" s="39"/>
      <c r="R1492" s="39"/>
      <c r="S1492" s="39"/>
      <c r="T1492" s="39"/>
      <c r="V1492" t="b">
        <f>IF(Tabela3[[#This Row],[Pago]]&lt;&gt;"",IF(F1493="",Tabela3[[#This Row],[Saldo]],0))</f>
        <v>0</v>
      </c>
    </row>
    <row r="1493" spans="2:22" x14ac:dyDescent="0.25">
      <c r="B1493" s="37"/>
      <c r="C1493">
        <f>_xlfn.XLOOKUP(B1493,'Centro de Custo'!A$2:A$45,'Centro de Custo'!B$2:B$45)</f>
        <v>0</v>
      </c>
      <c r="E1493" s="39"/>
      <c r="F1493" s="40"/>
      <c r="G1493" s="41"/>
      <c r="H1493" s="42">
        <f>YEAR(Tabela3[[#This Row],[Data]])</f>
        <v>1900</v>
      </c>
      <c r="I1493" s="42" t="str">
        <f>_xlfn.XLOOKUP(J1493,'Centro de Custo'!J$2:J$13,'Centro de Custo'!K$2:K$13)</f>
        <v>Janeiro</v>
      </c>
      <c r="J1493" s="43">
        <f>MONTH(Tabela3[[#This Row],[Data]])</f>
        <v>1</v>
      </c>
      <c r="K1493" s="39">
        <f>SUM(E$3:Tabela3[[#This Row],[Valor]])</f>
        <v>4236027.08</v>
      </c>
      <c r="L1493" s="40">
        <f t="shared" si="23"/>
        <v>2.22375</v>
      </c>
      <c r="M1493" s="40"/>
      <c r="N1493" s="40"/>
      <c r="O1493" s="40"/>
      <c r="P1493" s="39"/>
      <c r="Q1493" s="39"/>
      <c r="R1493" s="39"/>
      <c r="S1493" s="39"/>
      <c r="T1493" s="39"/>
      <c r="V1493" t="b">
        <f>IF(Tabela3[[#This Row],[Pago]]&lt;&gt;"",IF(F1494="",Tabela3[[#This Row],[Saldo]],0))</f>
        <v>0</v>
      </c>
    </row>
    <row r="1494" spans="2:22" x14ac:dyDescent="0.25">
      <c r="B1494" s="37"/>
      <c r="C1494">
        <f>_xlfn.XLOOKUP(B1494,'Centro de Custo'!A$2:A$45,'Centro de Custo'!B$2:B$45)</f>
        <v>0</v>
      </c>
      <c r="E1494" s="39"/>
      <c r="F1494" s="40"/>
      <c r="G1494" s="41"/>
      <c r="H1494" s="42">
        <f>YEAR(Tabela3[[#This Row],[Data]])</f>
        <v>1900</v>
      </c>
      <c r="I1494" s="42" t="str">
        <f>_xlfn.XLOOKUP(J1494,'Centro de Custo'!J$2:J$13,'Centro de Custo'!K$2:K$13)</f>
        <v>Janeiro</v>
      </c>
      <c r="J1494" s="43">
        <f>MONTH(Tabela3[[#This Row],[Data]])</f>
        <v>1</v>
      </c>
      <c r="K1494" s="39">
        <f>SUM(E$3:Tabela3[[#This Row],[Valor]])</f>
        <v>4236027.08</v>
      </c>
      <c r="L1494" s="40">
        <f t="shared" si="23"/>
        <v>2.22375</v>
      </c>
      <c r="M1494" s="40"/>
      <c r="N1494" s="40"/>
      <c r="O1494" s="40"/>
      <c r="P1494" s="39"/>
      <c r="Q1494" s="39"/>
      <c r="R1494" s="39"/>
      <c r="S1494" s="39"/>
      <c r="T1494" s="39"/>
      <c r="V1494" t="b">
        <f>IF(Tabela3[[#This Row],[Pago]]&lt;&gt;"",IF(F1495="",Tabela3[[#This Row],[Saldo]],0))</f>
        <v>0</v>
      </c>
    </row>
    <row r="1495" spans="2:22" x14ac:dyDescent="0.25">
      <c r="B1495" s="37"/>
      <c r="C1495">
        <f>_xlfn.XLOOKUP(B1495,'Centro de Custo'!A$2:A$45,'Centro de Custo'!B$2:B$45)</f>
        <v>0</v>
      </c>
      <c r="E1495" s="39"/>
      <c r="F1495" s="40"/>
      <c r="G1495" s="41"/>
      <c r="H1495" s="42">
        <f>YEAR(Tabela3[[#This Row],[Data]])</f>
        <v>1900</v>
      </c>
      <c r="I1495" s="42" t="str">
        <f>_xlfn.XLOOKUP(J1495,'Centro de Custo'!J$2:J$13,'Centro de Custo'!K$2:K$13)</f>
        <v>Janeiro</v>
      </c>
      <c r="J1495" s="43">
        <f>MONTH(Tabela3[[#This Row],[Data]])</f>
        <v>1</v>
      </c>
      <c r="K1495" s="39">
        <f>SUM(E$3:Tabela3[[#This Row],[Valor]])</f>
        <v>4236027.08</v>
      </c>
      <c r="L1495" s="40">
        <f t="shared" si="23"/>
        <v>2.22375</v>
      </c>
      <c r="M1495" s="40"/>
      <c r="N1495" s="40"/>
      <c r="O1495" s="40"/>
      <c r="P1495" s="39"/>
      <c r="Q1495" s="39"/>
      <c r="R1495" s="39"/>
      <c r="S1495" s="39"/>
      <c r="T1495" s="39"/>
      <c r="V1495" t="b">
        <f>IF(Tabela3[[#This Row],[Pago]]&lt;&gt;"",IF(F1496="",Tabela3[[#This Row],[Saldo]],0))</f>
        <v>0</v>
      </c>
    </row>
    <row r="1496" spans="2:22" x14ac:dyDescent="0.25">
      <c r="B1496" s="37"/>
      <c r="C1496">
        <f>_xlfn.XLOOKUP(B1496,'Centro de Custo'!A$2:A$45,'Centro de Custo'!B$2:B$45)</f>
        <v>0</v>
      </c>
      <c r="E1496" s="39"/>
      <c r="F1496" s="40"/>
      <c r="G1496" s="41"/>
      <c r="H1496" s="42">
        <f>YEAR(Tabela3[[#This Row],[Data]])</f>
        <v>1900</v>
      </c>
      <c r="I1496" s="42" t="str">
        <f>_xlfn.XLOOKUP(J1496,'Centro de Custo'!J$2:J$13,'Centro de Custo'!K$2:K$13)</f>
        <v>Janeiro</v>
      </c>
      <c r="J1496" s="43">
        <f>MONTH(Tabela3[[#This Row],[Data]])</f>
        <v>1</v>
      </c>
      <c r="K1496" s="39">
        <f>SUM(E$3:Tabela3[[#This Row],[Valor]])</f>
        <v>4236027.08</v>
      </c>
      <c r="L1496" s="40">
        <f t="shared" si="23"/>
        <v>2.22375</v>
      </c>
      <c r="M1496" s="40"/>
      <c r="N1496" s="40"/>
      <c r="O1496" s="40"/>
      <c r="P1496" s="39"/>
      <c r="Q1496" s="39"/>
      <c r="R1496" s="39"/>
      <c r="S1496" s="39"/>
      <c r="T1496" s="39"/>
      <c r="V1496" t="b">
        <f>IF(Tabela3[[#This Row],[Pago]]&lt;&gt;"",IF(F1497="",Tabela3[[#This Row],[Saldo]],0))</f>
        <v>0</v>
      </c>
    </row>
    <row r="1497" spans="2:22" x14ac:dyDescent="0.25">
      <c r="B1497" s="37"/>
      <c r="C1497">
        <f>_xlfn.XLOOKUP(B1497,'Centro de Custo'!A$2:A$45,'Centro de Custo'!B$2:B$45)</f>
        <v>0</v>
      </c>
      <c r="E1497" s="39"/>
      <c r="F1497" s="40"/>
      <c r="G1497" s="41"/>
      <c r="H1497" s="42">
        <f>YEAR(Tabela3[[#This Row],[Data]])</f>
        <v>1900</v>
      </c>
      <c r="I1497" s="42" t="str">
        <f>_xlfn.XLOOKUP(J1497,'Centro de Custo'!J$2:J$13,'Centro de Custo'!K$2:K$13)</f>
        <v>Janeiro</v>
      </c>
      <c r="J1497" s="43">
        <f>MONTH(Tabela3[[#This Row],[Data]])</f>
        <v>1</v>
      </c>
      <c r="K1497" s="39">
        <f>SUM(E$3:Tabela3[[#This Row],[Valor]])</f>
        <v>4236027.08</v>
      </c>
      <c r="L1497" s="40">
        <f t="shared" si="23"/>
        <v>2.22375</v>
      </c>
      <c r="M1497" s="40"/>
      <c r="N1497" s="40"/>
      <c r="O1497" s="40"/>
      <c r="P1497" s="39"/>
      <c r="Q1497" s="39"/>
      <c r="R1497" s="39"/>
      <c r="S1497" s="39"/>
      <c r="T1497" s="39"/>
      <c r="V1497" t="b">
        <f>IF(Tabela3[[#This Row],[Pago]]&lt;&gt;"",IF(F1498="",Tabela3[[#This Row],[Saldo]],0))</f>
        <v>0</v>
      </c>
    </row>
    <row r="1498" spans="2:22" x14ac:dyDescent="0.25">
      <c r="B1498" s="37"/>
      <c r="C1498">
        <f>_xlfn.XLOOKUP(B1498,'Centro de Custo'!A$2:A$45,'Centro de Custo'!B$2:B$45)</f>
        <v>0</v>
      </c>
      <c r="E1498" s="39"/>
      <c r="F1498" s="40"/>
      <c r="G1498" s="41"/>
      <c r="H1498" s="42">
        <f>YEAR(Tabela3[[#This Row],[Data]])</f>
        <v>1900</v>
      </c>
      <c r="I1498" s="42" t="str">
        <f>_xlfn.XLOOKUP(J1498,'Centro de Custo'!J$2:J$13,'Centro de Custo'!K$2:K$13)</f>
        <v>Janeiro</v>
      </c>
      <c r="J1498" s="43">
        <f>MONTH(Tabela3[[#This Row],[Data]])</f>
        <v>1</v>
      </c>
      <c r="K1498" s="39">
        <f>SUM(E$3:Tabela3[[#This Row],[Valor]])</f>
        <v>4236027.08</v>
      </c>
      <c r="L1498" s="40">
        <f t="shared" si="23"/>
        <v>2.22375</v>
      </c>
      <c r="M1498" s="40"/>
      <c r="N1498" s="40"/>
      <c r="O1498" s="40"/>
      <c r="P1498" s="39"/>
      <c r="Q1498" s="39"/>
      <c r="R1498" s="39"/>
      <c r="S1498" s="39"/>
      <c r="T1498" s="39"/>
      <c r="V1498" t="b">
        <f>IF(Tabela3[[#This Row],[Pago]]&lt;&gt;"",IF(F1499="",Tabela3[[#This Row],[Saldo]],0))</f>
        <v>0</v>
      </c>
    </row>
    <row r="1499" spans="2:22" x14ac:dyDescent="0.25">
      <c r="B1499" s="37"/>
      <c r="C1499">
        <f>_xlfn.XLOOKUP(B1499,'Centro de Custo'!A$2:A$45,'Centro de Custo'!B$2:B$45)</f>
        <v>0</v>
      </c>
      <c r="E1499" s="39"/>
      <c r="F1499" s="40"/>
      <c r="G1499" s="41"/>
      <c r="H1499" s="42">
        <f>YEAR(Tabela3[[#This Row],[Data]])</f>
        <v>1900</v>
      </c>
      <c r="I1499" s="42" t="str">
        <f>_xlfn.XLOOKUP(J1499,'Centro de Custo'!J$2:J$13,'Centro de Custo'!K$2:K$13)</f>
        <v>Janeiro</v>
      </c>
      <c r="J1499" s="43">
        <f>MONTH(Tabela3[[#This Row],[Data]])</f>
        <v>1</v>
      </c>
      <c r="K1499" s="39">
        <f>SUM(E$3:Tabela3[[#This Row],[Valor]])</f>
        <v>4236027.08</v>
      </c>
      <c r="L1499" s="40">
        <f t="shared" si="23"/>
        <v>2.22375</v>
      </c>
      <c r="M1499" s="40"/>
      <c r="N1499" s="40"/>
      <c r="O1499" s="40"/>
      <c r="P1499" s="39"/>
      <c r="Q1499" s="39"/>
      <c r="R1499" s="39"/>
      <c r="S1499" s="39"/>
      <c r="T1499" s="39"/>
      <c r="V1499" t="b">
        <f>IF(Tabela3[[#This Row],[Pago]]&lt;&gt;"",IF(F1500="",Tabela3[[#This Row],[Saldo]],0))</f>
        <v>0</v>
      </c>
    </row>
    <row r="1500" spans="2:22" x14ac:dyDescent="0.25">
      <c r="B1500" s="37"/>
      <c r="C1500">
        <f>_xlfn.XLOOKUP(B1500,'Centro de Custo'!A$2:A$45,'Centro de Custo'!B$2:B$45)</f>
        <v>0</v>
      </c>
      <c r="E1500" s="39"/>
      <c r="F1500" s="40"/>
      <c r="G1500" s="41"/>
      <c r="H1500" s="42">
        <f>YEAR(Tabela3[[#This Row],[Data]])</f>
        <v>1900</v>
      </c>
      <c r="I1500" s="42" t="str">
        <f>_xlfn.XLOOKUP(J1500,'Centro de Custo'!J$2:J$13,'Centro de Custo'!K$2:K$13)</f>
        <v>Janeiro</v>
      </c>
      <c r="J1500" s="43">
        <f>MONTH(Tabela3[[#This Row],[Data]])</f>
        <v>1</v>
      </c>
      <c r="K1500" s="39">
        <f>SUM(E$3:Tabela3[[#This Row],[Valor]])</f>
        <v>4236027.08</v>
      </c>
      <c r="L1500" s="40">
        <f t="shared" si="23"/>
        <v>2.22375</v>
      </c>
      <c r="M1500" s="40"/>
      <c r="N1500" s="40"/>
      <c r="O1500" s="40"/>
      <c r="P1500" s="39"/>
      <c r="Q1500" s="39"/>
      <c r="R1500" s="39"/>
      <c r="S1500" s="39"/>
      <c r="T1500" s="39"/>
      <c r="V1500" t="b">
        <f>IF(Tabela3[[#This Row],[Pago]]&lt;&gt;"",IF(F1501="",Tabela3[[#This Row],[Saldo]],0))</f>
        <v>0</v>
      </c>
    </row>
    <row r="1501" spans="2:22" x14ac:dyDescent="0.25">
      <c r="B1501" s="37"/>
      <c r="C1501">
        <f>_xlfn.XLOOKUP(B1501,'Centro de Custo'!A$2:A$45,'Centro de Custo'!B$2:B$45)</f>
        <v>0</v>
      </c>
      <c r="E1501" s="39"/>
      <c r="F1501" s="40"/>
      <c r="G1501" s="41"/>
      <c r="H1501" s="42">
        <f>YEAR(Tabela3[[#This Row],[Data]])</f>
        <v>1900</v>
      </c>
      <c r="I1501" s="42" t="str">
        <f>_xlfn.XLOOKUP(J1501,'Centro de Custo'!J$2:J$13,'Centro de Custo'!K$2:K$13)</f>
        <v>Janeiro</v>
      </c>
      <c r="J1501" s="43">
        <f>MONTH(Tabela3[[#This Row],[Data]])</f>
        <v>1</v>
      </c>
      <c r="K1501" s="39">
        <f>SUM(E$3:Tabela3[[#This Row],[Valor]])</f>
        <v>4236027.08</v>
      </c>
      <c r="L1501" s="40">
        <f t="shared" si="23"/>
        <v>2.22375</v>
      </c>
      <c r="M1501" s="40"/>
      <c r="N1501" s="40"/>
      <c r="O1501" s="40"/>
      <c r="P1501" s="39"/>
      <c r="Q1501" s="39"/>
      <c r="R1501" s="39"/>
      <c r="S1501" s="39"/>
      <c r="T1501" s="39"/>
      <c r="V1501" t="b">
        <f>IF(Tabela3[[#This Row],[Pago]]&lt;&gt;"",IF(F1502="",Tabela3[[#This Row],[Saldo]],0))</f>
        <v>0</v>
      </c>
    </row>
    <row r="1502" spans="2:22" x14ac:dyDescent="0.25">
      <c r="B1502" s="37"/>
      <c r="C1502">
        <f>_xlfn.XLOOKUP(B1502,'Centro de Custo'!A$2:A$45,'Centro de Custo'!B$2:B$45)</f>
        <v>0</v>
      </c>
      <c r="E1502" s="39"/>
      <c r="F1502" s="40"/>
      <c r="G1502" s="41"/>
      <c r="H1502" s="42">
        <f>YEAR(Tabela3[[#This Row],[Data]])</f>
        <v>1900</v>
      </c>
      <c r="I1502" s="42" t="str">
        <f>_xlfn.XLOOKUP(J1502,'Centro de Custo'!J$2:J$13,'Centro de Custo'!K$2:K$13)</f>
        <v>Janeiro</v>
      </c>
      <c r="J1502" s="43">
        <f>MONTH(Tabela3[[#This Row],[Data]])</f>
        <v>1</v>
      </c>
      <c r="K1502" s="39">
        <f>SUM(E$3:Tabela3[[#This Row],[Valor]])</f>
        <v>4236027.08</v>
      </c>
      <c r="L1502" s="40">
        <f t="shared" si="23"/>
        <v>2.22375</v>
      </c>
      <c r="M1502" s="40"/>
      <c r="N1502" s="40"/>
      <c r="O1502" s="40"/>
      <c r="P1502" s="39"/>
      <c r="Q1502" s="39"/>
      <c r="R1502" s="39"/>
      <c r="S1502" s="39"/>
      <c r="T1502" s="39"/>
      <c r="V1502" t="b">
        <f>IF(Tabela3[[#This Row],[Pago]]&lt;&gt;"",IF(F1503="",Tabela3[[#This Row],[Saldo]],0))</f>
        <v>0</v>
      </c>
    </row>
    <row r="1503" spans="2:22" x14ac:dyDescent="0.25">
      <c r="B1503" s="37"/>
      <c r="C1503">
        <f>_xlfn.XLOOKUP(B1503,'Centro de Custo'!A$2:A$45,'Centro de Custo'!B$2:B$45)</f>
        <v>0</v>
      </c>
      <c r="E1503" s="39"/>
      <c r="F1503" s="40"/>
      <c r="G1503" s="41"/>
      <c r="H1503" s="42">
        <f>YEAR(Tabela3[[#This Row],[Data]])</f>
        <v>1900</v>
      </c>
      <c r="I1503" s="42" t="str">
        <f>_xlfn.XLOOKUP(J1503,'Centro de Custo'!J$2:J$13,'Centro de Custo'!K$2:K$13)</f>
        <v>Janeiro</v>
      </c>
      <c r="J1503" s="43">
        <f>MONTH(Tabela3[[#This Row],[Data]])</f>
        <v>1</v>
      </c>
      <c r="K1503" s="39">
        <f>SUM(E$3:Tabela3[[#This Row],[Valor]])</f>
        <v>4236027.08</v>
      </c>
      <c r="L1503" s="40">
        <f t="shared" si="23"/>
        <v>2.22375</v>
      </c>
      <c r="M1503" s="40"/>
      <c r="N1503" s="40"/>
      <c r="O1503" s="40"/>
      <c r="P1503" s="39"/>
      <c r="Q1503" s="39"/>
      <c r="R1503" s="39"/>
      <c r="S1503" s="39"/>
      <c r="T1503" s="39"/>
      <c r="V1503" t="b">
        <f>IF(Tabela3[[#This Row],[Pago]]&lt;&gt;"",IF(F1504="",Tabela3[[#This Row],[Saldo]],0))</f>
        <v>0</v>
      </c>
    </row>
    <row r="1504" spans="2:22" x14ac:dyDescent="0.25">
      <c r="B1504" s="37"/>
      <c r="C1504">
        <f>_xlfn.XLOOKUP(B1504,'Centro de Custo'!A$2:A$45,'Centro de Custo'!B$2:B$45)</f>
        <v>0</v>
      </c>
      <c r="E1504" s="39"/>
      <c r="F1504" s="40"/>
      <c r="G1504" s="41"/>
      <c r="H1504" s="42">
        <f>YEAR(Tabela3[[#This Row],[Data]])</f>
        <v>1900</v>
      </c>
      <c r="I1504" s="42" t="str">
        <f>_xlfn.XLOOKUP(J1504,'Centro de Custo'!J$2:J$13,'Centro de Custo'!K$2:K$13)</f>
        <v>Janeiro</v>
      </c>
      <c r="J1504" s="43">
        <f>MONTH(Tabela3[[#This Row],[Data]])</f>
        <v>1</v>
      </c>
      <c r="K1504" s="39">
        <f>SUM(E$3:Tabela3[[#This Row],[Valor]])</f>
        <v>4236027.08</v>
      </c>
      <c r="L1504" s="40">
        <f t="shared" si="23"/>
        <v>2.22375</v>
      </c>
      <c r="M1504" s="40"/>
      <c r="N1504" s="40"/>
      <c r="O1504" s="40"/>
      <c r="P1504" s="39"/>
      <c r="Q1504" s="39"/>
      <c r="R1504" s="39"/>
      <c r="S1504" s="39"/>
      <c r="T1504" s="39"/>
      <c r="V1504" t="b">
        <f>IF(Tabela3[[#This Row],[Pago]]&lt;&gt;"",IF(F1505="",Tabela3[[#This Row],[Saldo]],0))</f>
        <v>0</v>
      </c>
    </row>
    <row r="1505" spans="2:22" x14ac:dyDescent="0.25">
      <c r="B1505" s="37"/>
      <c r="C1505">
        <f>_xlfn.XLOOKUP(B1505,'Centro de Custo'!A$2:A$45,'Centro de Custo'!B$2:B$45)</f>
        <v>0</v>
      </c>
      <c r="E1505" s="39"/>
      <c r="F1505" s="40"/>
      <c r="G1505" s="41"/>
      <c r="H1505" s="42">
        <f>YEAR(Tabela3[[#This Row],[Data]])</f>
        <v>1900</v>
      </c>
      <c r="I1505" s="42" t="str">
        <f>_xlfn.XLOOKUP(J1505,'Centro de Custo'!J$2:J$13,'Centro de Custo'!K$2:K$13)</f>
        <v>Janeiro</v>
      </c>
      <c r="J1505" s="43">
        <f>MONTH(Tabela3[[#This Row],[Data]])</f>
        <v>1</v>
      </c>
      <c r="K1505" s="39">
        <f>SUM(E$3:Tabela3[[#This Row],[Valor]])</f>
        <v>4236027.08</v>
      </c>
      <c r="L1505" s="40">
        <f t="shared" si="23"/>
        <v>2.22375</v>
      </c>
      <c r="M1505" s="40"/>
      <c r="N1505" s="40"/>
      <c r="O1505" s="40"/>
      <c r="P1505" s="39"/>
      <c r="Q1505" s="39"/>
      <c r="R1505" s="39"/>
      <c r="S1505" s="39"/>
      <c r="T1505" s="39"/>
      <c r="V1505" t="b">
        <f>IF(Tabela3[[#This Row],[Pago]]&lt;&gt;"",IF(F1506="",Tabela3[[#This Row],[Saldo]],0))</f>
        <v>0</v>
      </c>
    </row>
    <row r="1506" spans="2:22" x14ac:dyDescent="0.25">
      <c r="B1506" s="37"/>
      <c r="C1506">
        <f>_xlfn.XLOOKUP(B1506,'Centro de Custo'!A$2:A$45,'Centro de Custo'!B$2:B$45)</f>
        <v>0</v>
      </c>
      <c r="E1506" s="39"/>
      <c r="F1506" s="40"/>
      <c r="G1506" s="41"/>
      <c r="H1506" s="42">
        <f>YEAR(Tabela3[[#This Row],[Data]])</f>
        <v>1900</v>
      </c>
      <c r="I1506" s="42" t="str">
        <f>_xlfn.XLOOKUP(J1506,'Centro de Custo'!J$2:J$13,'Centro de Custo'!K$2:K$13)</f>
        <v>Janeiro</v>
      </c>
      <c r="J1506" s="43">
        <f>MONTH(Tabela3[[#This Row],[Data]])</f>
        <v>1</v>
      </c>
      <c r="K1506" s="39">
        <f>SUM(E$3:Tabela3[[#This Row],[Valor]])</f>
        <v>4236027.08</v>
      </c>
      <c r="L1506" s="40">
        <f t="shared" si="23"/>
        <v>2.22375</v>
      </c>
      <c r="M1506" s="40"/>
      <c r="N1506" s="40"/>
      <c r="O1506" s="40"/>
      <c r="P1506" s="39"/>
      <c r="Q1506" s="39"/>
      <c r="R1506" s="39"/>
      <c r="S1506" s="39"/>
      <c r="T1506" s="39"/>
      <c r="V1506" t="b">
        <f>IF(Tabela3[[#This Row],[Pago]]&lt;&gt;"",IF(F1507="",Tabela3[[#This Row],[Saldo]],0))</f>
        <v>0</v>
      </c>
    </row>
    <row r="1507" spans="2:22" x14ac:dyDescent="0.25">
      <c r="B1507" s="37"/>
      <c r="C1507">
        <f>_xlfn.XLOOKUP(B1507,'Centro de Custo'!A$2:A$45,'Centro de Custo'!B$2:B$45)</f>
        <v>0</v>
      </c>
      <c r="E1507" s="39"/>
      <c r="F1507" s="40"/>
      <c r="G1507" s="41"/>
      <c r="H1507" s="42">
        <f>YEAR(Tabela3[[#This Row],[Data]])</f>
        <v>1900</v>
      </c>
      <c r="I1507" s="42" t="str">
        <f>_xlfn.XLOOKUP(J1507,'Centro de Custo'!J$2:J$13,'Centro de Custo'!K$2:K$13)</f>
        <v>Janeiro</v>
      </c>
      <c r="J1507" s="43">
        <f>MONTH(Tabela3[[#This Row],[Data]])</f>
        <v>1</v>
      </c>
      <c r="K1507" s="39">
        <f>SUM(E$3:Tabela3[[#This Row],[Valor]])</f>
        <v>4236027.08</v>
      </c>
      <c r="L1507" s="40">
        <f t="shared" si="23"/>
        <v>2.22375</v>
      </c>
      <c r="M1507" s="40"/>
      <c r="N1507" s="40"/>
      <c r="O1507" s="40"/>
      <c r="P1507" s="39"/>
      <c r="Q1507" s="39"/>
      <c r="R1507" s="39"/>
      <c r="S1507" s="39"/>
      <c r="T1507" s="39"/>
      <c r="V1507" t="b">
        <f>IF(Tabela3[[#This Row],[Pago]]&lt;&gt;"",IF(F1508="",Tabela3[[#This Row],[Saldo]],0))</f>
        <v>0</v>
      </c>
    </row>
    <row r="1508" spans="2:22" x14ac:dyDescent="0.25">
      <c r="B1508" s="37"/>
      <c r="C1508">
        <f>_xlfn.XLOOKUP(B1508,'Centro de Custo'!A$2:A$45,'Centro de Custo'!B$2:B$45)</f>
        <v>0</v>
      </c>
      <c r="E1508" s="39"/>
      <c r="F1508" s="40"/>
      <c r="G1508" s="41"/>
      <c r="H1508" s="42">
        <f>YEAR(Tabela3[[#This Row],[Data]])</f>
        <v>1900</v>
      </c>
      <c r="I1508" s="42" t="str">
        <f>_xlfn.XLOOKUP(J1508,'Centro de Custo'!J$2:J$13,'Centro de Custo'!K$2:K$13)</f>
        <v>Janeiro</v>
      </c>
      <c r="J1508" s="43">
        <f>MONTH(Tabela3[[#This Row],[Data]])</f>
        <v>1</v>
      </c>
      <c r="K1508" s="39">
        <f>SUM(E$3:Tabela3[[#This Row],[Valor]])</f>
        <v>4236027.08</v>
      </c>
      <c r="L1508" s="40">
        <f t="shared" si="23"/>
        <v>2.22375</v>
      </c>
      <c r="M1508" s="40"/>
      <c r="N1508" s="40"/>
      <c r="O1508" s="40"/>
      <c r="P1508" s="39"/>
      <c r="Q1508" s="39"/>
      <c r="R1508" s="39"/>
      <c r="S1508" s="39"/>
      <c r="T1508" s="39"/>
      <c r="V1508" t="b">
        <f>IF(Tabela3[[#This Row],[Pago]]&lt;&gt;"",IF(F1509="",Tabela3[[#This Row],[Saldo]],0))</f>
        <v>0</v>
      </c>
    </row>
    <row r="1509" spans="2:22" x14ac:dyDescent="0.25">
      <c r="B1509" s="37"/>
      <c r="C1509">
        <f>_xlfn.XLOOKUP(B1509,'Centro de Custo'!A$2:A$45,'Centro de Custo'!B$2:B$45)</f>
        <v>0</v>
      </c>
      <c r="E1509" s="39"/>
      <c r="F1509" s="40"/>
      <c r="G1509" s="41"/>
      <c r="H1509" s="42">
        <f>YEAR(Tabela3[[#This Row],[Data]])</f>
        <v>1900</v>
      </c>
      <c r="I1509" s="42" t="str">
        <f>_xlfn.XLOOKUP(J1509,'Centro de Custo'!J$2:J$13,'Centro de Custo'!K$2:K$13)</f>
        <v>Janeiro</v>
      </c>
      <c r="J1509" s="43">
        <f>MONTH(Tabela3[[#This Row],[Data]])</f>
        <v>1</v>
      </c>
      <c r="K1509" s="39">
        <f>SUM(E$3:Tabela3[[#This Row],[Valor]])</f>
        <v>4236027.08</v>
      </c>
      <c r="L1509" s="40">
        <f t="shared" si="23"/>
        <v>2.22375</v>
      </c>
      <c r="M1509" s="40"/>
      <c r="N1509" s="40"/>
      <c r="O1509" s="40"/>
      <c r="P1509" s="39"/>
      <c r="Q1509" s="39"/>
      <c r="R1509" s="39"/>
      <c r="S1509" s="39"/>
      <c r="T1509" s="39"/>
      <c r="V1509" t="b">
        <f>IF(Tabela3[[#This Row],[Pago]]&lt;&gt;"",IF(F1510="",Tabela3[[#This Row],[Saldo]],0))</f>
        <v>0</v>
      </c>
    </row>
    <row r="1510" spans="2:22" x14ac:dyDescent="0.25">
      <c r="B1510" s="37"/>
      <c r="C1510">
        <f>_xlfn.XLOOKUP(B1510,'Centro de Custo'!A$2:A$45,'Centro de Custo'!B$2:B$45)</f>
        <v>0</v>
      </c>
      <c r="E1510" s="39"/>
      <c r="F1510" s="40"/>
      <c r="G1510" s="41"/>
      <c r="H1510" s="42">
        <f>YEAR(Tabela3[[#This Row],[Data]])</f>
        <v>1900</v>
      </c>
      <c r="I1510" s="42" t="str">
        <f>_xlfn.XLOOKUP(J1510,'Centro de Custo'!J$2:J$13,'Centro de Custo'!K$2:K$13)</f>
        <v>Janeiro</v>
      </c>
      <c r="J1510" s="43">
        <f>MONTH(Tabela3[[#This Row],[Data]])</f>
        <v>1</v>
      </c>
      <c r="K1510" s="39">
        <f>SUM(E$3:Tabela3[[#This Row],[Valor]])</f>
        <v>4236027.08</v>
      </c>
      <c r="L1510" s="40">
        <f t="shared" si="23"/>
        <v>2.22375</v>
      </c>
      <c r="M1510" s="40"/>
      <c r="N1510" s="40"/>
      <c r="O1510" s="40"/>
      <c r="P1510" s="39"/>
      <c r="Q1510" s="39"/>
      <c r="R1510" s="39"/>
      <c r="S1510" s="39"/>
      <c r="T1510" s="39"/>
      <c r="V1510" t="b">
        <f>IF(Tabela3[[#This Row],[Pago]]&lt;&gt;"",IF(F1511="",Tabela3[[#This Row],[Saldo]],0))</f>
        <v>0</v>
      </c>
    </row>
    <row r="1511" spans="2:22" x14ac:dyDescent="0.25">
      <c r="B1511" s="37"/>
      <c r="C1511">
        <f>_xlfn.XLOOKUP(B1511,'Centro de Custo'!A$2:A$45,'Centro de Custo'!B$2:B$45)</f>
        <v>0</v>
      </c>
      <c r="E1511" s="39"/>
      <c r="F1511" s="40"/>
      <c r="G1511" s="41"/>
      <c r="H1511" s="42">
        <f>YEAR(Tabela3[[#This Row],[Data]])</f>
        <v>1900</v>
      </c>
      <c r="I1511" s="42" t="str">
        <f>_xlfn.XLOOKUP(J1511,'Centro de Custo'!J$2:J$13,'Centro de Custo'!K$2:K$13)</f>
        <v>Janeiro</v>
      </c>
      <c r="J1511" s="43">
        <f>MONTH(Tabela3[[#This Row],[Data]])</f>
        <v>1</v>
      </c>
      <c r="K1511" s="39">
        <f>SUM(E$3:Tabela3[[#This Row],[Valor]])</f>
        <v>4236027.08</v>
      </c>
      <c r="L1511" s="40">
        <f t="shared" si="23"/>
        <v>2.22375</v>
      </c>
      <c r="M1511" s="40"/>
      <c r="N1511" s="40"/>
      <c r="O1511" s="40"/>
      <c r="P1511" s="39"/>
      <c r="Q1511" s="39"/>
      <c r="R1511" s="39"/>
      <c r="S1511" s="39"/>
      <c r="T1511" s="39"/>
      <c r="V1511" t="b">
        <f>IF(Tabela3[[#This Row],[Pago]]&lt;&gt;"",IF(F1512="",Tabela3[[#This Row],[Saldo]],0))</f>
        <v>0</v>
      </c>
    </row>
    <row r="1512" spans="2:22" x14ac:dyDescent="0.25">
      <c r="B1512" s="37"/>
      <c r="C1512">
        <f>_xlfn.XLOOKUP(B1512,'Centro de Custo'!A$2:A$45,'Centro de Custo'!B$2:B$45)</f>
        <v>0</v>
      </c>
      <c r="E1512" s="39"/>
      <c r="F1512" s="40"/>
      <c r="G1512" s="41"/>
      <c r="H1512" s="42">
        <f>YEAR(Tabela3[[#This Row],[Data]])</f>
        <v>1900</v>
      </c>
      <c r="I1512" s="42" t="str">
        <f>_xlfn.XLOOKUP(J1512,'Centro de Custo'!J$2:J$13,'Centro de Custo'!K$2:K$13)</f>
        <v>Janeiro</v>
      </c>
      <c r="J1512" s="43">
        <f>MONTH(Tabela3[[#This Row],[Data]])</f>
        <v>1</v>
      </c>
      <c r="K1512" s="39">
        <f>SUM(E$3:Tabela3[[#This Row],[Valor]])</f>
        <v>4236027.08</v>
      </c>
      <c r="L1512" s="40">
        <f t="shared" si="23"/>
        <v>2.22375</v>
      </c>
      <c r="M1512" s="40"/>
      <c r="N1512" s="40"/>
      <c r="O1512" s="40"/>
      <c r="P1512" s="39"/>
      <c r="Q1512" s="39"/>
      <c r="R1512" s="39"/>
      <c r="S1512" s="39"/>
      <c r="T1512" s="39"/>
      <c r="V1512" t="b">
        <f>IF(Tabela3[[#This Row],[Pago]]&lt;&gt;"",IF(F1513="",Tabela3[[#This Row],[Saldo]],0))</f>
        <v>0</v>
      </c>
    </row>
    <row r="1513" spans="2:22" x14ac:dyDescent="0.25">
      <c r="B1513" s="37"/>
      <c r="C1513">
        <f>_xlfn.XLOOKUP(B1513,'Centro de Custo'!A$2:A$45,'Centro de Custo'!B$2:B$45)</f>
        <v>0</v>
      </c>
      <c r="E1513" s="39"/>
      <c r="F1513" s="40"/>
      <c r="G1513" s="41"/>
      <c r="H1513" s="42">
        <f>YEAR(Tabela3[[#This Row],[Data]])</f>
        <v>1900</v>
      </c>
      <c r="I1513" s="42" t="str">
        <f>_xlfn.XLOOKUP(J1513,'Centro de Custo'!J$2:J$13,'Centro de Custo'!K$2:K$13)</f>
        <v>Janeiro</v>
      </c>
      <c r="J1513" s="43">
        <f>MONTH(Tabela3[[#This Row],[Data]])</f>
        <v>1</v>
      </c>
      <c r="K1513" s="39">
        <f>SUM(E$3:Tabela3[[#This Row],[Valor]])</f>
        <v>4236027.08</v>
      </c>
      <c r="L1513" s="40">
        <f t="shared" si="23"/>
        <v>2.22375</v>
      </c>
      <c r="M1513" s="40"/>
      <c r="N1513" s="40"/>
      <c r="O1513" s="40"/>
      <c r="P1513" s="39"/>
      <c r="Q1513" s="39"/>
      <c r="R1513" s="39"/>
      <c r="S1513" s="39"/>
      <c r="T1513" s="39"/>
      <c r="V1513" t="b">
        <f>IF(Tabela3[[#This Row],[Pago]]&lt;&gt;"",IF(F1514="",Tabela3[[#This Row],[Saldo]],0))</f>
        <v>0</v>
      </c>
    </row>
    <row r="1514" spans="2:22" x14ac:dyDescent="0.25">
      <c r="B1514" s="37"/>
      <c r="C1514">
        <f>_xlfn.XLOOKUP(B1514,'Centro de Custo'!A$2:A$45,'Centro de Custo'!B$2:B$45)</f>
        <v>0</v>
      </c>
      <c r="E1514" s="39"/>
      <c r="F1514" s="40"/>
      <c r="G1514" s="41"/>
      <c r="H1514" s="42">
        <f>YEAR(Tabela3[[#This Row],[Data]])</f>
        <v>1900</v>
      </c>
      <c r="I1514" s="42" t="str">
        <f>_xlfn.XLOOKUP(J1514,'Centro de Custo'!J$2:J$13,'Centro de Custo'!K$2:K$13)</f>
        <v>Janeiro</v>
      </c>
      <c r="J1514" s="43">
        <f>MONTH(Tabela3[[#This Row],[Data]])</f>
        <v>1</v>
      </c>
      <c r="K1514" s="39">
        <f>SUM(E$3:Tabela3[[#This Row],[Valor]])</f>
        <v>4236027.08</v>
      </c>
      <c r="L1514" s="40">
        <f t="shared" si="23"/>
        <v>2.22375</v>
      </c>
      <c r="M1514" s="40"/>
      <c r="N1514" s="40"/>
      <c r="O1514" s="40"/>
      <c r="P1514" s="39"/>
      <c r="Q1514" s="39"/>
      <c r="R1514" s="39"/>
      <c r="S1514" s="39"/>
      <c r="T1514" s="39"/>
      <c r="V1514" t="b">
        <f>IF(Tabela3[[#This Row],[Pago]]&lt;&gt;"",IF(F1515="",Tabela3[[#This Row],[Saldo]],0))</f>
        <v>0</v>
      </c>
    </row>
    <row r="1515" spans="2:22" x14ac:dyDescent="0.25">
      <c r="B1515" s="37"/>
      <c r="C1515">
        <f>_xlfn.XLOOKUP(B1515,'Centro de Custo'!A$2:A$45,'Centro de Custo'!B$2:B$45)</f>
        <v>0</v>
      </c>
      <c r="E1515" s="39"/>
      <c r="F1515" s="40"/>
      <c r="G1515" s="41"/>
      <c r="H1515" s="42">
        <f>YEAR(Tabela3[[#This Row],[Data]])</f>
        <v>1900</v>
      </c>
      <c r="I1515" s="42" t="str">
        <f>_xlfn.XLOOKUP(J1515,'Centro de Custo'!J$2:J$13,'Centro de Custo'!K$2:K$13)</f>
        <v>Janeiro</v>
      </c>
      <c r="J1515" s="43">
        <f>MONTH(Tabela3[[#This Row],[Data]])</f>
        <v>1</v>
      </c>
      <c r="K1515" s="39">
        <f>SUM(E$3:Tabela3[[#This Row],[Valor]])</f>
        <v>4236027.08</v>
      </c>
      <c r="L1515" s="40">
        <f t="shared" si="23"/>
        <v>2.22375</v>
      </c>
      <c r="M1515" s="40"/>
      <c r="N1515" s="40"/>
      <c r="O1515" s="40"/>
      <c r="P1515" s="39"/>
      <c r="Q1515" s="39"/>
      <c r="R1515" s="39"/>
      <c r="S1515" s="39"/>
      <c r="T1515" s="39"/>
      <c r="V1515" t="b">
        <f>IF(Tabela3[[#This Row],[Pago]]&lt;&gt;"",IF(F1516="",Tabela3[[#This Row],[Saldo]],0))</f>
        <v>0</v>
      </c>
    </row>
    <row r="1516" spans="2:22" x14ac:dyDescent="0.25">
      <c r="B1516" s="37"/>
      <c r="C1516">
        <f>_xlfn.XLOOKUP(B1516,'Centro de Custo'!A$2:A$45,'Centro de Custo'!B$2:B$45)</f>
        <v>0</v>
      </c>
      <c r="E1516" s="39"/>
      <c r="F1516" s="40"/>
      <c r="G1516" s="41"/>
      <c r="H1516" s="42">
        <f>YEAR(Tabela3[[#This Row],[Data]])</f>
        <v>1900</v>
      </c>
      <c r="I1516" s="42" t="str">
        <f>_xlfn.XLOOKUP(J1516,'Centro de Custo'!J$2:J$13,'Centro de Custo'!K$2:K$13)</f>
        <v>Janeiro</v>
      </c>
      <c r="J1516" s="43">
        <f>MONTH(Tabela3[[#This Row],[Data]])</f>
        <v>1</v>
      </c>
      <c r="K1516" s="39">
        <f>SUM(E$3:Tabela3[[#This Row],[Valor]])</f>
        <v>4236027.08</v>
      </c>
      <c r="L1516" s="40">
        <f t="shared" si="23"/>
        <v>2.22375</v>
      </c>
      <c r="M1516" s="40"/>
      <c r="N1516" s="40"/>
      <c r="O1516" s="40"/>
      <c r="P1516" s="39"/>
      <c r="Q1516" s="39"/>
      <c r="R1516" s="39"/>
      <c r="S1516" s="39"/>
      <c r="T1516" s="39"/>
      <c r="V1516" t="b">
        <f>IF(Tabela3[[#This Row],[Pago]]&lt;&gt;"",IF(F1517="",Tabela3[[#This Row],[Saldo]],0))</f>
        <v>0</v>
      </c>
    </row>
    <row r="1517" spans="2:22" x14ac:dyDescent="0.25">
      <c r="B1517" s="37"/>
      <c r="C1517">
        <f>_xlfn.XLOOKUP(B1517,'Centro de Custo'!A$2:A$45,'Centro de Custo'!B$2:B$45)</f>
        <v>0</v>
      </c>
      <c r="E1517" s="39"/>
      <c r="F1517" s="40"/>
      <c r="G1517" s="41"/>
      <c r="H1517" s="42">
        <f>YEAR(Tabela3[[#This Row],[Data]])</f>
        <v>1900</v>
      </c>
      <c r="I1517" s="42" t="str">
        <f>_xlfn.XLOOKUP(J1517,'Centro de Custo'!J$2:J$13,'Centro de Custo'!K$2:K$13)</f>
        <v>Janeiro</v>
      </c>
      <c r="J1517" s="43">
        <f>MONTH(Tabela3[[#This Row],[Data]])</f>
        <v>1</v>
      </c>
      <c r="K1517" s="39">
        <f>SUM(E$3:Tabela3[[#This Row],[Valor]])</f>
        <v>4236027.08</v>
      </c>
      <c r="L1517" s="40">
        <f t="shared" si="23"/>
        <v>2.22375</v>
      </c>
      <c r="M1517" s="40"/>
      <c r="N1517" s="40"/>
      <c r="O1517" s="40"/>
      <c r="P1517" s="39"/>
      <c r="Q1517" s="39"/>
      <c r="R1517" s="39"/>
      <c r="S1517" s="39"/>
      <c r="T1517" s="39"/>
      <c r="V1517" t="b">
        <f>IF(Tabela3[[#This Row],[Pago]]&lt;&gt;"",IF(F1518="",Tabela3[[#This Row],[Saldo]],0))</f>
        <v>0</v>
      </c>
    </row>
    <row r="1518" spans="2:22" x14ac:dyDescent="0.25">
      <c r="B1518" s="37"/>
      <c r="C1518">
        <f>_xlfn.XLOOKUP(B1518,'Centro de Custo'!A$2:A$45,'Centro de Custo'!B$2:B$45)</f>
        <v>0</v>
      </c>
      <c r="E1518" s="39"/>
      <c r="F1518" s="40"/>
      <c r="G1518" s="41"/>
      <c r="H1518" s="42">
        <f>YEAR(Tabela3[[#This Row],[Data]])</f>
        <v>1900</v>
      </c>
      <c r="I1518" s="42" t="str">
        <f>_xlfn.XLOOKUP(J1518,'Centro de Custo'!J$2:J$13,'Centro de Custo'!K$2:K$13)</f>
        <v>Janeiro</v>
      </c>
      <c r="J1518" s="43">
        <f>MONTH(Tabela3[[#This Row],[Data]])</f>
        <v>1</v>
      </c>
      <c r="K1518" s="39">
        <f>SUM(E$3:Tabela3[[#This Row],[Valor]])</f>
        <v>4236027.08</v>
      </c>
      <c r="L1518" s="40">
        <f t="shared" si="23"/>
        <v>2.22375</v>
      </c>
      <c r="M1518" s="40"/>
      <c r="N1518" s="40"/>
      <c r="O1518" s="40"/>
      <c r="P1518" s="39"/>
      <c r="Q1518" s="39"/>
      <c r="R1518" s="39"/>
      <c r="S1518" s="39"/>
      <c r="T1518" s="39"/>
      <c r="V1518" t="b">
        <f>IF(Tabela3[[#This Row],[Pago]]&lt;&gt;"",IF(F1519="",Tabela3[[#This Row],[Saldo]],0))</f>
        <v>0</v>
      </c>
    </row>
    <row r="1519" spans="2:22" x14ac:dyDescent="0.25">
      <c r="B1519" s="37"/>
      <c r="C1519">
        <f>_xlfn.XLOOKUP(B1519,'Centro de Custo'!A$2:A$45,'Centro de Custo'!B$2:B$45)</f>
        <v>0</v>
      </c>
      <c r="E1519" s="39"/>
      <c r="F1519" s="40"/>
      <c r="G1519" s="41"/>
      <c r="H1519" s="42">
        <f>YEAR(Tabela3[[#This Row],[Data]])</f>
        <v>1900</v>
      </c>
      <c r="I1519" s="42" t="str">
        <f>_xlfn.XLOOKUP(J1519,'Centro de Custo'!J$2:J$13,'Centro de Custo'!K$2:K$13)</f>
        <v>Janeiro</v>
      </c>
      <c r="J1519" s="43">
        <f>MONTH(Tabela3[[#This Row],[Data]])</f>
        <v>1</v>
      </c>
      <c r="K1519" s="39">
        <f>SUM(E$3:Tabela3[[#This Row],[Valor]])</f>
        <v>4236027.08</v>
      </c>
      <c r="L1519" s="40">
        <f t="shared" si="23"/>
        <v>2.22375</v>
      </c>
      <c r="M1519" s="40"/>
      <c r="N1519" s="40"/>
      <c r="O1519" s="40"/>
      <c r="P1519" s="39"/>
      <c r="Q1519" s="39"/>
      <c r="R1519" s="39"/>
      <c r="S1519" s="39"/>
      <c r="T1519" s="39"/>
      <c r="V1519" t="b">
        <f>IF(Tabela3[[#This Row],[Pago]]&lt;&gt;"",IF(F1520="",Tabela3[[#This Row],[Saldo]],0))</f>
        <v>0</v>
      </c>
    </row>
    <row r="1520" spans="2:22" x14ac:dyDescent="0.25">
      <c r="B1520" s="37"/>
      <c r="C1520">
        <f>_xlfn.XLOOKUP(B1520,'Centro de Custo'!A$2:A$45,'Centro de Custo'!B$2:B$45)</f>
        <v>0</v>
      </c>
      <c r="E1520" s="39"/>
      <c r="F1520" s="40"/>
      <c r="G1520" s="41"/>
      <c r="H1520" s="42">
        <f>YEAR(Tabela3[[#This Row],[Data]])</f>
        <v>1900</v>
      </c>
      <c r="I1520" s="42" t="str">
        <f>_xlfn.XLOOKUP(J1520,'Centro de Custo'!J$2:J$13,'Centro de Custo'!K$2:K$13)</f>
        <v>Janeiro</v>
      </c>
      <c r="J1520" s="43">
        <f>MONTH(Tabela3[[#This Row],[Data]])</f>
        <v>1</v>
      </c>
      <c r="K1520" s="39">
        <f>SUM(E$3:Tabela3[[#This Row],[Valor]])</f>
        <v>4236027.08</v>
      </c>
      <c r="L1520" s="40">
        <f t="shared" si="23"/>
        <v>2.22375</v>
      </c>
      <c r="M1520" s="40"/>
      <c r="N1520" s="40"/>
      <c r="O1520" s="40"/>
      <c r="P1520" s="39"/>
      <c r="Q1520" s="39"/>
      <c r="R1520" s="39"/>
      <c r="S1520" s="39"/>
      <c r="T1520" s="39"/>
      <c r="V1520" t="b">
        <f>IF(Tabela3[[#This Row],[Pago]]&lt;&gt;"",IF(F1521="",Tabela3[[#This Row],[Saldo]],0))</f>
        <v>0</v>
      </c>
    </row>
    <row r="1521" spans="2:22" x14ac:dyDescent="0.25">
      <c r="B1521" s="37"/>
      <c r="C1521">
        <f>_xlfn.XLOOKUP(B1521,'Centro de Custo'!A$2:A$45,'Centro de Custo'!B$2:B$45)</f>
        <v>0</v>
      </c>
      <c r="E1521" s="39"/>
      <c r="F1521" s="40"/>
      <c r="G1521" s="41"/>
      <c r="H1521" s="42">
        <f>YEAR(Tabela3[[#This Row],[Data]])</f>
        <v>1900</v>
      </c>
      <c r="I1521" s="42" t="str">
        <f>_xlfn.XLOOKUP(J1521,'Centro de Custo'!J$2:J$13,'Centro de Custo'!K$2:K$13)</f>
        <v>Janeiro</v>
      </c>
      <c r="J1521" s="43">
        <f>MONTH(Tabela3[[#This Row],[Data]])</f>
        <v>1</v>
      </c>
      <c r="K1521" s="39">
        <f>SUM(E$3:Tabela3[[#This Row],[Valor]])</f>
        <v>4236027.08</v>
      </c>
      <c r="L1521" s="40">
        <f t="shared" si="23"/>
        <v>2.22375</v>
      </c>
      <c r="M1521" s="40"/>
      <c r="N1521" s="40"/>
      <c r="O1521" s="40"/>
      <c r="P1521" s="39"/>
      <c r="Q1521" s="39"/>
      <c r="R1521" s="39"/>
      <c r="S1521" s="39"/>
      <c r="T1521" s="39"/>
      <c r="V1521" t="b">
        <f>IF(Tabela3[[#This Row],[Pago]]&lt;&gt;"",IF(F1522="",Tabela3[[#This Row],[Saldo]],0))</f>
        <v>0</v>
      </c>
    </row>
    <row r="1522" spans="2:22" x14ac:dyDescent="0.25">
      <c r="B1522" s="37"/>
      <c r="C1522">
        <f>_xlfn.XLOOKUP(B1522,'Centro de Custo'!A$2:A$45,'Centro de Custo'!B$2:B$45)</f>
        <v>0</v>
      </c>
      <c r="E1522" s="39"/>
      <c r="F1522" s="40"/>
      <c r="G1522" s="41"/>
      <c r="H1522" s="42">
        <f>YEAR(Tabela3[[#This Row],[Data]])</f>
        <v>1900</v>
      </c>
      <c r="I1522" s="42" t="str">
        <f>_xlfn.XLOOKUP(J1522,'Centro de Custo'!J$2:J$13,'Centro de Custo'!K$2:K$13)</f>
        <v>Janeiro</v>
      </c>
      <c r="J1522" s="43">
        <f>MONTH(Tabela3[[#This Row],[Data]])</f>
        <v>1</v>
      </c>
      <c r="K1522" s="39">
        <f>SUM(E$3:Tabela3[[#This Row],[Valor]])</f>
        <v>4236027.08</v>
      </c>
      <c r="L1522" s="40">
        <f t="shared" si="23"/>
        <v>2.22375</v>
      </c>
      <c r="M1522" s="40"/>
      <c r="N1522" s="40"/>
      <c r="O1522" s="40"/>
      <c r="P1522" s="39"/>
      <c r="Q1522" s="39"/>
      <c r="R1522" s="39"/>
      <c r="S1522" s="39"/>
      <c r="T1522" s="39"/>
      <c r="V1522" t="b">
        <f>IF(Tabela3[[#This Row],[Pago]]&lt;&gt;"",IF(F1523="",Tabela3[[#This Row],[Saldo]],0))</f>
        <v>0</v>
      </c>
    </row>
    <row r="1523" spans="2:22" x14ac:dyDescent="0.25">
      <c r="B1523" s="37"/>
      <c r="C1523">
        <f>_xlfn.XLOOKUP(B1523,'Centro de Custo'!A$2:A$45,'Centro de Custo'!B$2:B$45)</f>
        <v>0</v>
      </c>
      <c r="E1523" s="39"/>
      <c r="F1523" s="40"/>
      <c r="G1523" s="41"/>
      <c r="H1523" s="42">
        <f>YEAR(Tabela3[[#This Row],[Data]])</f>
        <v>1900</v>
      </c>
      <c r="I1523" s="42" t="str">
        <f>_xlfn.XLOOKUP(J1523,'Centro de Custo'!J$2:J$13,'Centro de Custo'!K$2:K$13)</f>
        <v>Janeiro</v>
      </c>
      <c r="J1523" s="43">
        <f>MONTH(Tabela3[[#This Row],[Data]])</f>
        <v>1</v>
      </c>
      <c r="K1523" s="39">
        <f>SUM(E$3:Tabela3[[#This Row],[Valor]])</f>
        <v>4236027.08</v>
      </c>
      <c r="L1523" s="40">
        <f t="shared" si="23"/>
        <v>2.22375</v>
      </c>
      <c r="M1523" s="40"/>
      <c r="N1523" s="40"/>
      <c r="O1523" s="40"/>
      <c r="P1523" s="39"/>
      <c r="Q1523" s="39"/>
      <c r="R1523" s="39"/>
      <c r="S1523" s="39"/>
      <c r="T1523" s="39"/>
      <c r="V1523" t="b">
        <f>IF(Tabela3[[#This Row],[Pago]]&lt;&gt;"",IF(F1524="",Tabela3[[#This Row],[Saldo]],0))</f>
        <v>0</v>
      </c>
    </row>
    <row r="1524" spans="2:22" x14ac:dyDescent="0.25">
      <c r="B1524" s="37"/>
      <c r="C1524">
        <f>_xlfn.XLOOKUP(B1524,'Centro de Custo'!A$2:A$45,'Centro de Custo'!B$2:B$45)</f>
        <v>0</v>
      </c>
      <c r="E1524" s="39"/>
      <c r="F1524" s="40"/>
      <c r="G1524" s="41"/>
      <c r="H1524" s="42">
        <f>YEAR(Tabela3[[#This Row],[Data]])</f>
        <v>1900</v>
      </c>
      <c r="I1524" s="42" t="str">
        <f>_xlfn.XLOOKUP(J1524,'Centro de Custo'!J$2:J$13,'Centro de Custo'!K$2:K$13)</f>
        <v>Janeiro</v>
      </c>
      <c r="J1524" s="43">
        <f>MONTH(Tabela3[[#This Row],[Data]])</f>
        <v>1</v>
      </c>
      <c r="K1524" s="39">
        <f>SUM(E$3:Tabela3[[#This Row],[Valor]])</f>
        <v>4236027.08</v>
      </c>
      <c r="L1524" s="40">
        <f t="shared" si="23"/>
        <v>2.22375</v>
      </c>
      <c r="M1524" s="40"/>
      <c r="N1524" s="40"/>
      <c r="O1524" s="40"/>
      <c r="P1524" s="39"/>
      <c r="Q1524" s="39"/>
      <c r="R1524" s="39"/>
      <c r="S1524" s="39"/>
      <c r="T1524" s="39"/>
      <c r="V1524" t="b">
        <f>IF(Tabela3[[#This Row],[Pago]]&lt;&gt;"",IF(F1525="",Tabela3[[#This Row],[Saldo]],0))</f>
        <v>0</v>
      </c>
    </row>
    <row r="1525" spans="2:22" x14ac:dyDescent="0.25">
      <c r="B1525" s="37"/>
      <c r="C1525">
        <f>_xlfn.XLOOKUP(B1525,'Centro de Custo'!A$2:A$45,'Centro de Custo'!B$2:B$45)</f>
        <v>0</v>
      </c>
      <c r="E1525" s="39"/>
      <c r="F1525" s="40"/>
      <c r="G1525" s="41"/>
      <c r="H1525" s="42">
        <f>YEAR(Tabela3[[#This Row],[Data]])</f>
        <v>1900</v>
      </c>
      <c r="I1525" s="42" t="str">
        <f>_xlfn.XLOOKUP(J1525,'Centro de Custo'!J$2:J$13,'Centro de Custo'!K$2:K$13)</f>
        <v>Janeiro</v>
      </c>
      <c r="J1525" s="43">
        <f>MONTH(Tabela3[[#This Row],[Data]])</f>
        <v>1</v>
      </c>
      <c r="K1525" s="39">
        <f>SUM(E$3:Tabela3[[#This Row],[Valor]])</f>
        <v>4236027.08</v>
      </c>
      <c r="L1525" s="40">
        <f t="shared" si="23"/>
        <v>2.22375</v>
      </c>
      <c r="M1525" s="40"/>
      <c r="N1525" s="40"/>
      <c r="O1525" s="40"/>
      <c r="P1525" s="39"/>
      <c r="Q1525" s="39"/>
      <c r="R1525" s="39"/>
      <c r="S1525" s="39"/>
      <c r="T1525" s="39"/>
      <c r="V1525" t="b">
        <f>IF(Tabela3[[#This Row],[Pago]]&lt;&gt;"",IF(F1526="",Tabela3[[#This Row],[Saldo]],0))</f>
        <v>0</v>
      </c>
    </row>
    <row r="1526" spans="2:22" x14ac:dyDescent="0.25">
      <c r="B1526" s="37"/>
      <c r="C1526">
        <f>_xlfn.XLOOKUP(B1526,'Centro de Custo'!A$2:A$45,'Centro de Custo'!B$2:B$45)</f>
        <v>0</v>
      </c>
      <c r="E1526" s="39"/>
      <c r="F1526" s="40"/>
      <c r="G1526" s="41"/>
      <c r="H1526" s="42">
        <f>YEAR(Tabela3[[#This Row],[Data]])</f>
        <v>1900</v>
      </c>
      <c r="I1526" s="42" t="str">
        <f>_xlfn.XLOOKUP(J1526,'Centro de Custo'!J$2:J$13,'Centro de Custo'!K$2:K$13)</f>
        <v>Janeiro</v>
      </c>
      <c r="J1526" s="43">
        <f>MONTH(Tabela3[[#This Row],[Data]])</f>
        <v>1</v>
      </c>
      <c r="K1526" s="39">
        <f>SUM(E$3:Tabela3[[#This Row],[Valor]])</f>
        <v>4236027.08</v>
      </c>
      <c r="L1526" s="40">
        <f t="shared" si="23"/>
        <v>2.22375</v>
      </c>
      <c r="M1526" s="40"/>
      <c r="N1526" s="40"/>
      <c r="O1526" s="40"/>
      <c r="P1526" s="39"/>
      <c r="Q1526" s="39"/>
      <c r="R1526" s="39"/>
      <c r="S1526" s="39"/>
      <c r="T1526" s="39"/>
      <c r="V1526" t="b">
        <f>IF(Tabela3[[#This Row],[Pago]]&lt;&gt;"",IF(F1527="",Tabela3[[#This Row],[Saldo]],0))</f>
        <v>0</v>
      </c>
    </row>
    <row r="1527" spans="2:22" x14ac:dyDescent="0.25">
      <c r="B1527" s="37"/>
      <c r="C1527">
        <f>_xlfn.XLOOKUP(B1527,'Centro de Custo'!A$2:A$45,'Centro de Custo'!B$2:B$45)</f>
        <v>0</v>
      </c>
      <c r="E1527" s="39"/>
      <c r="F1527" s="40"/>
      <c r="G1527" s="41"/>
      <c r="H1527" s="42">
        <f>YEAR(Tabela3[[#This Row],[Data]])</f>
        <v>1900</v>
      </c>
      <c r="I1527" s="42" t="str">
        <f>_xlfn.XLOOKUP(J1527,'Centro de Custo'!J$2:J$13,'Centro de Custo'!K$2:K$13)</f>
        <v>Janeiro</v>
      </c>
      <c r="J1527" s="43">
        <f>MONTH(Tabela3[[#This Row],[Data]])</f>
        <v>1</v>
      </c>
      <c r="K1527" s="39">
        <f>SUM(E$3:Tabela3[[#This Row],[Valor]])</f>
        <v>4236027.08</v>
      </c>
      <c r="L1527" s="40">
        <f t="shared" si="23"/>
        <v>2.22375</v>
      </c>
      <c r="M1527" s="40"/>
      <c r="N1527" s="40"/>
      <c r="O1527" s="40"/>
      <c r="P1527" s="39"/>
      <c r="Q1527" s="39"/>
      <c r="R1527" s="39"/>
      <c r="S1527" s="39"/>
      <c r="T1527" s="39"/>
      <c r="V1527" t="b">
        <f>IF(Tabela3[[#This Row],[Pago]]&lt;&gt;"",IF(F1528="",Tabela3[[#This Row],[Saldo]],0))</f>
        <v>0</v>
      </c>
    </row>
    <row r="1528" spans="2:22" x14ac:dyDescent="0.25">
      <c r="B1528" s="37"/>
      <c r="C1528">
        <f>_xlfn.XLOOKUP(B1528,'Centro de Custo'!A$2:A$45,'Centro de Custo'!B$2:B$45)</f>
        <v>0</v>
      </c>
      <c r="E1528" s="39"/>
      <c r="F1528" s="40"/>
      <c r="G1528" s="41"/>
      <c r="H1528" s="42">
        <f>YEAR(Tabela3[[#This Row],[Data]])</f>
        <v>1900</v>
      </c>
      <c r="I1528" s="42" t="str">
        <f>_xlfn.XLOOKUP(J1528,'Centro de Custo'!J$2:J$13,'Centro de Custo'!K$2:K$13)</f>
        <v>Janeiro</v>
      </c>
      <c r="J1528" s="43">
        <f>MONTH(Tabela3[[#This Row],[Data]])</f>
        <v>1</v>
      </c>
      <c r="K1528" s="39">
        <f>SUM(E$3:Tabela3[[#This Row],[Valor]])</f>
        <v>4236027.08</v>
      </c>
      <c r="L1528" s="40">
        <f t="shared" si="23"/>
        <v>2.22375</v>
      </c>
      <c r="M1528" s="40"/>
      <c r="N1528" s="40"/>
      <c r="O1528" s="40"/>
      <c r="P1528" s="39"/>
      <c r="Q1528" s="39"/>
      <c r="R1528" s="39"/>
      <c r="S1528" s="39"/>
      <c r="T1528" s="39"/>
      <c r="V1528" t="b">
        <f>IF(Tabela3[[#This Row],[Pago]]&lt;&gt;"",IF(F1529="",Tabela3[[#This Row],[Saldo]],0))</f>
        <v>0</v>
      </c>
    </row>
    <row r="1529" spans="2:22" x14ac:dyDescent="0.25">
      <c r="B1529" s="37"/>
      <c r="C1529">
        <f>_xlfn.XLOOKUP(B1529,'Centro de Custo'!A$2:A$45,'Centro de Custo'!B$2:B$45)</f>
        <v>0</v>
      </c>
      <c r="E1529" s="39"/>
      <c r="F1529" s="40"/>
      <c r="G1529" s="41"/>
      <c r="H1529" s="42">
        <f>YEAR(Tabela3[[#This Row],[Data]])</f>
        <v>1900</v>
      </c>
      <c r="I1529" s="42" t="str">
        <f>_xlfn.XLOOKUP(J1529,'Centro de Custo'!J$2:J$13,'Centro de Custo'!K$2:K$13)</f>
        <v>Janeiro</v>
      </c>
      <c r="J1529" s="43">
        <f>MONTH(Tabela3[[#This Row],[Data]])</f>
        <v>1</v>
      </c>
      <c r="K1529" s="39">
        <f>SUM(E$3:Tabela3[[#This Row],[Valor]])</f>
        <v>4236027.08</v>
      </c>
      <c r="L1529" s="40">
        <f t="shared" si="23"/>
        <v>2.22375</v>
      </c>
      <c r="M1529" s="40"/>
      <c r="N1529" s="40"/>
      <c r="O1529" s="40"/>
      <c r="P1529" s="39"/>
      <c r="Q1529" s="39"/>
      <c r="R1529" s="39"/>
      <c r="S1529" s="39"/>
      <c r="T1529" s="39"/>
      <c r="V1529" t="b">
        <f>IF(Tabela3[[#This Row],[Pago]]&lt;&gt;"",IF(F1530="",Tabela3[[#This Row],[Saldo]],0))</f>
        <v>0</v>
      </c>
    </row>
    <row r="1530" spans="2:22" x14ac:dyDescent="0.25">
      <c r="B1530" s="37"/>
      <c r="C1530">
        <f>_xlfn.XLOOKUP(B1530,'Centro de Custo'!A$2:A$45,'Centro de Custo'!B$2:B$45)</f>
        <v>0</v>
      </c>
      <c r="E1530" s="39"/>
      <c r="F1530" s="40"/>
      <c r="G1530" s="41"/>
      <c r="H1530" s="42">
        <f>YEAR(Tabela3[[#This Row],[Data]])</f>
        <v>1900</v>
      </c>
      <c r="I1530" s="42" t="str">
        <f>_xlfn.XLOOKUP(J1530,'Centro de Custo'!J$2:J$13,'Centro de Custo'!K$2:K$13)</f>
        <v>Janeiro</v>
      </c>
      <c r="J1530" s="43">
        <f>MONTH(Tabela3[[#This Row],[Data]])</f>
        <v>1</v>
      </c>
      <c r="K1530" s="39">
        <f>SUM(E$3:Tabela3[[#This Row],[Valor]])</f>
        <v>4236027.08</v>
      </c>
      <c r="L1530" s="40">
        <f t="shared" si="23"/>
        <v>2.22375</v>
      </c>
      <c r="M1530" s="40"/>
      <c r="N1530" s="40"/>
      <c r="O1530" s="40"/>
      <c r="P1530" s="39"/>
      <c r="Q1530" s="39"/>
      <c r="R1530" s="39"/>
      <c r="S1530" s="39"/>
      <c r="T1530" s="39"/>
      <c r="V1530" t="b">
        <f>IF(Tabela3[[#This Row],[Pago]]&lt;&gt;"",IF(F1531="",Tabela3[[#This Row],[Saldo]],0))</f>
        <v>0</v>
      </c>
    </row>
    <row r="1531" spans="2:22" x14ac:dyDescent="0.25">
      <c r="B1531" s="37"/>
      <c r="C1531">
        <f>_xlfn.XLOOKUP(B1531,'Centro de Custo'!A$2:A$45,'Centro de Custo'!B$2:B$45)</f>
        <v>0</v>
      </c>
      <c r="E1531" s="39"/>
      <c r="F1531" s="40"/>
      <c r="G1531" s="41"/>
      <c r="H1531" s="42">
        <f>YEAR(Tabela3[[#This Row],[Data]])</f>
        <v>1900</v>
      </c>
      <c r="I1531" s="42" t="str">
        <f>_xlfn.XLOOKUP(J1531,'Centro de Custo'!J$2:J$13,'Centro de Custo'!K$2:K$13)</f>
        <v>Janeiro</v>
      </c>
      <c r="J1531" s="43">
        <f>MONTH(Tabela3[[#This Row],[Data]])</f>
        <v>1</v>
      </c>
      <c r="K1531" s="39">
        <f>SUM(E$3:Tabela3[[#This Row],[Valor]])</f>
        <v>4236027.08</v>
      </c>
      <c r="L1531" s="40">
        <f t="shared" si="23"/>
        <v>2.22375</v>
      </c>
      <c r="M1531" s="40"/>
      <c r="N1531" s="40"/>
      <c r="O1531" s="40"/>
      <c r="P1531" s="39"/>
      <c r="Q1531" s="39"/>
      <c r="R1531" s="39"/>
      <c r="S1531" s="39"/>
      <c r="T1531" s="39"/>
      <c r="V1531" t="b">
        <f>IF(Tabela3[[#This Row],[Pago]]&lt;&gt;"",IF(F1532="",Tabela3[[#This Row],[Saldo]],0))</f>
        <v>0</v>
      </c>
    </row>
    <row r="1532" spans="2:22" x14ac:dyDescent="0.25">
      <c r="B1532" s="37"/>
      <c r="C1532">
        <f>_xlfn.XLOOKUP(B1532,'Centro de Custo'!A$2:A$45,'Centro de Custo'!B$2:B$45)</f>
        <v>0</v>
      </c>
      <c r="E1532" s="39"/>
      <c r="F1532" s="40"/>
      <c r="G1532" s="41"/>
      <c r="H1532" s="42">
        <f>YEAR(Tabela3[[#This Row],[Data]])</f>
        <v>1900</v>
      </c>
      <c r="I1532" s="42" t="str">
        <f>_xlfn.XLOOKUP(J1532,'Centro de Custo'!J$2:J$13,'Centro de Custo'!K$2:K$13)</f>
        <v>Janeiro</v>
      </c>
      <c r="J1532" s="43">
        <f>MONTH(Tabela3[[#This Row],[Data]])</f>
        <v>1</v>
      </c>
      <c r="K1532" s="39">
        <f>SUM(E$3:Tabela3[[#This Row],[Valor]])</f>
        <v>4236027.08</v>
      </c>
      <c r="L1532" s="40">
        <f t="shared" si="23"/>
        <v>2.22375</v>
      </c>
      <c r="M1532" s="40"/>
      <c r="N1532" s="40"/>
      <c r="O1532" s="40"/>
      <c r="P1532" s="39"/>
      <c r="Q1532" s="39"/>
      <c r="R1532" s="39"/>
      <c r="S1532" s="39"/>
      <c r="T1532" s="39"/>
      <c r="V1532" t="b">
        <f>IF(Tabela3[[#This Row],[Pago]]&lt;&gt;"",IF(F1533="",Tabela3[[#This Row],[Saldo]],0))</f>
        <v>0</v>
      </c>
    </row>
    <row r="1533" spans="2:22" x14ac:dyDescent="0.25">
      <c r="B1533" s="37"/>
      <c r="C1533">
        <f>_xlfn.XLOOKUP(B1533,'Centro de Custo'!A$2:A$45,'Centro de Custo'!B$2:B$45)</f>
        <v>0</v>
      </c>
      <c r="E1533" s="39"/>
      <c r="F1533" s="40"/>
      <c r="G1533" s="41"/>
      <c r="H1533" s="42">
        <f>YEAR(Tabela3[[#This Row],[Data]])</f>
        <v>1900</v>
      </c>
      <c r="I1533" s="42" t="str">
        <f>_xlfn.XLOOKUP(J1533,'Centro de Custo'!J$2:J$13,'Centro de Custo'!K$2:K$13)</f>
        <v>Janeiro</v>
      </c>
      <c r="J1533" s="43">
        <f>MONTH(Tabela3[[#This Row],[Data]])</f>
        <v>1</v>
      </c>
      <c r="K1533" s="39">
        <f>SUM(E$3:Tabela3[[#This Row],[Valor]])</f>
        <v>4236027.08</v>
      </c>
      <c r="L1533" s="40">
        <f t="shared" si="23"/>
        <v>2.22375</v>
      </c>
      <c r="M1533" s="40"/>
      <c r="N1533" s="40"/>
      <c r="O1533" s="40"/>
      <c r="P1533" s="39"/>
      <c r="Q1533" s="39"/>
      <c r="R1533" s="39"/>
      <c r="S1533" s="39"/>
      <c r="T1533" s="39"/>
      <c r="V1533" t="b">
        <f>IF(Tabela3[[#This Row],[Pago]]&lt;&gt;"",IF(F1534="",Tabela3[[#This Row],[Saldo]],0))</f>
        <v>0</v>
      </c>
    </row>
    <row r="1534" spans="2:22" x14ac:dyDescent="0.25">
      <c r="B1534" s="37"/>
      <c r="C1534">
        <f>_xlfn.XLOOKUP(B1534,'Centro de Custo'!A$2:A$45,'Centro de Custo'!B$2:B$45)</f>
        <v>0</v>
      </c>
      <c r="E1534" s="39"/>
      <c r="F1534" s="40"/>
      <c r="G1534" s="41"/>
      <c r="H1534" s="42">
        <f>YEAR(Tabela3[[#This Row],[Data]])</f>
        <v>1900</v>
      </c>
      <c r="I1534" s="42" t="str">
        <f>_xlfn.XLOOKUP(J1534,'Centro de Custo'!J$2:J$13,'Centro de Custo'!K$2:K$13)</f>
        <v>Janeiro</v>
      </c>
      <c r="J1534" s="43">
        <f>MONTH(Tabela3[[#This Row],[Data]])</f>
        <v>1</v>
      </c>
      <c r="K1534" s="39">
        <f>SUM(E$3:Tabela3[[#This Row],[Valor]])</f>
        <v>4236027.08</v>
      </c>
      <c r="L1534" s="40">
        <f t="shared" si="23"/>
        <v>2.22375</v>
      </c>
      <c r="M1534" s="40"/>
      <c r="N1534" s="40"/>
      <c r="O1534" s="40"/>
      <c r="P1534" s="39"/>
      <c r="Q1534" s="39"/>
      <c r="R1534" s="39"/>
      <c r="S1534" s="39"/>
      <c r="T1534" s="39"/>
      <c r="V1534" t="b">
        <f>IF(Tabela3[[#This Row],[Pago]]&lt;&gt;"",IF(F1535="",Tabela3[[#This Row],[Saldo]],0))</f>
        <v>0</v>
      </c>
    </row>
    <row r="1535" spans="2:22" x14ac:dyDescent="0.25">
      <c r="B1535" s="37"/>
      <c r="C1535">
        <f>_xlfn.XLOOKUP(B1535,'Centro de Custo'!A$2:A$45,'Centro de Custo'!B$2:B$45)</f>
        <v>0</v>
      </c>
      <c r="E1535" s="39"/>
      <c r="F1535" s="40"/>
      <c r="G1535" s="41"/>
      <c r="H1535" s="42">
        <f>YEAR(Tabela3[[#This Row],[Data]])</f>
        <v>1900</v>
      </c>
      <c r="I1535" s="42" t="str">
        <f>_xlfn.XLOOKUP(J1535,'Centro de Custo'!J$2:J$13,'Centro de Custo'!K$2:K$13)</f>
        <v>Janeiro</v>
      </c>
      <c r="J1535" s="43">
        <f>MONTH(Tabela3[[#This Row],[Data]])</f>
        <v>1</v>
      </c>
      <c r="K1535" s="39">
        <f>SUM(E$3:Tabela3[[#This Row],[Valor]])</f>
        <v>4236027.08</v>
      </c>
      <c r="L1535" s="40">
        <f t="shared" si="23"/>
        <v>2.22375</v>
      </c>
      <c r="M1535" s="40"/>
      <c r="N1535" s="40"/>
      <c r="O1535" s="40"/>
      <c r="P1535" s="39"/>
      <c r="Q1535" s="39"/>
      <c r="R1535" s="39"/>
      <c r="S1535" s="39"/>
      <c r="T1535" s="39"/>
      <c r="V1535" t="b">
        <f>IF(Tabela3[[#This Row],[Pago]]&lt;&gt;"",IF(F1536="",Tabela3[[#This Row],[Saldo]],0))</f>
        <v>0</v>
      </c>
    </row>
    <row r="1536" spans="2:22" x14ac:dyDescent="0.25">
      <c r="B1536" s="37"/>
      <c r="C1536">
        <f>_xlfn.XLOOKUP(B1536,'Centro de Custo'!A$2:A$45,'Centro de Custo'!B$2:B$45)</f>
        <v>0</v>
      </c>
      <c r="E1536" s="39"/>
      <c r="F1536" s="40"/>
      <c r="G1536" s="41"/>
      <c r="H1536" s="42">
        <f>YEAR(Tabela3[[#This Row],[Data]])</f>
        <v>1900</v>
      </c>
      <c r="I1536" s="42" t="str">
        <f>_xlfn.XLOOKUP(J1536,'Centro de Custo'!J$2:J$13,'Centro de Custo'!K$2:K$13)</f>
        <v>Janeiro</v>
      </c>
      <c r="J1536" s="43">
        <f>MONTH(Tabela3[[#This Row],[Data]])</f>
        <v>1</v>
      </c>
      <c r="K1536" s="39">
        <f>SUM(E$3:Tabela3[[#This Row],[Valor]])</f>
        <v>4236027.08</v>
      </c>
      <c r="L1536" s="40">
        <f t="shared" si="23"/>
        <v>2.22375</v>
      </c>
      <c r="M1536" s="40"/>
      <c r="N1536" s="40"/>
      <c r="O1536" s="40"/>
      <c r="P1536" s="39"/>
      <c r="Q1536" s="39"/>
      <c r="R1536" s="39"/>
      <c r="S1536" s="39"/>
      <c r="T1536" s="39"/>
      <c r="V1536" t="b">
        <f>IF(Tabela3[[#This Row],[Pago]]&lt;&gt;"",IF(F1537="",Tabela3[[#This Row],[Saldo]],0))</f>
        <v>0</v>
      </c>
    </row>
    <row r="1537" spans="2:22" x14ac:dyDescent="0.25">
      <c r="B1537" s="37"/>
      <c r="C1537">
        <f>_xlfn.XLOOKUP(B1537,'Centro de Custo'!A$2:A$45,'Centro de Custo'!B$2:B$45)</f>
        <v>0</v>
      </c>
      <c r="E1537" s="39"/>
      <c r="F1537" s="40"/>
      <c r="G1537" s="41"/>
      <c r="H1537" s="42">
        <f>YEAR(Tabela3[[#This Row],[Data]])</f>
        <v>1900</v>
      </c>
      <c r="I1537" s="42" t="str">
        <f>_xlfn.XLOOKUP(J1537,'Centro de Custo'!J$2:J$13,'Centro de Custo'!K$2:K$13)</f>
        <v>Janeiro</v>
      </c>
      <c r="J1537" s="43">
        <f>MONTH(Tabela3[[#This Row],[Data]])</f>
        <v>1</v>
      </c>
      <c r="K1537" s="39">
        <f>SUM(E$3:Tabela3[[#This Row],[Valor]])</f>
        <v>4236027.08</v>
      </c>
      <c r="L1537" s="40">
        <f t="shared" si="23"/>
        <v>2.22375</v>
      </c>
      <c r="M1537" s="40"/>
      <c r="N1537" s="40"/>
      <c r="O1537" s="40"/>
      <c r="P1537" s="39"/>
      <c r="Q1537" s="39"/>
      <c r="R1537" s="39"/>
      <c r="S1537" s="39"/>
      <c r="T1537" s="39"/>
      <c r="V1537" t="b">
        <f>IF(Tabela3[[#This Row],[Pago]]&lt;&gt;"",IF(F1538="",Tabela3[[#This Row],[Saldo]],0))</f>
        <v>0</v>
      </c>
    </row>
    <row r="1538" spans="2:22" x14ac:dyDescent="0.25">
      <c r="B1538" s="37"/>
      <c r="C1538">
        <f>_xlfn.XLOOKUP(B1538,'Centro de Custo'!A$2:A$45,'Centro de Custo'!B$2:B$45)</f>
        <v>0</v>
      </c>
      <c r="E1538" s="39"/>
      <c r="F1538" s="40"/>
      <c r="G1538" s="41"/>
      <c r="H1538" s="42">
        <f>YEAR(Tabela3[[#This Row],[Data]])</f>
        <v>1900</v>
      </c>
      <c r="I1538" s="42" t="str">
        <f>_xlfn.XLOOKUP(J1538,'Centro de Custo'!J$2:J$13,'Centro de Custo'!K$2:K$13)</f>
        <v>Janeiro</v>
      </c>
      <c r="J1538" s="43">
        <f>MONTH(Tabela3[[#This Row],[Data]])</f>
        <v>1</v>
      </c>
      <c r="K1538" s="39">
        <f>SUM(E$3:Tabela3[[#This Row],[Valor]])</f>
        <v>4236027.08</v>
      </c>
      <c r="L1538" s="40">
        <f t="shared" si="23"/>
        <v>2.22375</v>
      </c>
      <c r="M1538" s="40"/>
      <c r="N1538" s="40"/>
      <c r="O1538" s="40"/>
      <c r="P1538" s="39"/>
      <c r="Q1538" s="39"/>
      <c r="R1538" s="39"/>
      <c r="S1538" s="39"/>
      <c r="T1538" s="39"/>
      <c r="V1538" t="b">
        <f>IF(Tabela3[[#This Row],[Pago]]&lt;&gt;"",IF(F1539="",Tabela3[[#This Row],[Saldo]],0))</f>
        <v>0</v>
      </c>
    </row>
    <row r="1539" spans="2:22" x14ac:dyDescent="0.25">
      <c r="B1539" s="37"/>
      <c r="C1539">
        <f>_xlfn.XLOOKUP(B1539,'Centro de Custo'!A$2:A$45,'Centro de Custo'!B$2:B$45)</f>
        <v>0</v>
      </c>
      <c r="E1539" s="39"/>
      <c r="F1539" s="40"/>
      <c r="G1539" s="41"/>
      <c r="H1539" s="42">
        <f>YEAR(Tabela3[[#This Row],[Data]])</f>
        <v>1900</v>
      </c>
      <c r="I1539" s="42" t="str">
        <f>_xlfn.XLOOKUP(J1539,'Centro de Custo'!J$2:J$13,'Centro de Custo'!K$2:K$13)</f>
        <v>Janeiro</v>
      </c>
      <c r="J1539" s="43">
        <f>MONTH(Tabela3[[#This Row],[Data]])</f>
        <v>1</v>
      </c>
      <c r="K1539" s="39">
        <f>SUM(E$3:Tabela3[[#This Row],[Valor]])</f>
        <v>4236027.08</v>
      </c>
      <c r="L1539" s="40">
        <f t="shared" ref="L1539:L1602" si="24">17.79/8</f>
        <v>2.22375</v>
      </c>
      <c r="M1539" s="40"/>
      <c r="N1539" s="40"/>
      <c r="O1539" s="40"/>
      <c r="P1539" s="39"/>
      <c r="Q1539" s="39"/>
      <c r="R1539" s="39"/>
      <c r="S1539" s="39"/>
      <c r="T1539" s="39"/>
      <c r="V1539" t="b">
        <f>IF(Tabela3[[#This Row],[Pago]]&lt;&gt;"",IF(F1540="",Tabela3[[#This Row],[Saldo]],0))</f>
        <v>0</v>
      </c>
    </row>
    <row r="1540" spans="2:22" x14ac:dyDescent="0.25">
      <c r="B1540" s="37"/>
      <c r="C1540">
        <f>_xlfn.XLOOKUP(B1540,'Centro de Custo'!A$2:A$45,'Centro de Custo'!B$2:B$45)</f>
        <v>0</v>
      </c>
      <c r="E1540" s="39"/>
      <c r="F1540" s="40"/>
      <c r="G1540" s="41"/>
      <c r="H1540" s="42">
        <f>YEAR(Tabela3[[#This Row],[Data]])</f>
        <v>1900</v>
      </c>
      <c r="I1540" s="42" t="str">
        <f>_xlfn.XLOOKUP(J1540,'Centro de Custo'!J$2:J$13,'Centro de Custo'!K$2:K$13)</f>
        <v>Janeiro</v>
      </c>
      <c r="J1540" s="43">
        <f>MONTH(Tabela3[[#This Row],[Data]])</f>
        <v>1</v>
      </c>
      <c r="K1540" s="39">
        <f>SUM(E$3:Tabela3[[#This Row],[Valor]])</f>
        <v>4236027.08</v>
      </c>
      <c r="L1540" s="40">
        <f t="shared" si="24"/>
        <v>2.22375</v>
      </c>
      <c r="M1540" s="40"/>
      <c r="N1540" s="40"/>
      <c r="O1540" s="40"/>
      <c r="P1540" s="39"/>
      <c r="Q1540" s="39"/>
      <c r="R1540" s="39"/>
      <c r="S1540" s="39"/>
      <c r="T1540" s="39"/>
      <c r="V1540" t="b">
        <f>IF(Tabela3[[#This Row],[Pago]]&lt;&gt;"",IF(F1541="",Tabela3[[#This Row],[Saldo]],0))</f>
        <v>0</v>
      </c>
    </row>
    <row r="1541" spans="2:22" x14ac:dyDescent="0.25">
      <c r="B1541" s="37"/>
      <c r="C1541">
        <f>_xlfn.XLOOKUP(B1541,'Centro de Custo'!A$2:A$45,'Centro de Custo'!B$2:B$45)</f>
        <v>0</v>
      </c>
      <c r="E1541" s="39"/>
      <c r="F1541" s="40"/>
      <c r="G1541" s="41"/>
      <c r="H1541" s="42">
        <f>YEAR(Tabela3[[#This Row],[Data]])</f>
        <v>1900</v>
      </c>
      <c r="I1541" s="42" t="str">
        <f>_xlfn.XLOOKUP(J1541,'Centro de Custo'!J$2:J$13,'Centro de Custo'!K$2:K$13)</f>
        <v>Janeiro</v>
      </c>
      <c r="J1541" s="43">
        <f>MONTH(Tabela3[[#This Row],[Data]])</f>
        <v>1</v>
      </c>
      <c r="K1541" s="39">
        <f>SUM(E$3:Tabela3[[#This Row],[Valor]])</f>
        <v>4236027.08</v>
      </c>
      <c r="L1541" s="40">
        <f t="shared" si="24"/>
        <v>2.22375</v>
      </c>
      <c r="M1541" s="40"/>
      <c r="N1541" s="40"/>
      <c r="O1541" s="40"/>
      <c r="P1541" s="39"/>
      <c r="Q1541" s="39"/>
      <c r="R1541" s="39"/>
      <c r="S1541" s="39"/>
      <c r="T1541" s="39"/>
      <c r="V1541" t="b">
        <f>IF(Tabela3[[#This Row],[Pago]]&lt;&gt;"",IF(F1542="",Tabela3[[#This Row],[Saldo]],0))</f>
        <v>0</v>
      </c>
    </row>
    <row r="1542" spans="2:22" x14ac:dyDescent="0.25">
      <c r="B1542" s="37"/>
      <c r="C1542">
        <f>_xlfn.XLOOKUP(B1542,'Centro de Custo'!A$2:A$45,'Centro de Custo'!B$2:B$45)</f>
        <v>0</v>
      </c>
      <c r="E1542" s="39"/>
      <c r="F1542" s="40"/>
      <c r="G1542" s="41"/>
      <c r="H1542" s="42">
        <f>YEAR(Tabela3[[#This Row],[Data]])</f>
        <v>1900</v>
      </c>
      <c r="I1542" s="42" t="str">
        <f>_xlfn.XLOOKUP(J1542,'Centro de Custo'!J$2:J$13,'Centro de Custo'!K$2:K$13)</f>
        <v>Janeiro</v>
      </c>
      <c r="J1542" s="43">
        <f>MONTH(Tabela3[[#This Row],[Data]])</f>
        <v>1</v>
      </c>
      <c r="K1542" s="39">
        <f>SUM(E$3:Tabela3[[#This Row],[Valor]])</f>
        <v>4236027.08</v>
      </c>
      <c r="L1542" s="40">
        <f t="shared" si="24"/>
        <v>2.22375</v>
      </c>
      <c r="M1542" s="40"/>
      <c r="N1542" s="40"/>
      <c r="O1542" s="40"/>
      <c r="P1542" s="39"/>
      <c r="Q1542" s="39"/>
      <c r="R1542" s="39"/>
      <c r="S1542" s="39"/>
      <c r="T1542" s="39"/>
      <c r="V1542" t="b">
        <f>IF(Tabela3[[#This Row],[Pago]]&lt;&gt;"",IF(F1543="",Tabela3[[#This Row],[Saldo]],0))</f>
        <v>0</v>
      </c>
    </row>
    <row r="1543" spans="2:22" x14ac:dyDescent="0.25">
      <c r="B1543" s="37"/>
      <c r="C1543">
        <f>_xlfn.XLOOKUP(B1543,'Centro de Custo'!A$2:A$45,'Centro de Custo'!B$2:B$45)</f>
        <v>0</v>
      </c>
      <c r="E1543" s="39"/>
      <c r="F1543" s="40"/>
      <c r="G1543" s="41"/>
      <c r="H1543" s="42">
        <f>YEAR(Tabela3[[#This Row],[Data]])</f>
        <v>1900</v>
      </c>
      <c r="I1543" s="42" t="str">
        <f>_xlfn.XLOOKUP(J1543,'Centro de Custo'!J$2:J$13,'Centro de Custo'!K$2:K$13)</f>
        <v>Janeiro</v>
      </c>
      <c r="J1543" s="43">
        <f>MONTH(Tabela3[[#This Row],[Data]])</f>
        <v>1</v>
      </c>
      <c r="K1543" s="39">
        <f>SUM(E$3:Tabela3[[#This Row],[Valor]])</f>
        <v>4236027.08</v>
      </c>
      <c r="L1543" s="40">
        <f t="shared" si="24"/>
        <v>2.22375</v>
      </c>
      <c r="M1543" s="40"/>
      <c r="N1543" s="40"/>
      <c r="O1543" s="40"/>
      <c r="P1543" s="39"/>
      <c r="Q1543" s="39"/>
      <c r="R1543" s="39"/>
      <c r="S1543" s="39"/>
      <c r="T1543" s="39"/>
      <c r="V1543" t="b">
        <f>IF(Tabela3[[#This Row],[Pago]]&lt;&gt;"",IF(F1544="",Tabela3[[#This Row],[Saldo]],0))</f>
        <v>0</v>
      </c>
    </row>
    <row r="1544" spans="2:22" x14ac:dyDescent="0.25">
      <c r="B1544" s="37"/>
      <c r="C1544">
        <f>_xlfn.XLOOKUP(B1544,'Centro de Custo'!A$2:A$45,'Centro de Custo'!B$2:B$45)</f>
        <v>0</v>
      </c>
      <c r="E1544" s="39"/>
      <c r="F1544" s="40"/>
      <c r="G1544" s="41"/>
      <c r="H1544" s="42">
        <f>YEAR(Tabela3[[#This Row],[Data]])</f>
        <v>1900</v>
      </c>
      <c r="I1544" s="42" t="str">
        <f>_xlfn.XLOOKUP(J1544,'Centro de Custo'!J$2:J$13,'Centro de Custo'!K$2:K$13)</f>
        <v>Janeiro</v>
      </c>
      <c r="J1544" s="43">
        <f>MONTH(Tabela3[[#This Row],[Data]])</f>
        <v>1</v>
      </c>
      <c r="K1544" s="39">
        <f>SUM(E$3:Tabela3[[#This Row],[Valor]])</f>
        <v>4236027.08</v>
      </c>
      <c r="L1544" s="40">
        <f t="shared" si="24"/>
        <v>2.22375</v>
      </c>
      <c r="M1544" s="40"/>
      <c r="N1544" s="40"/>
      <c r="O1544" s="40"/>
      <c r="P1544" s="39"/>
      <c r="Q1544" s="39"/>
      <c r="R1544" s="39"/>
      <c r="S1544" s="39"/>
      <c r="T1544" s="39"/>
      <c r="V1544" t="b">
        <f>IF(Tabela3[[#This Row],[Pago]]&lt;&gt;"",IF(F1545="",Tabela3[[#This Row],[Saldo]],0))</f>
        <v>0</v>
      </c>
    </row>
    <row r="1545" spans="2:22" x14ac:dyDescent="0.25">
      <c r="B1545" s="37"/>
      <c r="C1545">
        <f>_xlfn.XLOOKUP(B1545,'Centro de Custo'!A$2:A$45,'Centro de Custo'!B$2:B$45)</f>
        <v>0</v>
      </c>
      <c r="E1545" s="39"/>
      <c r="F1545" s="40"/>
      <c r="G1545" s="41"/>
      <c r="H1545" s="42">
        <f>YEAR(Tabela3[[#This Row],[Data]])</f>
        <v>1900</v>
      </c>
      <c r="I1545" s="42" t="str">
        <f>_xlfn.XLOOKUP(J1545,'Centro de Custo'!J$2:J$13,'Centro de Custo'!K$2:K$13)</f>
        <v>Janeiro</v>
      </c>
      <c r="J1545" s="43">
        <f>MONTH(Tabela3[[#This Row],[Data]])</f>
        <v>1</v>
      </c>
      <c r="K1545" s="39">
        <f>SUM(E$3:Tabela3[[#This Row],[Valor]])</f>
        <v>4236027.08</v>
      </c>
      <c r="L1545" s="40">
        <f t="shared" si="24"/>
        <v>2.22375</v>
      </c>
      <c r="M1545" s="40"/>
      <c r="N1545" s="40"/>
      <c r="O1545" s="40"/>
      <c r="P1545" s="39"/>
      <c r="Q1545" s="39"/>
      <c r="R1545" s="39"/>
      <c r="S1545" s="39"/>
      <c r="T1545" s="39"/>
      <c r="V1545" t="b">
        <f>IF(Tabela3[[#This Row],[Pago]]&lt;&gt;"",IF(F1546="",Tabela3[[#This Row],[Saldo]],0))</f>
        <v>0</v>
      </c>
    </row>
    <row r="1546" spans="2:22" x14ac:dyDescent="0.25">
      <c r="B1546" s="37"/>
      <c r="C1546">
        <f>_xlfn.XLOOKUP(B1546,'Centro de Custo'!A$2:A$45,'Centro de Custo'!B$2:B$45)</f>
        <v>0</v>
      </c>
      <c r="E1546" s="39"/>
      <c r="F1546" s="40"/>
      <c r="G1546" s="41"/>
      <c r="H1546" s="42">
        <f>YEAR(Tabela3[[#This Row],[Data]])</f>
        <v>1900</v>
      </c>
      <c r="I1546" s="42" t="str">
        <f>_xlfn.XLOOKUP(J1546,'Centro de Custo'!J$2:J$13,'Centro de Custo'!K$2:K$13)</f>
        <v>Janeiro</v>
      </c>
      <c r="J1546" s="43">
        <f>MONTH(Tabela3[[#This Row],[Data]])</f>
        <v>1</v>
      </c>
      <c r="K1546" s="39">
        <f>SUM(E$3:Tabela3[[#This Row],[Valor]])</f>
        <v>4236027.08</v>
      </c>
      <c r="L1546" s="40">
        <f t="shared" si="24"/>
        <v>2.22375</v>
      </c>
      <c r="M1546" s="40"/>
      <c r="N1546" s="40"/>
      <c r="O1546" s="40"/>
      <c r="P1546" s="39"/>
      <c r="Q1546" s="39"/>
      <c r="R1546" s="39"/>
      <c r="S1546" s="39"/>
      <c r="T1546" s="39"/>
      <c r="V1546" t="b">
        <f>IF(Tabela3[[#This Row],[Pago]]&lt;&gt;"",IF(F1547="",Tabela3[[#This Row],[Saldo]],0))</f>
        <v>0</v>
      </c>
    </row>
    <row r="1547" spans="2:22" x14ac:dyDescent="0.25">
      <c r="B1547" s="37"/>
      <c r="C1547">
        <f>_xlfn.XLOOKUP(B1547,'Centro de Custo'!A$2:A$45,'Centro de Custo'!B$2:B$45)</f>
        <v>0</v>
      </c>
      <c r="E1547" s="39"/>
      <c r="F1547" s="40"/>
      <c r="G1547" s="41"/>
      <c r="H1547" s="42">
        <f>YEAR(Tabela3[[#This Row],[Data]])</f>
        <v>1900</v>
      </c>
      <c r="I1547" s="42" t="str">
        <f>_xlfn.XLOOKUP(J1547,'Centro de Custo'!J$2:J$13,'Centro de Custo'!K$2:K$13)</f>
        <v>Janeiro</v>
      </c>
      <c r="J1547" s="43">
        <f>MONTH(Tabela3[[#This Row],[Data]])</f>
        <v>1</v>
      </c>
      <c r="K1547" s="39">
        <f>SUM(E$3:Tabela3[[#This Row],[Valor]])</f>
        <v>4236027.08</v>
      </c>
      <c r="L1547" s="40">
        <f t="shared" si="24"/>
        <v>2.22375</v>
      </c>
      <c r="M1547" s="40"/>
      <c r="N1547" s="40"/>
      <c r="O1547" s="40"/>
      <c r="P1547" s="39"/>
      <c r="Q1547" s="39"/>
      <c r="R1547" s="39"/>
      <c r="S1547" s="39"/>
      <c r="T1547" s="39"/>
      <c r="V1547" t="b">
        <f>IF(Tabela3[[#This Row],[Pago]]&lt;&gt;"",IF(F1548="",Tabela3[[#This Row],[Saldo]],0))</f>
        <v>0</v>
      </c>
    </row>
    <row r="1548" spans="2:22" x14ac:dyDescent="0.25">
      <c r="B1548" s="37"/>
      <c r="C1548">
        <f>_xlfn.XLOOKUP(B1548,'Centro de Custo'!A$2:A$45,'Centro de Custo'!B$2:B$45)</f>
        <v>0</v>
      </c>
      <c r="E1548" s="39"/>
      <c r="F1548" s="40"/>
      <c r="G1548" s="41"/>
      <c r="H1548" s="42">
        <f>YEAR(Tabela3[[#This Row],[Data]])</f>
        <v>1900</v>
      </c>
      <c r="I1548" s="42" t="str">
        <f>_xlfn.XLOOKUP(J1548,'Centro de Custo'!J$2:J$13,'Centro de Custo'!K$2:K$13)</f>
        <v>Janeiro</v>
      </c>
      <c r="J1548" s="43">
        <f>MONTH(Tabela3[[#This Row],[Data]])</f>
        <v>1</v>
      </c>
      <c r="K1548" s="39">
        <f>SUM(E$3:Tabela3[[#This Row],[Valor]])</f>
        <v>4236027.08</v>
      </c>
      <c r="L1548" s="40">
        <f t="shared" si="24"/>
        <v>2.22375</v>
      </c>
      <c r="M1548" s="40"/>
      <c r="N1548" s="40"/>
      <c r="O1548" s="40"/>
      <c r="P1548" s="39"/>
      <c r="Q1548" s="39"/>
      <c r="R1548" s="39"/>
      <c r="S1548" s="39"/>
      <c r="T1548" s="39"/>
      <c r="V1548" t="b">
        <f>IF(Tabela3[[#This Row],[Pago]]&lt;&gt;"",IF(F1549="",Tabela3[[#This Row],[Saldo]],0))</f>
        <v>0</v>
      </c>
    </row>
    <row r="1549" spans="2:22" x14ac:dyDescent="0.25">
      <c r="B1549" s="37"/>
      <c r="C1549">
        <f>_xlfn.XLOOKUP(B1549,'Centro de Custo'!A$2:A$45,'Centro de Custo'!B$2:B$45)</f>
        <v>0</v>
      </c>
      <c r="E1549" s="39"/>
      <c r="F1549" s="40"/>
      <c r="G1549" s="41"/>
      <c r="H1549" s="42">
        <f>YEAR(Tabela3[[#This Row],[Data]])</f>
        <v>1900</v>
      </c>
      <c r="I1549" s="42" t="str">
        <f>_xlfn.XLOOKUP(J1549,'Centro de Custo'!J$2:J$13,'Centro de Custo'!K$2:K$13)</f>
        <v>Janeiro</v>
      </c>
      <c r="J1549" s="43">
        <f>MONTH(Tabela3[[#This Row],[Data]])</f>
        <v>1</v>
      </c>
      <c r="K1549" s="39">
        <f>SUM(E$3:Tabela3[[#This Row],[Valor]])</f>
        <v>4236027.08</v>
      </c>
      <c r="L1549" s="40">
        <f t="shared" si="24"/>
        <v>2.22375</v>
      </c>
      <c r="M1549" s="40"/>
      <c r="N1549" s="40"/>
      <c r="O1549" s="40"/>
      <c r="P1549" s="39"/>
      <c r="Q1549" s="39"/>
      <c r="R1549" s="39"/>
      <c r="S1549" s="39"/>
      <c r="T1549" s="39"/>
      <c r="V1549" t="b">
        <f>IF(Tabela3[[#This Row],[Pago]]&lt;&gt;"",IF(F1550="",Tabela3[[#This Row],[Saldo]],0))</f>
        <v>0</v>
      </c>
    </row>
    <row r="1550" spans="2:22" x14ac:dyDescent="0.25">
      <c r="B1550" s="37"/>
      <c r="C1550">
        <f>_xlfn.XLOOKUP(B1550,'Centro de Custo'!A$2:A$45,'Centro de Custo'!B$2:B$45)</f>
        <v>0</v>
      </c>
      <c r="E1550" s="39"/>
      <c r="F1550" s="40"/>
      <c r="G1550" s="41"/>
      <c r="H1550" s="42">
        <f>YEAR(Tabela3[[#This Row],[Data]])</f>
        <v>1900</v>
      </c>
      <c r="I1550" s="42" t="str">
        <f>_xlfn.XLOOKUP(J1550,'Centro de Custo'!J$2:J$13,'Centro de Custo'!K$2:K$13)</f>
        <v>Janeiro</v>
      </c>
      <c r="J1550" s="43">
        <f>MONTH(Tabela3[[#This Row],[Data]])</f>
        <v>1</v>
      </c>
      <c r="K1550" s="39">
        <f>SUM(E$3:Tabela3[[#This Row],[Valor]])</f>
        <v>4236027.08</v>
      </c>
      <c r="L1550" s="40">
        <f t="shared" si="24"/>
        <v>2.22375</v>
      </c>
      <c r="M1550" s="40"/>
      <c r="N1550" s="40"/>
      <c r="O1550" s="40"/>
      <c r="P1550" s="39"/>
      <c r="Q1550" s="39"/>
      <c r="R1550" s="39"/>
      <c r="S1550" s="39"/>
      <c r="T1550" s="39"/>
      <c r="V1550" t="b">
        <f>IF(Tabela3[[#This Row],[Pago]]&lt;&gt;"",IF(F1551="",Tabela3[[#This Row],[Saldo]],0))</f>
        <v>0</v>
      </c>
    </row>
    <row r="1551" spans="2:22" x14ac:dyDescent="0.25">
      <c r="B1551" s="37"/>
      <c r="C1551">
        <f>_xlfn.XLOOKUP(B1551,'Centro de Custo'!A$2:A$45,'Centro de Custo'!B$2:B$45)</f>
        <v>0</v>
      </c>
      <c r="E1551" s="39"/>
      <c r="F1551" s="40"/>
      <c r="G1551" s="41"/>
      <c r="H1551" s="42">
        <f>YEAR(Tabela3[[#This Row],[Data]])</f>
        <v>1900</v>
      </c>
      <c r="I1551" s="42" t="str">
        <f>_xlfn.XLOOKUP(J1551,'Centro de Custo'!J$2:J$13,'Centro de Custo'!K$2:K$13)</f>
        <v>Janeiro</v>
      </c>
      <c r="J1551" s="43">
        <f>MONTH(Tabela3[[#This Row],[Data]])</f>
        <v>1</v>
      </c>
      <c r="K1551" s="39">
        <f>SUM(E$3:Tabela3[[#This Row],[Valor]])</f>
        <v>4236027.08</v>
      </c>
      <c r="L1551" s="40">
        <f t="shared" si="24"/>
        <v>2.22375</v>
      </c>
      <c r="M1551" s="40"/>
      <c r="N1551" s="40"/>
      <c r="O1551" s="40"/>
      <c r="P1551" s="39"/>
      <c r="Q1551" s="39"/>
      <c r="R1551" s="39"/>
      <c r="S1551" s="39"/>
      <c r="T1551" s="39"/>
      <c r="V1551" t="b">
        <f>IF(Tabela3[[#This Row],[Pago]]&lt;&gt;"",IF(F1552="",Tabela3[[#This Row],[Saldo]],0))</f>
        <v>0</v>
      </c>
    </row>
    <row r="1552" spans="2:22" x14ac:dyDescent="0.25">
      <c r="B1552" s="37"/>
      <c r="C1552">
        <f>_xlfn.XLOOKUP(B1552,'Centro de Custo'!A$2:A$45,'Centro de Custo'!B$2:B$45)</f>
        <v>0</v>
      </c>
      <c r="E1552" s="39"/>
      <c r="F1552" s="40"/>
      <c r="G1552" s="41"/>
      <c r="H1552" s="42">
        <f>YEAR(Tabela3[[#This Row],[Data]])</f>
        <v>1900</v>
      </c>
      <c r="I1552" s="42" t="str">
        <f>_xlfn.XLOOKUP(J1552,'Centro de Custo'!J$2:J$13,'Centro de Custo'!K$2:K$13)</f>
        <v>Janeiro</v>
      </c>
      <c r="J1552" s="43">
        <f>MONTH(Tabela3[[#This Row],[Data]])</f>
        <v>1</v>
      </c>
      <c r="K1552" s="39">
        <f>SUM(E$3:Tabela3[[#This Row],[Valor]])</f>
        <v>4236027.08</v>
      </c>
      <c r="L1552" s="40">
        <f t="shared" si="24"/>
        <v>2.22375</v>
      </c>
      <c r="M1552" s="40"/>
      <c r="N1552" s="40"/>
      <c r="O1552" s="40"/>
      <c r="P1552" s="39"/>
      <c r="Q1552" s="39"/>
      <c r="R1552" s="39"/>
      <c r="S1552" s="39"/>
      <c r="T1552" s="39"/>
      <c r="V1552" t="b">
        <f>IF(Tabela3[[#This Row],[Pago]]&lt;&gt;"",IF(F1553="",Tabela3[[#This Row],[Saldo]],0))</f>
        <v>0</v>
      </c>
    </row>
    <row r="1553" spans="2:22" x14ac:dyDescent="0.25">
      <c r="B1553" s="37"/>
      <c r="C1553">
        <f>_xlfn.XLOOKUP(B1553,'Centro de Custo'!A$2:A$45,'Centro de Custo'!B$2:B$45)</f>
        <v>0</v>
      </c>
      <c r="E1553" s="39"/>
      <c r="F1553" s="40"/>
      <c r="G1553" s="41"/>
      <c r="H1553" s="42">
        <f>YEAR(Tabela3[[#This Row],[Data]])</f>
        <v>1900</v>
      </c>
      <c r="I1553" s="42" t="str">
        <f>_xlfn.XLOOKUP(J1553,'Centro de Custo'!J$2:J$13,'Centro de Custo'!K$2:K$13)</f>
        <v>Janeiro</v>
      </c>
      <c r="J1553" s="43">
        <f>MONTH(Tabela3[[#This Row],[Data]])</f>
        <v>1</v>
      </c>
      <c r="K1553" s="39">
        <f>SUM(E$3:Tabela3[[#This Row],[Valor]])</f>
        <v>4236027.08</v>
      </c>
      <c r="L1553" s="40">
        <f t="shared" si="24"/>
        <v>2.22375</v>
      </c>
      <c r="M1553" s="40"/>
      <c r="N1553" s="40"/>
      <c r="O1553" s="40"/>
      <c r="P1553" s="39"/>
      <c r="Q1553" s="39"/>
      <c r="R1553" s="39"/>
      <c r="S1553" s="39"/>
      <c r="T1553" s="39"/>
      <c r="V1553" t="b">
        <f>IF(Tabela3[[#This Row],[Pago]]&lt;&gt;"",IF(F1554="",Tabela3[[#This Row],[Saldo]],0))</f>
        <v>0</v>
      </c>
    </row>
    <row r="1554" spans="2:22" x14ac:dyDescent="0.25">
      <c r="B1554" s="37"/>
      <c r="C1554">
        <f>_xlfn.XLOOKUP(B1554,'Centro de Custo'!A$2:A$45,'Centro de Custo'!B$2:B$45)</f>
        <v>0</v>
      </c>
      <c r="E1554" s="39"/>
      <c r="F1554" s="40"/>
      <c r="G1554" s="41"/>
      <c r="H1554" s="42">
        <f>YEAR(Tabela3[[#This Row],[Data]])</f>
        <v>1900</v>
      </c>
      <c r="I1554" s="42" t="str">
        <f>_xlfn.XLOOKUP(J1554,'Centro de Custo'!J$2:J$13,'Centro de Custo'!K$2:K$13)</f>
        <v>Janeiro</v>
      </c>
      <c r="J1554" s="43">
        <f>MONTH(Tabela3[[#This Row],[Data]])</f>
        <v>1</v>
      </c>
      <c r="K1554" s="39">
        <f>SUM(E$3:Tabela3[[#This Row],[Valor]])</f>
        <v>4236027.08</v>
      </c>
      <c r="L1554" s="40">
        <f t="shared" si="24"/>
        <v>2.22375</v>
      </c>
      <c r="M1554" s="40"/>
      <c r="N1554" s="40"/>
      <c r="O1554" s="40"/>
      <c r="P1554" s="39"/>
      <c r="Q1554" s="39"/>
      <c r="R1554" s="39"/>
      <c r="S1554" s="39"/>
      <c r="T1554" s="39"/>
      <c r="V1554" t="b">
        <f>IF(Tabela3[[#This Row],[Pago]]&lt;&gt;"",IF(F1555="",Tabela3[[#This Row],[Saldo]],0))</f>
        <v>0</v>
      </c>
    </row>
    <row r="1555" spans="2:22" x14ac:dyDescent="0.25">
      <c r="B1555" s="37"/>
      <c r="C1555">
        <f>_xlfn.XLOOKUP(B1555,'Centro de Custo'!A$2:A$45,'Centro de Custo'!B$2:B$45)</f>
        <v>0</v>
      </c>
      <c r="E1555" s="39"/>
      <c r="F1555" s="40"/>
      <c r="G1555" s="41"/>
      <c r="H1555" s="42">
        <f>YEAR(Tabela3[[#This Row],[Data]])</f>
        <v>1900</v>
      </c>
      <c r="I1555" s="42" t="str">
        <f>_xlfn.XLOOKUP(J1555,'Centro de Custo'!J$2:J$13,'Centro de Custo'!K$2:K$13)</f>
        <v>Janeiro</v>
      </c>
      <c r="J1555" s="43">
        <f>MONTH(Tabela3[[#This Row],[Data]])</f>
        <v>1</v>
      </c>
      <c r="K1555" s="39">
        <f>SUM(E$3:Tabela3[[#This Row],[Valor]])</f>
        <v>4236027.08</v>
      </c>
      <c r="L1555" s="40">
        <f t="shared" si="24"/>
        <v>2.22375</v>
      </c>
      <c r="M1555" s="40"/>
      <c r="N1555" s="40"/>
      <c r="O1555" s="40"/>
      <c r="P1555" s="39"/>
      <c r="Q1555" s="39"/>
      <c r="R1555" s="39"/>
      <c r="S1555" s="39"/>
      <c r="T1555" s="39"/>
      <c r="V1555" t="b">
        <f>IF(Tabela3[[#This Row],[Pago]]&lt;&gt;"",IF(F1556="",Tabela3[[#This Row],[Saldo]],0))</f>
        <v>0</v>
      </c>
    </row>
    <row r="1556" spans="2:22" x14ac:dyDescent="0.25">
      <c r="B1556" s="37"/>
      <c r="C1556">
        <f>_xlfn.XLOOKUP(B1556,'Centro de Custo'!A$2:A$45,'Centro de Custo'!B$2:B$45)</f>
        <v>0</v>
      </c>
      <c r="E1556" s="39"/>
      <c r="F1556" s="40"/>
      <c r="G1556" s="41"/>
      <c r="H1556" s="42">
        <f>YEAR(Tabela3[[#This Row],[Data]])</f>
        <v>1900</v>
      </c>
      <c r="I1556" s="42" t="str">
        <f>_xlfn.XLOOKUP(J1556,'Centro de Custo'!J$2:J$13,'Centro de Custo'!K$2:K$13)</f>
        <v>Janeiro</v>
      </c>
      <c r="J1556" s="43">
        <f>MONTH(Tabela3[[#This Row],[Data]])</f>
        <v>1</v>
      </c>
      <c r="K1556" s="39">
        <f>SUM(E$3:Tabela3[[#This Row],[Valor]])</f>
        <v>4236027.08</v>
      </c>
      <c r="L1556" s="40">
        <f t="shared" si="24"/>
        <v>2.22375</v>
      </c>
      <c r="M1556" s="40"/>
      <c r="N1556" s="40"/>
      <c r="O1556" s="40"/>
      <c r="P1556" s="39"/>
      <c r="Q1556" s="39"/>
      <c r="R1556" s="39"/>
      <c r="S1556" s="39"/>
      <c r="T1556" s="39"/>
      <c r="V1556" t="b">
        <f>IF(Tabela3[[#This Row],[Pago]]&lt;&gt;"",IF(F1557="",Tabela3[[#This Row],[Saldo]],0))</f>
        <v>0</v>
      </c>
    </row>
    <row r="1557" spans="2:22" x14ac:dyDescent="0.25">
      <c r="B1557" s="37"/>
      <c r="C1557">
        <f>_xlfn.XLOOKUP(B1557,'Centro de Custo'!A$2:A$45,'Centro de Custo'!B$2:B$45)</f>
        <v>0</v>
      </c>
      <c r="E1557" s="39"/>
      <c r="F1557" s="40"/>
      <c r="G1557" s="41"/>
      <c r="H1557" s="42">
        <f>YEAR(Tabela3[[#This Row],[Data]])</f>
        <v>1900</v>
      </c>
      <c r="I1557" s="42" t="str">
        <f>_xlfn.XLOOKUP(J1557,'Centro de Custo'!J$2:J$13,'Centro de Custo'!K$2:K$13)</f>
        <v>Janeiro</v>
      </c>
      <c r="J1557" s="43">
        <f>MONTH(Tabela3[[#This Row],[Data]])</f>
        <v>1</v>
      </c>
      <c r="K1557" s="39">
        <f>SUM(E$3:Tabela3[[#This Row],[Valor]])</f>
        <v>4236027.08</v>
      </c>
      <c r="L1557" s="40">
        <f t="shared" si="24"/>
        <v>2.22375</v>
      </c>
      <c r="M1557" s="40"/>
      <c r="N1557" s="40"/>
      <c r="O1557" s="40"/>
      <c r="P1557" s="39"/>
      <c r="Q1557" s="39"/>
      <c r="R1557" s="39"/>
      <c r="S1557" s="39"/>
      <c r="T1557" s="39"/>
      <c r="V1557" t="b">
        <f>IF(Tabela3[[#This Row],[Pago]]&lt;&gt;"",IF(F1558="",Tabela3[[#This Row],[Saldo]],0))</f>
        <v>0</v>
      </c>
    </row>
    <row r="1558" spans="2:22" x14ac:dyDescent="0.25">
      <c r="B1558" s="37"/>
      <c r="C1558">
        <f>_xlfn.XLOOKUP(B1558,'Centro de Custo'!A$2:A$45,'Centro de Custo'!B$2:B$45)</f>
        <v>0</v>
      </c>
      <c r="E1558" s="39"/>
      <c r="F1558" s="40"/>
      <c r="G1558" s="41"/>
      <c r="H1558" s="42">
        <f>YEAR(Tabela3[[#This Row],[Data]])</f>
        <v>1900</v>
      </c>
      <c r="I1558" s="42" t="str">
        <f>_xlfn.XLOOKUP(J1558,'Centro de Custo'!J$2:J$13,'Centro de Custo'!K$2:K$13)</f>
        <v>Janeiro</v>
      </c>
      <c r="J1558" s="43">
        <f>MONTH(Tabela3[[#This Row],[Data]])</f>
        <v>1</v>
      </c>
      <c r="K1558" s="39">
        <f>SUM(E$3:Tabela3[[#This Row],[Valor]])</f>
        <v>4236027.08</v>
      </c>
      <c r="L1558" s="40">
        <f t="shared" si="24"/>
        <v>2.22375</v>
      </c>
      <c r="M1558" s="40"/>
      <c r="N1558" s="40"/>
      <c r="O1558" s="40"/>
      <c r="P1558" s="39"/>
      <c r="Q1558" s="39"/>
      <c r="R1558" s="39"/>
      <c r="S1558" s="39"/>
      <c r="T1558" s="39"/>
      <c r="V1558" t="b">
        <f>IF(Tabela3[[#This Row],[Pago]]&lt;&gt;"",IF(F1559="",Tabela3[[#This Row],[Saldo]],0))</f>
        <v>0</v>
      </c>
    </row>
    <row r="1559" spans="2:22" x14ac:dyDescent="0.25">
      <c r="B1559" s="37"/>
      <c r="C1559">
        <f>_xlfn.XLOOKUP(B1559,'Centro de Custo'!A$2:A$45,'Centro de Custo'!B$2:B$45)</f>
        <v>0</v>
      </c>
      <c r="E1559" s="39"/>
      <c r="F1559" s="40"/>
      <c r="G1559" s="41"/>
      <c r="H1559" s="42">
        <f>YEAR(Tabela3[[#This Row],[Data]])</f>
        <v>1900</v>
      </c>
      <c r="I1559" s="42" t="str">
        <f>_xlfn.XLOOKUP(J1559,'Centro de Custo'!J$2:J$13,'Centro de Custo'!K$2:K$13)</f>
        <v>Janeiro</v>
      </c>
      <c r="J1559" s="43">
        <f>MONTH(Tabela3[[#This Row],[Data]])</f>
        <v>1</v>
      </c>
      <c r="K1559" s="39">
        <f>SUM(E$3:Tabela3[[#This Row],[Valor]])</f>
        <v>4236027.08</v>
      </c>
      <c r="L1559" s="40">
        <f t="shared" si="24"/>
        <v>2.22375</v>
      </c>
      <c r="M1559" s="40"/>
      <c r="N1559" s="40"/>
      <c r="O1559" s="40"/>
      <c r="P1559" s="39"/>
      <c r="Q1559" s="39"/>
      <c r="R1559" s="39"/>
      <c r="S1559" s="39"/>
      <c r="T1559" s="39"/>
      <c r="V1559" t="b">
        <f>IF(Tabela3[[#This Row],[Pago]]&lt;&gt;"",IF(F1560="",Tabela3[[#This Row],[Saldo]],0))</f>
        <v>0</v>
      </c>
    </row>
    <row r="1560" spans="2:22" x14ac:dyDescent="0.25">
      <c r="B1560" s="37"/>
      <c r="C1560">
        <f>_xlfn.XLOOKUP(B1560,'Centro de Custo'!A$2:A$45,'Centro de Custo'!B$2:B$45)</f>
        <v>0</v>
      </c>
      <c r="E1560" s="39"/>
      <c r="F1560" s="40"/>
      <c r="G1560" s="41"/>
      <c r="H1560" s="42">
        <f>YEAR(Tabela3[[#This Row],[Data]])</f>
        <v>1900</v>
      </c>
      <c r="I1560" s="42" t="str">
        <f>_xlfn.XLOOKUP(J1560,'Centro de Custo'!J$2:J$13,'Centro de Custo'!K$2:K$13)</f>
        <v>Janeiro</v>
      </c>
      <c r="J1560" s="43">
        <f>MONTH(Tabela3[[#This Row],[Data]])</f>
        <v>1</v>
      </c>
      <c r="K1560" s="39">
        <f>SUM(E$3:Tabela3[[#This Row],[Valor]])</f>
        <v>4236027.08</v>
      </c>
      <c r="L1560" s="40">
        <f t="shared" si="24"/>
        <v>2.22375</v>
      </c>
      <c r="M1560" s="40"/>
      <c r="N1560" s="40"/>
      <c r="O1560" s="40"/>
      <c r="P1560" s="39"/>
      <c r="Q1560" s="39"/>
      <c r="R1560" s="39"/>
      <c r="S1560" s="39"/>
      <c r="T1560" s="39"/>
      <c r="V1560" t="b">
        <f>IF(Tabela3[[#This Row],[Pago]]&lt;&gt;"",IF(F1561="",Tabela3[[#This Row],[Saldo]],0))</f>
        <v>0</v>
      </c>
    </row>
    <row r="1561" spans="2:22" x14ac:dyDescent="0.25">
      <c r="B1561" s="37"/>
      <c r="C1561">
        <f>_xlfn.XLOOKUP(B1561,'Centro de Custo'!A$2:A$45,'Centro de Custo'!B$2:B$45)</f>
        <v>0</v>
      </c>
      <c r="E1561" s="39"/>
      <c r="F1561" s="40"/>
      <c r="G1561" s="41"/>
      <c r="H1561" s="42">
        <f>YEAR(Tabela3[[#This Row],[Data]])</f>
        <v>1900</v>
      </c>
      <c r="I1561" s="42" t="str">
        <f>_xlfn.XLOOKUP(J1561,'Centro de Custo'!J$2:J$13,'Centro de Custo'!K$2:K$13)</f>
        <v>Janeiro</v>
      </c>
      <c r="J1561" s="43">
        <f>MONTH(Tabela3[[#This Row],[Data]])</f>
        <v>1</v>
      </c>
      <c r="K1561" s="39">
        <f>SUM(E$3:Tabela3[[#This Row],[Valor]])</f>
        <v>4236027.08</v>
      </c>
      <c r="L1561" s="40">
        <f t="shared" si="24"/>
        <v>2.22375</v>
      </c>
      <c r="M1561" s="40"/>
      <c r="N1561" s="40"/>
      <c r="O1561" s="40"/>
      <c r="P1561" s="39"/>
      <c r="Q1561" s="39"/>
      <c r="R1561" s="39"/>
      <c r="S1561" s="39"/>
      <c r="T1561" s="39"/>
      <c r="V1561" t="b">
        <f>IF(Tabela3[[#This Row],[Pago]]&lt;&gt;"",IF(F1562="",Tabela3[[#This Row],[Saldo]],0))</f>
        <v>0</v>
      </c>
    </row>
    <row r="1562" spans="2:22" x14ac:dyDescent="0.25">
      <c r="B1562" s="37"/>
      <c r="C1562">
        <f>_xlfn.XLOOKUP(B1562,'Centro de Custo'!A$2:A$45,'Centro de Custo'!B$2:B$45)</f>
        <v>0</v>
      </c>
      <c r="E1562" s="39"/>
      <c r="F1562" s="40"/>
      <c r="G1562" s="41"/>
      <c r="H1562" s="42">
        <f>YEAR(Tabela3[[#This Row],[Data]])</f>
        <v>1900</v>
      </c>
      <c r="I1562" s="42" t="str">
        <f>_xlfn.XLOOKUP(J1562,'Centro de Custo'!J$2:J$13,'Centro de Custo'!K$2:K$13)</f>
        <v>Janeiro</v>
      </c>
      <c r="J1562" s="43">
        <f>MONTH(Tabela3[[#This Row],[Data]])</f>
        <v>1</v>
      </c>
      <c r="K1562" s="39">
        <f>SUM(E$3:Tabela3[[#This Row],[Valor]])</f>
        <v>4236027.08</v>
      </c>
      <c r="L1562" s="40">
        <f t="shared" si="24"/>
        <v>2.22375</v>
      </c>
      <c r="M1562" s="40"/>
      <c r="N1562" s="40"/>
      <c r="O1562" s="40"/>
      <c r="P1562" s="39"/>
      <c r="Q1562" s="39"/>
      <c r="R1562" s="39"/>
      <c r="S1562" s="39"/>
      <c r="T1562" s="39"/>
      <c r="V1562" t="b">
        <f>IF(Tabela3[[#This Row],[Pago]]&lt;&gt;"",IF(F1563="",Tabela3[[#This Row],[Saldo]],0))</f>
        <v>0</v>
      </c>
    </row>
    <row r="1563" spans="2:22" x14ac:dyDescent="0.25">
      <c r="B1563" s="37"/>
      <c r="C1563">
        <f>_xlfn.XLOOKUP(B1563,'Centro de Custo'!A$2:A$45,'Centro de Custo'!B$2:B$45)</f>
        <v>0</v>
      </c>
      <c r="E1563" s="39"/>
      <c r="F1563" s="40"/>
      <c r="G1563" s="41"/>
      <c r="H1563" s="42">
        <f>YEAR(Tabela3[[#This Row],[Data]])</f>
        <v>1900</v>
      </c>
      <c r="I1563" s="42" t="str">
        <f>_xlfn.XLOOKUP(J1563,'Centro de Custo'!J$2:J$13,'Centro de Custo'!K$2:K$13)</f>
        <v>Janeiro</v>
      </c>
      <c r="J1563" s="43">
        <f>MONTH(Tabela3[[#This Row],[Data]])</f>
        <v>1</v>
      </c>
      <c r="K1563" s="39">
        <f>SUM(E$3:Tabela3[[#This Row],[Valor]])</f>
        <v>4236027.08</v>
      </c>
      <c r="L1563" s="40">
        <f t="shared" si="24"/>
        <v>2.22375</v>
      </c>
      <c r="M1563" s="40"/>
      <c r="N1563" s="40"/>
      <c r="O1563" s="40"/>
      <c r="P1563" s="39"/>
      <c r="Q1563" s="39"/>
      <c r="R1563" s="39"/>
      <c r="S1563" s="39"/>
      <c r="T1563" s="39"/>
      <c r="V1563" t="b">
        <f>IF(Tabela3[[#This Row],[Pago]]&lt;&gt;"",IF(F1564="",Tabela3[[#This Row],[Saldo]],0))</f>
        <v>0</v>
      </c>
    </row>
    <row r="1564" spans="2:22" x14ac:dyDescent="0.25">
      <c r="B1564" s="37"/>
      <c r="C1564">
        <f>_xlfn.XLOOKUP(B1564,'Centro de Custo'!A$2:A$45,'Centro de Custo'!B$2:B$45)</f>
        <v>0</v>
      </c>
      <c r="E1564" s="39"/>
      <c r="F1564" s="40"/>
      <c r="G1564" s="41"/>
      <c r="H1564" s="42">
        <f>YEAR(Tabela3[[#This Row],[Data]])</f>
        <v>1900</v>
      </c>
      <c r="I1564" s="42" t="str">
        <f>_xlfn.XLOOKUP(J1564,'Centro de Custo'!J$2:J$13,'Centro de Custo'!K$2:K$13)</f>
        <v>Janeiro</v>
      </c>
      <c r="J1564" s="43">
        <f>MONTH(Tabela3[[#This Row],[Data]])</f>
        <v>1</v>
      </c>
      <c r="K1564" s="39">
        <f>SUM(E$3:Tabela3[[#This Row],[Valor]])</f>
        <v>4236027.08</v>
      </c>
      <c r="L1564" s="40">
        <f t="shared" si="24"/>
        <v>2.22375</v>
      </c>
      <c r="M1564" s="40"/>
      <c r="N1564" s="40"/>
      <c r="O1564" s="40"/>
      <c r="P1564" s="39"/>
      <c r="Q1564" s="39"/>
      <c r="R1564" s="39"/>
      <c r="S1564" s="39"/>
      <c r="T1564" s="39"/>
      <c r="V1564" t="b">
        <f>IF(Tabela3[[#This Row],[Pago]]&lt;&gt;"",IF(F1565="",Tabela3[[#This Row],[Saldo]],0))</f>
        <v>0</v>
      </c>
    </row>
    <row r="1565" spans="2:22" x14ac:dyDescent="0.25">
      <c r="B1565" s="37"/>
      <c r="C1565">
        <f>_xlfn.XLOOKUP(B1565,'Centro de Custo'!A$2:A$45,'Centro de Custo'!B$2:B$45)</f>
        <v>0</v>
      </c>
      <c r="E1565" s="39"/>
      <c r="F1565" s="40"/>
      <c r="G1565" s="41"/>
      <c r="H1565" s="42">
        <f>YEAR(Tabela3[[#This Row],[Data]])</f>
        <v>1900</v>
      </c>
      <c r="I1565" s="42" t="str">
        <f>_xlfn.XLOOKUP(J1565,'Centro de Custo'!J$2:J$13,'Centro de Custo'!K$2:K$13)</f>
        <v>Janeiro</v>
      </c>
      <c r="J1565" s="43">
        <f>MONTH(Tabela3[[#This Row],[Data]])</f>
        <v>1</v>
      </c>
      <c r="K1565" s="39">
        <f>SUM(E$3:Tabela3[[#This Row],[Valor]])</f>
        <v>4236027.08</v>
      </c>
      <c r="L1565" s="40">
        <f t="shared" si="24"/>
        <v>2.22375</v>
      </c>
      <c r="M1565" s="40"/>
      <c r="N1565" s="40"/>
      <c r="O1565" s="40"/>
      <c r="P1565" s="39"/>
      <c r="Q1565" s="39"/>
      <c r="R1565" s="39"/>
      <c r="S1565" s="39"/>
      <c r="T1565" s="39"/>
      <c r="V1565" t="b">
        <f>IF(Tabela3[[#This Row],[Pago]]&lt;&gt;"",IF(F1566="",Tabela3[[#This Row],[Saldo]],0))</f>
        <v>0</v>
      </c>
    </row>
    <row r="1566" spans="2:22" x14ac:dyDescent="0.25">
      <c r="B1566" s="37"/>
      <c r="C1566">
        <f>_xlfn.XLOOKUP(B1566,'Centro de Custo'!A$2:A$45,'Centro de Custo'!B$2:B$45)</f>
        <v>0</v>
      </c>
      <c r="E1566" s="39"/>
      <c r="F1566" s="40"/>
      <c r="G1566" s="41"/>
      <c r="H1566" s="42">
        <f>YEAR(Tabela3[[#This Row],[Data]])</f>
        <v>1900</v>
      </c>
      <c r="I1566" s="42" t="str">
        <f>_xlfn.XLOOKUP(J1566,'Centro de Custo'!J$2:J$13,'Centro de Custo'!K$2:K$13)</f>
        <v>Janeiro</v>
      </c>
      <c r="J1566" s="43">
        <f>MONTH(Tabela3[[#This Row],[Data]])</f>
        <v>1</v>
      </c>
      <c r="K1566" s="39">
        <f>SUM(E$3:Tabela3[[#This Row],[Valor]])</f>
        <v>4236027.08</v>
      </c>
      <c r="L1566" s="40">
        <f t="shared" si="24"/>
        <v>2.22375</v>
      </c>
      <c r="M1566" s="40"/>
      <c r="N1566" s="40"/>
      <c r="O1566" s="40"/>
      <c r="P1566" s="39"/>
      <c r="Q1566" s="39"/>
      <c r="R1566" s="39"/>
      <c r="S1566" s="39"/>
      <c r="T1566" s="39"/>
      <c r="V1566" t="b">
        <f>IF(Tabela3[[#This Row],[Pago]]&lt;&gt;"",IF(F1567="",Tabela3[[#This Row],[Saldo]],0))</f>
        <v>0</v>
      </c>
    </row>
    <row r="1567" spans="2:22" x14ac:dyDescent="0.25">
      <c r="B1567" s="37"/>
      <c r="C1567">
        <f>_xlfn.XLOOKUP(B1567,'Centro de Custo'!A$2:A$45,'Centro de Custo'!B$2:B$45)</f>
        <v>0</v>
      </c>
      <c r="E1567" s="39"/>
      <c r="F1567" s="40"/>
      <c r="G1567" s="41"/>
      <c r="H1567" s="42">
        <f>YEAR(Tabela3[[#This Row],[Data]])</f>
        <v>1900</v>
      </c>
      <c r="I1567" s="42" t="str">
        <f>_xlfn.XLOOKUP(J1567,'Centro de Custo'!J$2:J$13,'Centro de Custo'!K$2:K$13)</f>
        <v>Janeiro</v>
      </c>
      <c r="J1567" s="43">
        <f>MONTH(Tabela3[[#This Row],[Data]])</f>
        <v>1</v>
      </c>
      <c r="K1567" s="39">
        <f>SUM(E$3:Tabela3[[#This Row],[Valor]])</f>
        <v>4236027.08</v>
      </c>
      <c r="L1567" s="40">
        <f t="shared" si="24"/>
        <v>2.22375</v>
      </c>
      <c r="M1567" s="40"/>
      <c r="N1567" s="40"/>
      <c r="O1567" s="40"/>
      <c r="P1567" s="39"/>
      <c r="Q1567" s="39"/>
      <c r="R1567" s="39"/>
      <c r="S1567" s="39"/>
      <c r="T1567" s="39"/>
      <c r="V1567" t="b">
        <f>IF(Tabela3[[#This Row],[Pago]]&lt;&gt;"",IF(F1568="",Tabela3[[#This Row],[Saldo]],0))</f>
        <v>0</v>
      </c>
    </row>
    <row r="1568" spans="2:22" x14ac:dyDescent="0.25">
      <c r="B1568" s="37"/>
      <c r="C1568">
        <f>_xlfn.XLOOKUP(B1568,'Centro de Custo'!A$2:A$45,'Centro de Custo'!B$2:B$45)</f>
        <v>0</v>
      </c>
      <c r="E1568" s="39"/>
      <c r="F1568" s="40"/>
      <c r="G1568" s="41"/>
      <c r="H1568" s="42">
        <f>YEAR(Tabela3[[#This Row],[Data]])</f>
        <v>1900</v>
      </c>
      <c r="I1568" s="42" t="str">
        <f>_xlfn.XLOOKUP(J1568,'Centro de Custo'!J$2:J$13,'Centro de Custo'!K$2:K$13)</f>
        <v>Janeiro</v>
      </c>
      <c r="J1568" s="43">
        <f>MONTH(Tabela3[[#This Row],[Data]])</f>
        <v>1</v>
      </c>
      <c r="K1568" s="39">
        <f>SUM(E$3:Tabela3[[#This Row],[Valor]])</f>
        <v>4236027.08</v>
      </c>
      <c r="L1568" s="40">
        <f t="shared" si="24"/>
        <v>2.22375</v>
      </c>
      <c r="M1568" s="40"/>
      <c r="N1568" s="40"/>
      <c r="O1568" s="40"/>
      <c r="P1568" s="39"/>
      <c r="Q1568" s="39"/>
      <c r="R1568" s="39"/>
      <c r="S1568" s="39"/>
      <c r="T1568" s="39"/>
      <c r="V1568" t="b">
        <f>IF(Tabela3[[#This Row],[Pago]]&lt;&gt;"",IF(F1569="",Tabela3[[#This Row],[Saldo]],0))</f>
        <v>0</v>
      </c>
    </row>
    <row r="1569" spans="2:22" x14ac:dyDescent="0.25">
      <c r="B1569" s="37"/>
      <c r="C1569">
        <f>_xlfn.XLOOKUP(B1569,'Centro de Custo'!A$2:A$45,'Centro de Custo'!B$2:B$45)</f>
        <v>0</v>
      </c>
      <c r="E1569" s="39"/>
      <c r="F1569" s="40"/>
      <c r="G1569" s="41"/>
      <c r="H1569" s="42">
        <f>YEAR(Tabela3[[#This Row],[Data]])</f>
        <v>1900</v>
      </c>
      <c r="I1569" s="42" t="str">
        <f>_xlfn.XLOOKUP(J1569,'Centro de Custo'!J$2:J$13,'Centro de Custo'!K$2:K$13)</f>
        <v>Janeiro</v>
      </c>
      <c r="J1569" s="43">
        <f>MONTH(Tabela3[[#This Row],[Data]])</f>
        <v>1</v>
      </c>
      <c r="K1569" s="39">
        <f>SUM(E$3:Tabela3[[#This Row],[Valor]])</f>
        <v>4236027.08</v>
      </c>
      <c r="L1569" s="40">
        <f t="shared" si="24"/>
        <v>2.22375</v>
      </c>
      <c r="M1569" s="40"/>
      <c r="N1569" s="40"/>
      <c r="O1569" s="40"/>
      <c r="P1569" s="39"/>
      <c r="Q1569" s="39"/>
      <c r="R1569" s="39"/>
      <c r="S1569" s="39"/>
      <c r="T1569" s="39"/>
      <c r="V1569" t="b">
        <f>IF(Tabela3[[#This Row],[Pago]]&lt;&gt;"",IF(F1570="",Tabela3[[#This Row],[Saldo]],0))</f>
        <v>0</v>
      </c>
    </row>
    <row r="1570" spans="2:22" x14ac:dyDescent="0.25">
      <c r="B1570" s="37"/>
      <c r="C1570">
        <f>_xlfn.XLOOKUP(B1570,'Centro de Custo'!A$2:A$45,'Centro de Custo'!B$2:B$45)</f>
        <v>0</v>
      </c>
      <c r="E1570" s="39"/>
      <c r="F1570" s="40"/>
      <c r="G1570" s="41"/>
      <c r="H1570" s="42">
        <f>YEAR(Tabela3[[#This Row],[Data]])</f>
        <v>1900</v>
      </c>
      <c r="I1570" s="42" t="str">
        <f>_xlfn.XLOOKUP(J1570,'Centro de Custo'!J$2:J$13,'Centro de Custo'!K$2:K$13)</f>
        <v>Janeiro</v>
      </c>
      <c r="J1570" s="43">
        <f>MONTH(Tabela3[[#This Row],[Data]])</f>
        <v>1</v>
      </c>
      <c r="K1570" s="39">
        <f>SUM(E$3:Tabela3[[#This Row],[Valor]])</f>
        <v>4236027.08</v>
      </c>
      <c r="L1570" s="40">
        <f t="shared" si="24"/>
        <v>2.22375</v>
      </c>
      <c r="M1570" s="40"/>
      <c r="N1570" s="40"/>
      <c r="O1570" s="40"/>
      <c r="P1570" s="39"/>
      <c r="Q1570" s="39"/>
      <c r="R1570" s="39"/>
      <c r="S1570" s="39"/>
      <c r="T1570" s="39"/>
      <c r="V1570" t="b">
        <f>IF(Tabela3[[#This Row],[Pago]]&lt;&gt;"",IF(F1571="",Tabela3[[#This Row],[Saldo]],0))</f>
        <v>0</v>
      </c>
    </row>
    <row r="1571" spans="2:22" x14ac:dyDescent="0.25">
      <c r="B1571" s="37"/>
      <c r="C1571">
        <f>_xlfn.XLOOKUP(B1571,'Centro de Custo'!A$2:A$45,'Centro de Custo'!B$2:B$45)</f>
        <v>0</v>
      </c>
      <c r="E1571" s="39"/>
      <c r="F1571" s="40"/>
      <c r="G1571" s="41"/>
      <c r="H1571" s="42">
        <f>YEAR(Tabela3[[#This Row],[Data]])</f>
        <v>1900</v>
      </c>
      <c r="I1571" s="42" t="str">
        <f>_xlfn.XLOOKUP(J1571,'Centro de Custo'!J$2:J$13,'Centro de Custo'!K$2:K$13)</f>
        <v>Janeiro</v>
      </c>
      <c r="J1571" s="43">
        <f>MONTH(Tabela3[[#This Row],[Data]])</f>
        <v>1</v>
      </c>
      <c r="K1571" s="39">
        <f>SUM(E$3:Tabela3[[#This Row],[Valor]])</f>
        <v>4236027.08</v>
      </c>
      <c r="L1571" s="40">
        <f t="shared" si="24"/>
        <v>2.22375</v>
      </c>
      <c r="M1571" s="40"/>
      <c r="N1571" s="40"/>
      <c r="O1571" s="40"/>
      <c r="P1571" s="39"/>
      <c r="Q1571" s="39"/>
      <c r="R1571" s="39"/>
      <c r="S1571" s="39"/>
      <c r="T1571" s="39"/>
      <c r="V1571" t="b">
        <f>IF(Tabela3[[#This Row],[Pago]]&lt;&gt;"",IF(F1572="",Tabela3[[#This Row],[Saldo]],0))</f>
        <v>0</v>
      </c>
    </row>
    <row r="1572" spans="2:22" x14ac:dyDescent="0.25">
      <c r="B1572" s="37"/>
      <c r="C1572">
        <f>_xlfn.XLOOKUP(B1572,'Centro de Custo'!A$2:A$45,'Centro de Custo'!B$2:B$45)</f>
        <v>0</v>
      </c>
      <c r="E1572" s="39"/>
      <c r="F1572" s="40"/>
      <c r="G1572" s="41"/>
      <c r="H1572" s="42">
        <f>YEAR(Tabela3[[#This Row],[Data]])</f>
        <v>1900</v>
      </c>
      <c r="I1572" s="42" t="str">
        <f>_xlfn.XLOOKUP(J1572,'Centro de Custo'!J$2:J$13,'Centro de Custo'!K$2:K$13)</f>
        <v>Janeiro</v>
      </c>
      <c r="J1572" s="43">
        <f>MONTH(Tabela3[[#This Row],[Data]])</f>
        <v>1</v>
      </c>
      <c r="K1572" s="39">
        <f>SUM(E$3:Tabela3[[#This Row],[Valor]])</f>
        <v>4236027.08</v>
      </c>
      <c r="L1572" s="40">
        <f t="shared" si="24"/>
        <v>2.22375</v>
      </c>
      <c r="M1572" s="40"/>
      <c r="N1572" s="40"/>
      <c r="O1572" s="40"/>
      <c r="P1572" s="39"/>
      <c r="Q1572" s="39"/>
      <c r="R1572" s="39"/>
      <c r="S1572" s="39"/>
      <c r="T1572" s="39"/>
      <c r="V1572" t="b">
        <f>IF(Tabela3[[#This Row],[Pago]]&lt;&gt;"",IF(F1573="",Tabela3[[#This Row],[Saldo]],0))</f>
        <v>0</v>
      </c>
    </row>
    <row r="1573" spans="2:22" x14ac:dyDescent="0.25">
      <c r="B1573" s="37"/>
      <c r="C1573">
        <f>_xlfn.XLOOKUP(B1573,'Centro de Custo'!A$2:A$45,'Centro de Custo'!B$2:B$45)</f>
        <v>0</v>
      </c>
      <c r="E1573" s="39"/>
      <c r="F1573" s="40"/>
      <c r="G1573" s="41"/>
      <c r="H1573" s="42">
        <f>YEAR(Tabela3[[#This Row],[Data]])</f>
        <v>1900</v>
      </c>
      <c r="I1573" s="42" t="str">
        <f>_xlfn.XLOOKUP(J1573,'Centro de Custo'!J$2:J$13,'Centro de Custo'!K$2:K$13)</f>
        <v>Janeiro</v>
      </c>
      <c r="J1573" s="43">
        <f>MONTH(Tabela3[[#This Row],[Data]])</f>
        <v>1</v>
      </c>
      <c r="K1573" s="39">
        <f>SUM(E$3:Tabela3[[#This Row],[Valor]])</f>
        <v>4236027.08</v>
      </c>
      <c r="L1573" s="40">
        <f t="shared" si="24"/>
        <v>2.22375</v>
      </c>
      <c r="M1573" s="40"/>
      <c r="N1573" s="40"/>
      <c r="O1573" s="40"/>
      <c r="P1573" s="39"/>
      <c r="Q1573" s="39"/>
      <c r="R1573" s="39"/>
      <c r="S1573" s="39"/>
      <c r="T1573" s="39"/>
      <c r="V1573" t="b">
        <f>IF(Tabela3[[#This Row],[Pago]]&lt;&gt;"",IF(F1574="",Tabela3[[#This Row],[Saldo]],0))</f>
        <v>0</v>
      </c>
    </row>
    <row r="1574" spans="2:22" x14ac:dyDescent="0.25">
      <c r="B1574" s="37"/>
      <c r="C1574">
        <f>_xlfn.XLOOKUP(B1574,'Centro de Custo'!A$2:A$45,'Centro de Custo'!B$2:B$45)</f>
        <v>0</v>
      </c>
      <c r="E1574" s="39"/>
      <c r="F1574" s="40"/>
      <c r="G1574" s="41"/>
      <c r="H1574" s="42">
        <f>YEAR(Tabela3[[#This Row],[Data]])</f>
        <v>1900</v>
      </c>
      <c r="I1574" s="42" t="str">
        <f>_xlfn.XLOOKUP(J1574,'Centro de Custo'!J$2:J$13,'Centro de Custo'!K$2:K$13)</f>
        <v>Janeiro</v>
      </c>
      <c r="J1574" s="43">
        <f>MONTH(Tabela3[[#This Row],[Data]])</f>
        <v>1</v>
      </c>
      <c r="K1574" s="39">
        <f>SUM(E$3:Tabela3[[#This Row],[Valor]])</f>
        <v>4236027.08</v>
      </c>
      <c r="L1574" s="40">
        <f t="shared" si="24"/>
        <v>2.22375</v>
      </c>
      <c r="M1574" s="40"/>
      <c r="N1574" s="40"/>
      <c r="O1574" s="40"/>
      <c r="P1574" s="39"/>
      <c r="Q1574" s="39"/>
      <c r="R1574" s="39"/>
      <c r="S1574" s="39"/>
      <c r="T1574" s="39"/>
      <c r="V1574" t="b">
        <f>IF(Tabela3[[#This Row],[Pago]]&lt;&gt;"",IF(F1575="",Tabela3[[#This Row],[Saldo]],0))</f>
        <v>0</v>
      </c>
    </row>
    <row r="1575" spans="2:22" x14ac:dyDescent="0.25">
      <c r="B1575" s="37"/>
      <c r="C1575">
        <f>_xlfn.XLOOKUP(B1575,'Centro de Custo'!A$2:A$45,'Centro de Custo'!B$2:B$45)</f>
        <v>0</v>
      </c>
      <c r="E1575" s="39"/>
      <c r="F1575" s="40"/>
      <c r="G1575" s="41"/>
      <c r="H1575" s="42">
        <f>YEAR(Tabela3[[#This Row],[Data]])</f>
        <v>1900</v>
      </c>
      <c r="I1575" s="42" t="str">
        <f>_xlfn.XLOOKUP(J1575,'Centro de Custo'!J$2:J$13,'Centro de Custo'!K$2:K$13)</f>
        <v>Janeiro</v>
      </c>
      <c r="J1575" s="43">
        <f>MONTH(Tabela3[[#This Row],[Data]])</f>
        <v>1</v>
      </c>
      <c r="K1575" s="39">
        <f>SUM(E$3:Tabela3[[#This Row],[Valor]])</f>
        <v>4236027.08</v>
      </c>
      <c r="L1575" s="40">
        <f t="shared" si="24"/>
        <v>2.22375</v>
      </c>
      <c r="M1575" s="40"/>
      <c r="N1575" s="40"/>
      <c r="O1575" s="40"/>
      <c r="P1575" s="39"/>
      <c r="Q1575" s="39"/>
      <c r="R1575" s="39"/>
      <c r="S1575" s="39"/>
      <c r="T1575" s="39"/>
      <c r="V1575" t="b">
        <f>IF(Tabela3[[#This Row],[Pago]]&lt;&gt;"",IF(F1576="",Tabela3[[#This Row],[Saldo]],0))</f>
        <v>0</v>
      </c>
    </row>
    <row r="1576" spans="2:22" x14ac:dyDescent="0.25">
      <c r="B1576" s="37"/>
      <c r="C1576">
        <f>_xlfn.XLOOKUP(B1576,'Centro de Custo'!A$2:A$45,'Centro de Custo'!B$2:B$45)</f>
        <v>0</v>
      </c>
      <c r="E1576" s="39"/>
      <c r="F1576" s="40"/>
      <c r="G1576" s="41"/>
      <c r="H1576" s="42">
        <f>YEAR(Tabela3[[#This Row],[Data]])</f>
        <v>1900</v>
      </c>
      <c r="I1576" s="42" t="str">
        <f>_xlfn.XLOOKUP(J1576,'Centro de Custo'!J$2:J$13,'Centro de Custo'!K$2:K$13)</f>
        <v>Janeiro</v>
      </c>
      <c r="J1576" s="43">
        <f>MONTH(Tabela3[[#This Row],[Data]])</f>
        <v>1</v>
      </c>
      <c r="K1576" s="39">
        <f>SUM(E$3:Tabela3[[#This Row],[Valor]])</f>
        <v>4236027.08</v>
      </c>
      <c r="L1576" s="40">
        <f t="shared" si="24"/>
        <v>2.22375</v>
      </c>
      <c r="M1576" s="40"/>
      <c r="N1576" s="40"/>
      <c r="O1576" s="40"/>
      <c r="P1576" s="39"/>
      <c r="Q1576" s="39"/>
      <c r="R1576" s="39"/>
      <c r="S1576" s="39"/>
      <c r="T1576" s="39"/>
      <c r="V1576" t="b">
        <f>IF(Tabela3[[#This Row],[Pago]]&lt;&gt;"",IF(F1577="",Tabela3[[#This Row],[Saldo]],0))</f>
        <v>0</v>
      </c>
    </row>
    <row r="1577" spans="2:22" x14ac:dyDescent="0.25">
      <c r="B1577" s="37"/>
      <c r="C1577">
        <f>_xlfn.XLOOKUP(B1577,'Centro de Custo'!A$2:A$45,'Centro de Custo'!B$2:B$45)</f>
        <v>0</v>
      </c>
      <c r="E1577" s="39"/>
      <c r="F1577" s="40"/>
      <c r="G1577" s="41"/>
      <c r="H1577" s="42">
        <f>YEAR(Tabela3[[#This Row],[Data]])</f>
        <v>1900</v>
      </c>
      <c r="I1577" s="42" t="str">
        <f>_xlfn.XLOOKUP(J1577,'Centro de Custo'!J$2:J$13,'Centro de Custo'!K$2:K$13)</f>
        <v>Janeiro</v>
      </c>
      <c r="J1577" s="43">
        <f>MONTH(Tabela3[[#This Row],[Data]])</f>
        <v>1</v>
      </c>
      <c r="K1577" s="39">
        <f>SUM(E$3:Tabela3[[#This Row],[Valor]])</f>
        <v>4236027.08</v>
      </c>
      <c r="L1577" s="40">
        <f t="shared" si="24"/>
        <v>2.22375</v>
      </c>
      <c r="M1577" s="40"/>
      <c r="N1577" s="40"/>
      <c r="O1577" s="40"/>
      <c r="P1577" s="39"/>
      <c r="Q1577" s="39"/>
      <c r="R1577" s="39"/>
      <c r="S1577" s="39"/>
      <c r="T1577" s="39"/>
      <c r="V1577" t="b">
        <f>IF(Tabela3[[#This Row],[Pago]]&lt;&gt;"",IF(F1578="",Tabela3[[#This Row],[Saldo]],0))</f>
        <v>0</v>
      </c>
    </row>
    <row r="1578" spans="2:22" x14ac:dyDescent="0.25">
      <c r="B1578" s="37"/>
      <c r="C1578">
        <f>_xlfn.XLOOKUP(B1578,'Centro de Custo'!A$2:A$45,'Centro de Custo'!B$2:B$45)</f>
        <v>0</v>
      </c>
      <c r="E1578" s="39"/>
      <c r="F1578" s="40"/>
      <c r="G1578" s="41"/>
      <c r="H1578" s="42">
        <f>YEAR(Tabela3[[#This Row],[Data]])</f>
        <v>1900</v>
      </c>
      <c r="I1578" s="42" t="str">
        <f>_xlfn.XLOOKUP(J1578,'Centro de Custo'!J$2:J$13,'Centro de Custo'!K$2:K$13)</f>
        <v>Janeiro</v>
      </c>
      <c r="J1578" s="43">
        <f>MONTH(Tabela3[[#This Row],[Data]])</f>
        <v>1</v>
      </c>
      <c r="K1578" s="39">
        <f>SUM(E$3:Tabela3[[#This Row],[Valor]])</f>
        <v>4236027.08</v>
      </c>
      <c r="L1578" s="40">
        <f t="shared" si="24"/>
        <v>2.22375</v>
      </c>
      <c r="M1578" s="40"/>
      <c r="N1578" s="40"/>
      <c r="O1578" s="40"/>
      <c r="P1578" s="39"/>
      <c r="Q1578" s="39"/>
      <c r="R1578" s="39"/>
      <c r="S1578" s="39"/>
      <c r="T1578" s="39"/>
      <c r="V1578" t="b">
        <f>IF(Tabela3[[#This Row],[Pago]]&lt;&gt;"",IF(F1579="",Tabela3[[#This Row],[Saldo]],0))</f>
        <v>0</v>
      </c>
    </row>
    <row r="1579" spans="2:22" x14ac:dyDescent="0.25">
      <c r="B1579" s="37"/>
      <c r="C1579">
        <f>_xlfn.XLOOKUP(B1579,'Centro de Custo'!A$2:A$45,'Centro de Custo'!B$2:B$45)</f>
        <v>0</v>
      </c>
      <c r="E1579" s="39"/>
      <c r="F1579" s="40"/>
      <c r="G1579" s="41"/>
      <c r="H1579" s="42">
        <f>YEAR(Tabela3[[#This Row],[Data]])</f>
        <v>1900</v>
      </c>
      <c r="I1579" s="42" t="str">
        <f>_xlfn.XLOOKUP(J1579,'Centro de Custo'!J$2:J$13,'Centro de Custo'!K$2:K$13)</f>
        <v>Janeiro</v>
      </c>
      <c r="J1579" s="43">
        <f>MONTH(Tabela3[[#This Row],[Data]])</f>
        <v>1</v>
      </c>
      <c r="K1579" s="39">
        <f>SUM(E$3:Tabela3[[#This Row],[Valor]])</f>
        <v>4236027.08</v>
      </c>
      <c r="L1579" s="40">
        <f t="shared" si="24"/>
        <v>2.22375</v>
      </c>
      <c r="M1579" s="40"/>
      <c r="N1579" s="40"/>
      <c r="O1579" s="40"/>
      <c r="P1579" s="39"/>
      <c r="Q1579" s="39"/>
      <c r="R1579" s="39"/>
      <c r="S1579" s="39"/>
      <c r="T1579" s="39"/>
      <c r="V1579" t="b">
        <f>IF(Tabela3[[#This Row],[Pago]]&lt;&gt;"",IF(F1580="",Tabela3[[#This Row],[Saldo]],0))</f>
        <v>0</v>
      </c>
    </row>
    <row r="1580" spans="2:22" x14ac:dyDescent="0.25">
      <c r="B1580" s="37"/>
      <c r="C1580">
        <f>_xlfn.XLOOKUP(B1580,'Centro de Custo'!A$2:A$45,'Centro de Custo'!B$2:B$45)</f>
        <v>0</v>
      </c>
      <c r="E1580" s="39"/>
      <c r="F1580" s="40"/>
      <c r="G1580" s="41"/>
      <c r="H1580" s="42">
        <f>YEAR(Tabela3[[#This Row],[Data]])</f>
        <v>1900</v>
      </c>
      <c r="I1580" s="42" t="str">
        <f>_xlfn.XLOOKUP(J1580,'Centro de Custo'!J$2:J$13,'Centro de Custo'!K$2:K$13)</f>
        <v>Janeiro</v>
      </c>
      <c r="J1580" s="43">
        <f>MONTH(Tabela3[[#This Row],[Data]])</f>
        <v>1</v>
      </c>
      <c r="K1580" s="39">
        <f>SUM(E$3:Tabela3[[#This Row],[Valor]])</f>
        <v>4236027.08</v>
      </c>
      <c r="L1580" s="40">
        <f t="shared" si="24"/>
        <v>2.22375</v>
      </c>
      <c r="M1580" s="40"/>
      <c r="N1580" s="40"/>
      <c r="O1580" s="40"/>
      <c r="P1580" s="39"/>
      <c r="Q1580" s="39"/>
      <c r="R1580" s="39"/>
      <c r="S1580" s="39"/>
      <c r="T1580" s="39"/>
      <c r="V1580" t="b">
        <f>IF(Tabela3[[#This Row],[Pago]]&lt;&gt;"",IF(F1581="",Tabela3[[#This Row],[Saldo]],0))</f>
        <v>0</v>
      </c>
    </row>
    <row r="1581" spans="2:22" x14ac:dyDescent="0.25">
      <c r="B1581" s="37"/>
      <c r="C1581">
        <f>_xlfn.XLOOKUP(B1581,'Centro de Custo'!A$2:A$45,'Centro de Custo'!B$2:B$45)</f>
        <v>0</v>
      </c>
      <c r="E1581" s="39"/>
      <c r="F1581" s="40"/>
      <c r="G1581" s="41"/>
      <c r="H1581" s="42">
        <f>YEAR(Tabela3[[#This Row],[Data]])</f>
        <v>1900</v>
      </c>
      <c r="I1581" s="42" t="str">
        <f>_xlfn.XLOOKUP(J1581,'Centro de Custo'!J$2:J$13,'Centro de Custo'!K$2:K$13)</f>
        <v>Janeiro</v>
      </c>
      <c r="J1581" s="43">
        <f>MONTH(Tabela3[[#This Row],[Data]])</f>
        <v>1</v>
      </c>
      <c r="K1581" s="39">
        <f>SUM(E$3:Tabela3[[#This Row],[Valor]])</f>
        <v>4236027.08</v>
      </c>
      <c r="L1581" s="40">
        <f t="shared" si="24"/>
        <v>2.22375</v>
      </c>
      <c r="M1581" s="40"/>
      <c r="N1581" s="40"/>
      <c r="O1581" s="40"/>
      <c r="P1581" s="39"/>
      <c r="Q1581" s="39"/>
      <c r="R1581" s="39"/>
      <c r="S1581" s="39"/>
      <c r="T1581" s="39"/>
      <c r="V1581" t="b">
        <f>IF(Tabela3[[#This Row],[Pago]]&lt;&gt;"",IF(F1582="",Tabela3[[#This Row],[Saldo]],0))</f>
        <v>0</v>
      </c>
    </row>
    <row r="1582" spans="2:22" x14ac:dyDescent="0.25">
      <c r="B1582" s="37"/>
      <c r="C1582">
        <f>_xlfn.XLOOKUP(B1582,'Centro de Custo'!A$2:A$45,'Centro de Custo'!B$2:B$45)</f>
        <v>0</v>
      </c>
      <c r="E1582" s="39"/>
      <c r="F1582" s="40"/>
      <c r="G1582" s="41"/>
      <c r="H1582" s="42">
        <f>YEAR(Tabela3[[#This Row],[Data]])</f>
        <v>1900</v>
      </c>
      <c r="I1582" s="42" t="str">
        <f>_xlfn.XLOOKUP(J1582,'Centro de Custo'!J$2:J$13,'Centro de Custo'!K$2:K$13)</f>
        <v>Janeiro</v>
      </c>
      <c r="J1582" s="43">
        <f>MONTH(Tabela3[[#This Row],[Data]])</f>
        <v>1</v>
      </c>
      <c r="K1582" s="39">
        <f>SUM(E$3:Tabela3[[#This Row],[Valor]])</f>
        <v>4236027.08</v>
      </c>
      <c r="L1582" s="40">
        <f t="shared" si="24"/>
        <v>2.22375</v>
      </c>
      <c r="M1582" s="40"/>
      <c r="N1582" s="40"/>
      <c r="O1582" s="40"/>
      <c r="P1582" s="39"/>
      <c r="Q1582" s="39"/>
      <c r="R1582" s="39"/>
      <c r="S1582" s="39"/>
      <c r="T1582" s="39"/>
      <c r="V1582" t="b">
        <f>IF(Tabela3[[#This Row],[Pago]]&lt;&gt;"",IF(F1583="",Tabela3[[#This Row],[Saldo]],0))</f>
        <v>0</v>
      </c>
    </row>
    <row r="1583" spans="2:22" x14ac:dyDescent="0.25">
      <c r="B1583" s="37"/>
      <c r="C1583">
        <f>_xlfn.XLOOKUP(B1583,'Centro de Custo'!A$2:A$45,'Centro de Custo'!B$2:B$45)</f>
        <v>0</v>
      </c>
      <c r="E1583" s="39"/>
      <c r="F1583" s="40"/>
      <c r="G1583" s="41"/>
      <c r="H1583" s="42">
        <f>YEAR(Tabela3[[#This Row],[Data]])</f>
        <v>1900</v>
      </c>
      <c r="I1583" s="42" t="str">
        <f>_xlfn.XLOOKUP(J1583,'Centro de Custo'!J$2:J$13,'Centro de Custo'!K$2:K$13)</f>
        <v>Janeiro</v>
      </c>
      <c r="J1583" s="43">
        <f>MONTH(Tabela3[[#This Row],[Data]])</f>
        <v>1</v>
      </c>
      <c r="K1583" s="39">
        <f>SUM(E$3:Tabela3[[#This Row],[Valor]])</f>
        <v>4236027.08</v>
      </c>
      <c r="L1583" s="40">
        <f t="shared" si="24"/>
        <v>2.22375</v>
      </c>
      <c r="M1583" s="40"/>
      <c r="N1583" s="40"/>
      <c r="O1583" s="40"/>
      <c r="P1583" s="39"/>
      <c r="Q1583" s="39"/>
      <c r="R1583" s="39"/>
      <c r="S1583" s="39"/>
      <c r="T1583" s="39"/>
      <c r="V1583" t="b">
        <f>IF(Tabela3[[#This Row],[Pago]]&lt;&gt;"",IF(F1584="",Tabela3[[#This Row],[Saldo]],0))</f>
        <v>0</v>
      </c>
    </row>
    <row r="1584" spans="2:22" x14ac:dyDescent="0.25">
      <c r="B1584" s="37"/>
      <c r="C1584">
        <f>_xlfn.XLOOKUP(B1584,'Centro de Custo'!A$2:A$45,'Centro de Custo'!B$2:B$45)</f>
        <v>0</v>
      </c>
      <c r="E1584" s="39"/>
      <c r="F1584" s="40"/>
      <c r="G1584" s="41"/>
      <c r="H1584" s="42">
        <f>YEAR(Tabela3[[#This Row],[Data]])</f>
        <v>1900</v>
      </c>
      <c r="I1584" s="42" t="str">
        <f>_xlfn.XLOOKUP(J1584,'Centro de Custo'!J$2:J$13,'Centro de Custo'!K$2:K$13)</f>
        <v>Janeiro</v>
      </c>
      <c r="J1584" s="43">
        <f>MONTH(Tabela3[[#This Row],[Data]])</f>
        <v>1</v>
      </c>
      <c r="K1584" s="39">
        <f>SUM(E$3:Tabela3[[#This Row],[Valor]])</f>
        <v>4236027.08</v>
      </c>
      <c r="L1584" s="40">
        <f t="shared" si="24"/>
        <v>2.22375</v>
      </c>
      <c r="M1584" s="40"/>
      <c r="N1584" s="40"/>
      <c r="O1584" s="40"/>
      <c r="P1584" s="39"/>
      <c r="Q1584" s="39"/>
      <c r="R1584" s="39"/>
      <c r="S1584" s="39"/>
      <c r="T1584" s="39"/>
      <c r="V1584" t="b">
        <f>IF(Tabela3[[#This Row],[Pago]]&lt;&gt;"",IF(F1585="",Tabela3[[#This Row],[Saldo]],0))</f>
        <v>0</v>
      </c>
    </row>
    <row r="1585" spans="2:22" x14ac:dyDescent="0.25">
      <c r="B1585" s="37"/>
      <c r="C1585">
        <f>_xlfn.XLOOKUP(B1585,'Centro de Custo'!A$2:A$45,'Centro de Custo'!B$2:B$45)</f>
        <v>0</v>
      </c>
      <c r="E1585" s="39"/>
      <c r="F1585" s="40"/>
      <c r="G1585" s="41"/>
      <c r="H1585" s="42">
        <f>YEAR(Tabela3[[#This Row],[Data]])</f>
        <v>1900</v>
      </c>
      <c r="I1585" s="42" t="str">
        <f>_xlfn.XLOOKUP(J1585,'Centro de Custo'!J$2:J$13,'Centro de Custo'!K$2:K$13)</f>
        <v>Janeiro</v>
      </c>
      <c r="J1585" s="43">
        <f>MONTH(Tabela3[[#This Row],[Data]])</f>
        <v>1</v>
      </c>
      <c r="K1585" s="39">
        <f>SUM(E$3:Tabela3[[#This Row],[Valor]])</f>
        <v>4236027.08</v>
      </c>
      <c r="L1585" s="40">
        <f t="shared" si="24"/>
        <v>2.22375</v>
      </c>
      <c r="M1585" s="40"/>
      <c r="N1585" s="40"/>
      <c r="O1585" s="40"/>
      <c r="P1585" s="39"/>
      <c r="Q1585" s="39"/>
      <c r="R1585" s="39"/>
      <c r="S1585" s="39"/>
      <c r="T1585" s="39"/>
      <c r="V1585" t="b">
        <f>IF(Tabela3[[#This Row],[Pago]]&lt;&gt;"",IF(F1586="",Tabela3[[#This Row],[Saldo]],0))</f>
        <v>0</v>
      </c>
    </row>
    <row r="1586" spans="2:22" x14ac:dyDescent="0.25">
      <c r="B1586" s="37"/>
      <c r="C1586">
        <f>_xlfn.XLOOKUP(B1586,'Centro de Custo'!A$2:A$45,'Centro de Custo'!B$2:B$45)</f>
        <v>0</v>
      </c>
      <c r="E1586" s="39"/>
      <c r="F1586" s="40"/>
      <c r="G1586" s="41"/>
      <c r="H1586" s="42">
        <f>YEAR(Tabela3[[#This Row],[Data]])</f>
        <v>1900</v>
      </c>
      <c r="I1586" s="42" t="str">
        <f>_xlfn.XLOOKUP(J1586,'Centro de Custo'!J$2:J$13,'Centro de Custo'!K$2:K$13)</f>
        <v>Janeiro</v>
      </c>
      <c r="J1586" s="43">
        <f>MONTH(Tabela3[[#This Row],[Data]])</f>
        <v>1</v>
      </c>
      <c r="K1586" s="39">
        <f>SUM(E$3:Tabela3[[#This Row],[Valor]])</f>
        <v>4236027.08</v>
      </c>
      <c r="L1586" s="40">
        <f t="shared" si="24"/>
        <v>2.22375</v>
      </c>
      <c r="M1586" s="40"/>
      <c r="N1586" s="40"/>
      <c r="O1586" s="40"/>
      <c r="P1586" s="39"/>
      <c r="Q1586" s="39"/>
      <c r="R1586" s="39"/>
      <c r="S1586" s="39"/>
      <c r="T1586" s="39"/>
      <c r="V1586" t="b">
        <f>IF(Tabela3[[#This Row],[Pago]]&lt;&gt;"",IF(F1587="",Tabela3[[#This Row],[Saldo]],0))</f>
        <v>0</v>
      </c>
    </row>
    <row r="1587" spans="2:22" x14ac:dyDescent="0.25">
      <c r="B1587" s="37"/>
      <c r="C1587">
        <f>_xlfn.XLOOKUP(B1587,'Centro de Custo'!A$2:A$45,'Centro de Custo'!B$2:B$45)</f>
        <v>0</v>
      </c>
      <c r="E1587" s="39"/>
      <c r="F1587" s="40"/>
      <c r="G1587" s="41"/>
      <c r="H1587" s="42">
        <f>YEAR(Tabela3[[#This Row],[Data]])</f>
        <v>1900</v>
      </c>
      <c r="I1587" s="42" t="str">
        <f>_xlfn.XLOOKUP(J1587,'Centro de Custo'!J$2:J$13,'Centro de Custo'!K$2:K$13)</f>
        <v>Janeiro</v>
      </c>
      <c r="J1587" s="43">
        <f>MONTH(Tabela3[[#This Row],[Data]])</f>
        <v>1</v>
      </c>
      <c r="K1587" s="39">
        <f>SUM(E$3:Tabela3[[#This Row],[Valor]])</f>
        <v>4236027.08</v>
      </c>
      <c r="L1587" s="40">
        <f t="shared" si="24"/>
        <v>2.22375</v>
      </c>
      <c r="M1587" s="40"/>
      <c r="N1587" s="40"/>
      <c r="O1587" s="40"/>
      <c r="P1587" s="39"/>
      <c r="Q1587" s="39"/>
      <c r="R1587" s="39"/>
      <c r="S1587" s="39"/>
      <c r="T1587" s="39"/>
      <c r="V1587" t="b">
        <f>IF(Tabela3[[#This Row],[Pago]]&lt;&gt;"",IF(F1588="",Tabela3[[#This Row],[Saldo]],0))</f>
        <v>0</v>
      </c>
    </row>
    <row r="1588" spans="2:22" x14ac:dyDescent="0.25">
      <c r="B1588" s="37"/>
      <c r="C1588">
        <f>_xlfn.XLOOKUP(B1588,'Centro de Custo'!A$2:A$45,'Centro de Custo'!B$2:B$45)</f>
        <v>0</v>
      </c>
      <c r="E1588" s="39"/>
      <c r="F1588" s="40"/>
      <c r="G1588" s="41"/>
      <c r="H1588" s="42">
        <f>YEAR(Tabela3[[#This Row],[Data]])</f>
        <v>1900</v>
      </c>
      <c r="I1588" s="42" t="str">
        <f>_xlfn.XLOOKUP(J1588,'Centro de Custo'!J$2:J$13,'Centro de Custo'!K$2:K$13)</f>
        <v>Janeiro</v>
      </c>
      <c r="J1588" s="43">
        <f>MONTH(Tabela3[[#This Row],[Data]])</f>
        <v>1</v>
      </c>
      <c r="K1588" s="39">
        <f>SUM(E$3:Tabela3[[#This Row],[Valor]])</f>
        <v>4236027.08</v>
      </c>
      <c r="L1588" s="40">
        <f t="shared" si="24"/>
        <v>2.22375</v>
      </c>
      <c r="M1588" s="40"/>
      <c r="N1588" s="40"/>
      <c r="O1588" s="40"/>
      <c r="P1588" s="39"/>
      <c r="Q1588" s="39"/>
      <c r="R1588" s="39"/>
      <c r="S1588" s="39"/>
      <c r="T1588" s="39"/>
      <c r="V1588" t="b">
        <f>IF(Tabela3[[#This Row],[Pago]]&lt;&gt;"",IF(F1589="",Tabela3[[#This Row],[Saldo]],0))</f>
        <v>0</v>
      </c>
    </row>
    <row r="1589" spans="2:22" x14ac:dyDescent="0.25">
      <c r="B1589" s="37"/>
      <c r="C1589">
        <f>_xlfn.XLOOKUP(B1589,'Centro de Custo'!A$2:A$45,'Centro de Custo'!B$2:B$45)</f>
        <v>0</v>
      </c>
      <c r="E1589" s="39"/>
      <c r="F1589" s="40"/>
      <c r="G1589" s="41"/>
      <c r="H1589" s="42">
        <f>YEAR(Tabela3[[#This Row],[Data]])</f>
        <v>1900</v>
      </c>
      <c r="I1589" s="42" t="str">
        <f>_xlfn.XLOOKUP(J1589,'Centro de Custo'!J$2:J$13,'Centro de Custo'!K$2:K$13)</f>
        <v>Janeiro</v>
      </c>
      <c r="J1589" s="43">
        <f>MONTH(Tabela3[[#This Row],[Data]])</f>
        <v>1</v>
      </c>
      <c r="K1589" s="39">
        <f>SUM(E$3:Tabela3[[#This Row],[Valor]])</f>
        <v>4236027.08</v>
      </c>
      <c r="L1589" s="40">
        <f t="shared" si="24"/>
        <v>2.22375</v>
      </c>
      <c r="M1589" s="40"/>
      <c r="N1589" s="40"/>
      <c r="O1589" s="40"/>
      <c r="P1589" s="39"/>
      <c r="Q1589" s="39"/>
      <c r="R1589" s="39"/>
      <c r="S1589" s="39"/>
      <c r="T1589" s="39"/>
      <c r="V1589" t="b">
        <f>IF(Tabela3[[#This Row],[Pago]]&lt;&gt;"",IF(F1590="",Tabela3[[#This Row],[Saldo]],0))</f>
        <v>0</v>
      </c>
    </row>
    <row r="1590" spans="2:22" x14ac:dyDescent="0.25">
      <c r="B1590" s="37"/>
      <c r="C1590">
        <f>_xlfn.XLOOKUP(B1590,'Centro de Custo'!A$2:A$45,'Centro de Custo'!B$2:B$45)</f>
        <v>0</v>
      </c>
      <c r="E1590" s="39"/>
      <c r="F1590" s="40"/>
      <c r="G1590" s="41"/>
      <c r="H1590" s="42">
        <f>YEAR(Tabela3[[#This Row],[Data]])</f>
        <v>1900</v>
      </c>
      <c r="I1590" s="42" t="str">
        <f>_xlfn.XLOOKUP(J1590,'Centro de Custo'!J$2:J$13,'Centro de Custo'!K$2:K$13)</f>
        <v>Janeiro</v>
      </c>
      <c r="J1590" s="43">
        <f>MONTH(Tabela3[[#This Row],[Data]])</f>
        <v>1</v>
      </c>
      <c r="K1590" s="39">
        <f>SUM(E$3:Tabela3[[#This Row],[Valor]])</f>
        <v>4236027.08</v>
      </c>
      <c r="L1590" s="40">
        <f t="shared" si="24"/>
        <v>2.22375</v>
      </c>
      <c r="M1590" s="40"/>
      <c r="N1590" s="40"/>
      <c r="O1590" s="40"/>
      <c r="P1590" s="39"/>
      <c r="Q1590" s="39"/>
      <c r="R1590" s="39"/>
      <c r="S1590" s="39"/>
      <c r="T1590" s="39"/>
      <c r="V1590" t="b">
        <f>IF(Tabela3[[#This Row],[Pago]]&lt;&gt;"",IF(F1591="",Tabela3[[#This Row],[Saldo]],0))</f>
        <v>0</v>
      </c>
    </row>
    <row r="1591" spans="2:22" x14ac:dyDescent="0.25">
      <c r="B1591" s="37"/>
      <c r="C1591">
        <f>_xlfn.XLOOKUP(B1591,'Centro de Custo'!A$2:A$45,'Centro de Custo'!B$2:B$45)</f>
        <v>0</v>
      </c>
      <c r="E1591" s="39"/>
      <c r="F1591" s="40"/>
      <c r="G1591" s="41"/>
      <c r="H1591" s="42">
        <f>YEAR(Tabela3[[#This Row],[Data]])</f>
        <v>1900</v>
      </c>
      <c r="I1591" s="42" t="str">
        <f>_xlfn.XLOOKUP(J1591,'Centro de Custo'!J$2:J$13,'Centro de Custo'!K$2:K$13)</f>
        <v>Janeiro</v>
      </c>
      <c r="J1591" s="43">
        <f>MONTH(Tabela3[[#This Row],[Data]])</f>
        <v>1</v>
      </c>
      <c r="K1591" s="39">
        <f>SUM(E$3:Tabela3[[#This Row],[Valor]])</f>
        <v>4236027.08</v>
      </c>
      <c r="L1591" s="40">
        <f t="shared" si="24"/>
        <v>2.22375</v>
      </c>
      <c r="M1591" s="40"/>
      <c r="N1591" s="40"/>
      <c r="O1591" s="40"/>
      <c r="P1591" s="39"/>
      <c r="Q1591" s="39"/>
      <c r="R1591" s="39"/>
      <c r="S1591" s="39"/>
      <c r="T1591" s="39"/>
      <c r="V1591" t="b">
        <f>IF(Tabela3[[#This Row],[Pago]]&lt;&gt;"",IF(F1592="",Tabela3[[#This Row],[Saldo]],0))</f>
        <v>0</v>
      </c>
    </row>
    <row r="1592" spans="2:22" x14ac:dyDescent="0.25">
      <c r="B1592" s="37"/>
      <c r="C1592">
        <f>_xlfn.XLOOKUP(B1592,'Centro de Custo'!A$2:A$45,'Centro de Custo'!B$2:B$45)</f>
        <v>0</v>
      </c>
      <c r="E1592" s="39"/>
      <c r="F1592" s="40"/>
      <c r="G1592" s="41"/>
      <c r="H1592" s="42">
        <f>YEAR(Tabela3[[#This Row],[Data]])</f>
        <v>1900</v>
      </c>
      <c r="I1592" s="42" t="str">
        <f>_xlfn.XLOOKUP(J1592,'Centro de Custo'!J$2:J$13,'Centro de Custo'!K$2:K$13)</f>
        <v>Janeiro</v>
      </c>
      <c r="J1592" s="43">
        <f>MONTH(Tabela3[[#This Row],[Data]])</f>
        <v>1</v>
      </c>
      <c r="K1592" s="39">
        <f>SUM(E$3:Tabela3[[#This Row],[Valor]])</f>
        <v>4236027.08</v>
      </c>
      <c r="L1592" s="40">
        <f t="shared" si="24"/>
        <v>2.22375</v>
      </c>
      <c r="M1592" s="40"/>
      <c r="N1592" s="40"/>
      <c r="O1592" s="40"/>
      <c r="P1592" s="39"/>
      <c r="Q1592" s="39"/>
      <c r="R1592" s="39"/>
      <c r="S1592" s="39"/>
      <c r="T1592" s="39"/>
      <c r="V1592" t="b">
        <f>IF(Tabela3[[#This Row],[Pago]]&lt;&gt;"",IF(F1593="",Tabela3[[#This Row],[Saldo]],0))</f>
        <v>0</v>
      </c>
    </row>
    <row r="1593" spans="2:22" x14ac:dyDescent="0.25">
      <c r="B1593" s="37"/>
      <c r="C1593">
        <f>_xlfn.XLOOKUP(B1593,'Centro de Custo'!A$2:A$45,'Centro de Custo'!B$2:B$45)</f>
        <v>0</v>
      </c>
      <c r="E1593" s="39"/>
      <c r="F1593" s="40"/>
      <c r="G1593" s="41"/>
      <c r="H1593" s="42">
        <f>YEAR(Tabela3[[#This Row],[Data]])</f>
        <v>1900</v>
      </c>
      <c r="I1593" s="42" t="str">
        <f>_xlfn.XLOOKUP(J1593,'Centro de Custo'!J$2:J$13,'Centro de Custo'!K$2:K$13)</f>
        <v>Janeiro</v>
      </c>
      <c r="J1593" s="43">
        <f>MONTH(Tabela3[[#This Row],[Data]])</f>
        <v>1</v>
      </c>
      <c r="K1593" s="39">
        <f>SUM(E$3:Tabela3[[#This Row],[Valor]])</f>
        <v>4236027.08</v>
      </c>
      <c r="L1593" s="40">
        <f t="shared" si="24"/>
        <v>2.22375</v>
      </c>
      <c r="M1593" s="40"/>
      <c r="N1593" s="40"/>
      <c r="O1593" s="40"/>
      <c r="P1593" s="39"/>
      <c r="Q1593" s="39"/>
      <c r="R1593" s="39"/>
      <c r="S1593" s="39"/>
      <c r="T1593" s="39"/>
      <c r="V1593" t="b">
        <f>IF(Tabela3[[#This Row],[Pago]]&lt;&gt;"",IF(F1594="",Tabela3[[#This Row],[Saldo]],0))</f>
        <v>0</v>
      </c>
    </row>
    <row r="1594" spans="2:22" x14ac:dyDescent="0.25">
      <c r="B1594" s="37"/>
      <c r="C1594">
        <f>_xlfn.XLOOKUP(B1594,'Centro de Custo'!A$2:A$45,'Centro de Custo'!B$2:B$45)</f>
        <v>0</v>
      </c>
      <c r="E1594" s="39"/>
      <c r="F1594" s="40"/>
      <c r="G1594" s="41"/>
      <c r="H1594" s="42">
        <f>YEAR(Tabela3[[#This Row],[Data]])</f>
        <v>1900</v>
      </c>
      <c r="I1594" s="42" t="str">
        <f>_xlfn.XLOOKUP(J1594,'Centro de Custo'!J$2:J$13,'Centro de Custo'!K$2:K$13)</f>
        <v>Janeiro</v>
      </c>
      <c r="J1594" s="43">
        <f>MONTH(Tabela3[[#This Row],[Data]])</f>
        <v>1</v>
      </c>
      <c r="K1594" s="39">
        <f>SUM(E$3:Tabela3[[#This Row],[Valor]])</f>
        <v>4236027.08</v>
      </c>
      <c r="L1594" s="40">
        <f t="shared" si="24"/>
        <v>2.22375</v>
      </c>
      <c r="M1594" s="40"/>
      <c r="N1594" s="40"/>
      <c r="O1594" s="40"/>
      <c r="P1594" s="39"/>
      <c r="Q1594" s="39"/>
      <c r="R1594" s="39"/>
      <c r="S1594" s="39"/>
      <c r="T1594" s="39"/>
      <c r="V1594" t="b">
        <f>IF(Tabela3[[#This Row],[Pago]]&lt;&gt;"",IF(F1595="",Tabela3[[#This Row],[Saldo]],0))</f>
        <v>0</v>
      </c>
    </row>
    <row r="1595" spans="2:22" x14ac:dyDescent="0.25">
      <c r="B1595" s="37"/>
      <c r="C1595">
        <f>_xlfn.XLOOKUP(B1595,'Centro de Custo'!A$2:A$45,'Centro de Custo'!B$2:B$45)</f>
        <v>0</v>
      </c>
      <c r="E1595" s="39"/>
      <c r="F1595" s="40"/>
      <c r="G1595" s="41"/>
      <c r="H1595" s="42">
        <f>YEAR(Tabela3[[#This Row],[Data]])</f>
        <v>1900</v>
      </c>
      <c r="I1595" s="42" t="str">
        <f>_xlfn.XLOOKUP(J1595,'Centro de Custo'!J$2:J$13,'Centro de Custo'!K$2:K$13)</f>
        <v>Janeiro</v>
      </c>
      <c r="J1595" s="43">
        <f>MONTH(Tabela3[[#This Row],[Data]])</f>
        <v>1</v>
      </c>
      <c r="K1595" s="39">
        <f>SUM(E$3:Tabela3[[#This Row],[Valor]])</f>
        <v>4236027.08</v>
      </c>
      <c r="L1595" s="40">
        <f t="shared" si="24"/>
        <v>2.22375</v>
      </c>
      <c r="M1595" s="40"/>
      <c r="N1595" s="40"/>
      <c r="O1595" s="40"/>
      <c r="P1595" s="39"/>
      <c r="Q1595" s="39"/>
      <c r="R1595" s="39"/>
      <c r="S1595" s="39"/>
      <c r="T1595" s="39"/>
      <c r="V1595" t="b">
        <f>IF(Tabela3[[#This Row],[Pago]]&lt;&gt;"",IF(F1596="",Tabela3[[#This Row],[Saldo]],0))</f>
        <v>0</v>
      </c>
    </row>
    <row r="1596" spans="2:22" x14ac:dyDescent="0.25">
      <c r="B1596" s="37"/>
      <c r="C1596">
        <f>_xlfn.XLOOKUP(B1596,'Centro de Custo'!A$2:A$45,'Centro de Custo'!B$2:B$45)</f>
        <v>0</v>
      </c>
      <c r="E1596" s="39"/>
      <c r="F1596" s="40"/>
      <c r="G1596" s="41"/>
      <c r="H1596" s="42">
        <f>YEAR(Tabela3[[#This Row],[Data]])</f>
        <v>1900</v>
      </c>
      <c r="I1596" s="42" t="str">
        <f>_xlfn.XLOOKUP(J1596,'Centro de Custo'!J$2:J$13,'Centro de Custo'!K$2:K$13)</f>
        <v>Janeiro</v>
      </c>
      <c r="J1596" s="43">
        <f>MONTH(Tabela3[[#This Row],[Data]])</f>
        <v>1</v>
      </c>
      <c r="K1596" s="39">
        <f>SUM(E$3:Tabela3[[#This Row],[Valor]])</f>
        <v>4236027.08</v>
      </c>
      <c r="L1596" s="40">
        <f t="shared" si="24"/>
        <v>2.22375</v>
      </c>
      <c r="M1596" s="40"/>
      <c r="N1596" s="40"/>
      <c r="O1596" s="40"/>
      <c r="P1596" s="39"/>
      <c r="Q1596" s="39"/>
      <c r="R1596" s="39"/>
      <c r="S1596" s="39"/>
      <c r="T1596" s="39"/>
      <c r="V1596" t="b">
        <f>IF(Tabela3[[#This Row],[Pago]]&lt;&gt;"",IF(F1597="",Tabela3[[#This Row],[Saldo]],0))</f>
        <v>0</v>
      </c>
    </row>
    <row r="1597" spans="2:22" x14ac:dyDescent="0.25">
      <c r="B1597" s="37"/>
      <c r="C1597">
        <f>_xlfn.XLOOKUP(B1597,'Centro de Custo'!A$2:A$45,'Centro de Custo'!B$2:B$45)</f>
        <v>0</v>
      </c>
      <c r="E1597" s="39"/>
      <c r="F1597" s="40"/>
      <c r="G1597" s="41"/>
      <c r="H1597" s="42">
        <f>YEAR(Tabela3[[#This Row],[Data]])</f>
        <v>1900</v>
      </c>
      <c r="I1597" s="42" t="str">
        <f>_xlfn.XLOOKUP(J1597,'Centro de Custo'!J$2:J$13,'Centro de Custo'!K$2:K$13)</f>
        <v>Janeiro</v>
      </c>
      <c r="J1597" s="43">
        <f>MONTH(Tabela3[[#This Row],[Data]])</f>
        <v>1</v>
      </c>
      <c r="K1597" s="39">
        <f>SUM(E$3:Tabela3[[#This Row],[Valor]])</f>
        <v>4236027.08</v>
      </c>
      <c r="L1597" s="40">
        <f t="shared" si="24"/>
        <v>2.22375</v>
      </c>
      <c r="M1597" s="40"/>
      <c r="N1597" s="40"/>
      <c r="O1597" s="40"/>
      <c r="P1597" s="39"/>
      <c r="Q1597" s="39"/>
      <c r="R1597" s="39"/>
      <c r="S1597" s="39"/>
      <c r="T1597" s="39"/>
      <c r="V1597" t="b">
        <f>IF(Tabela3[[#This Row],[Pago]]&lt;&gt;"",IF(F1598="",Tabela3[[#This Row],[Saldo]],0))</f>
        <v>0</v>
      </c>
    </row>
    <row r="1598" spans="2:22" x14ac:dyDescent="0.25">
      <c r="B1598" s="37"/>
      <c r="C1598">
        <f>_xlfn.XLOOKUP(B1598,'Centro de Custo'!A$2:A$45,'Centro de Custo'!B$2:B$45)</f>
        <v>0</v>
      </c>
      <c r="E1598" s="39"/>
      <c r="F1598" s="40"/>
      <c r="G1598" s="41"/>
      <c r="H1598" s="42">
        <f>YEAR(Tabela3[[#This Row],[Data]])</f>
        <v>1900</v>
      </c>
      <c r="I1598" s="42" t="str">
        <f>_xlfn.XLOOKUP(J1598,'Centro de Custo'!J$2:J$13,'Centro de Custo'!K$2:K$13)</f>
        <v>Janeiro</v>
      </c>
      <c r="J1598" s="43">
        <f>MONTH(Tabela3[[#This Row],[Data]])</f>
        <v>1</v>
      </c>
      <c r="K1598" s="39">
        <f>SUM(E$3:Tabela3[[#This Row],[Valor]])</f>
        <v>4236027.08</v>
      </c>
      <c r="L1598" s="40">
        <f t="shared" si="24"/>
        <v>2.22375</v>
      </c>
      <c r="M1598" s="40"/>
      <c r="N1598" s="40"/>
      <c r="O1598" s="40"/>
      <c r="P1598" s="39"/>
      <c r="Q1598" s="39"/>
      <c r="R1598" s="39"/>
      <c r="S1598" s="39"/>
      <c r="T1598" s="39"/>
      <c r="V1598" t="b">
        <f>IF(Tabela3[[#This Row],[Pago]]&lt;&gt;"",IF(F1599="",Tabela3[[#This Row],[Saldo]],0))</f>
        <v>0</v>
      </c>
    </row>
    <row r="1599" spans="2:22" x14ac:dyDescent="0.25">
      <c r="B1599" s="37"/>
      <c r="C1599">
        <f>_xlfn.XLOOKUP(B1599,'Centro de Custo'!A$2:A$45,'Centro de Custo'!B$2:B$45)</f>
        <v>0</v>
      </c>
      <c r="E1599" s="39"/>
      <c r="F1599" s="40"/>
      <c r="G1599" s="41"/>
      <c r="H1599" s="42">
        <f>YEAR(Tabela3[[#This Row],[Data]])</f>
        <v>1900</v>
      </c>
      <c r="I1599" s="42" t="str">
        <f>_xlfn.XLOOKUP(J1599,'Centro de Custo'!J$2:J$13,'Centro de Custo'!K$2:K$13)</f>
        <v>Janeiro</v>
      </c>
      <c r="J1599" s="43">
        <f>MONTH(Tabela3[[#This Row],[Data]])</f>
        <v>1</v>
      </c>
      <c r="K1599" s="39">
        <f>SUM(E$3:Tabela3[[#This Row],[Valor]])</f>
        <v>4236027.08</v>
      </c>
      <c r="L1599" s="40">
        <f t="shared" si="24"/>
        <v>2.22375</v>
      </c>
      <c r="M1599" s="40"/>
      <c r="N1599" s="40"/>
      <c r="O1599" s="40"/>
      <c r="P1599" s="39"/>
      <c r="Q1599" s="39"/>
      <c r="R1599" s="39"/>
      <c r="S1599" s="39"/>
      <c r="T1599" s="39"/>
      <c r="V1599" t="b">
        <f>IF(Tabela3[[#This Row],[Pago]]&lt;&gt;"",IF(F1600="",Tabela3[[#This Row],[Saldo]],0))</f>
        <v>0</v>
      </c>
    </row>
    <row r="1600" spans="2:22" x14ac:dyDescent="0.25">
      <c r="B1600" s="37"/>
      <c r="C1600">
        <f>_xlfn.XLOOKUP(B1600,'Centro de Custo'!A$2:A$45,'Centro de Custo'!B$2:B$45)</f>
        <v>0</v>
      </c>
      <c r="E1600" s="39"/>
      <c r="F1600" s="40"/>
      <c r="G1600" s="41"/>
      <c r="H1600" s="42">
        <f>YEAR(Tabela3[[#This Row],[Data]])</f>
        <v>1900</v>
      </c>
      <c r="I1600" s="42" t="str">
        <f>_xlfn.XLOOKUP(J1600,'Centro de Custo'!J$2:J$13,'Centro de Custo'!K$2:K$13)</f>
        <v>Janeiro</v>
      </c>
      <c r="J1600" s="43">
        <f>MONTH(Tabela3[[#This Row],[Data]])</f>
        <v>1</v>
      </c>
      <c r="K1600" s="39">
        <f>SUM(E$3:Tabela3[[#This Row],[Valor]])</f>
        <v>4236027.08</v>
      </c>
      <c r="L1600" s="40">
        <f t="shared" si="24"/>
        <v>2.22375</v>
      </c>
      <c r="M1600" s="40"/>
      <c r="N1600" s="40"/>
      <c r="O1600" s="40"/>
      <c r="P1600" s="39"/>
      <c r="Q1600" s="39"/>
      <c r="R1600" s="39"/>
      <c r="S1600" s="39"/>
      <c r="T1600" s="39"/>
      <c r="V1600" t="b">
        <f>IF(Tabela3[[#This Row],[Pago]]&lt;&gt;"",IF(F1601="",Tabela3[[#This Row],[Saldo]],0))</f>
        <v>0</v>
      </c>
    </row>
    <row r="1601" spans="2:22" x14ac:dyDescent="0.25">
      <c r="B1601" s="37"/>
      <c r="C1601">
        <f>_xlfn.XLOOKUP(B1601,'Centro de Custo'!A$2:A$45,'Centro de Custo'!B$2:B$45)</f>
        <v>0</v>
      </c>
      <c r="E1601" s="39"/>
      <c r="F1601" s="40"/>
      <c r="G1601" s="41"/>
      <c r="H1601" s="42">
        <f>YEAR(Tabela3[[#This Row],[Data]])</f>
        <v>1900</v>
      </c>
      <c r="I1601" s="42" t="str">
        <f>_xlfn.XLOOKUP(J1601,'Centro de Custo'!J$2:J$13,'Centro de Custo'!K$2:K$13)</f>
        <v>Janeiro</v>
      </c>
      <c r="J1601" s="43">
        <f>MONTH(Tabela3[[#This Row],[Data]])</f>
        <v>1</v>
      </c>
      <c r="K1601" s="39">
        <f>SUM(E$3:Tabela3[[#This Row],[Valor]])</f>
        <v>4236027.08</v>
      </c>
      <c r="L1601" s="40">
        <f t="shared" si="24"/>
        <v>2.22375</v>
      </c>
      <c r="M1601" s="40"/>
      <c r="N1601" s="40"/>
      <c r="O1601" s="40"/>
      <c r="P1601" s="39"/>
      <c r="Q1601" s="39"/>
      <c r="R1601" s="39"/>
      <c r="S1601" s="39"/>
      <c r="T1601" s="39"/>
      <c r="V1601" t="b">
        <f>IF(Tabela3[[#This Row],[Pago]]&lt;&gt;"",IF(F1602="",Tabela3[[#This Row],[Saldo]],0))</f>
        <v>0</v>
      </c>
    </row>
    <row r="1602" spans="2:22" x14ac:dyDescent="0.25">
      <c r="B1602" s="37"/>
      <c r="C1602">
        <f>_xlfn.XLOOKUP(B1602,'Centro de Custo'!A$2:A$45,'Centro de Custo'!B$2:B$45)</f>
        <v>0</v>
      </c>
      <c r="E1602" s="39"/>
      <c r="F1602" s="40"/>
      <c r="G1602" s="41"/>
      <c r="H1602" s="42">
        <f>YEAR(Tabela3[[#This Row],[Data]])</f>
        <v>1900</v>
      </c>
      <c r="I1602" s="42" t="str">
        <f>_xlfn.XLOOKUP(J1602,'Centro de Custo'!J$2:J$13,'Centro de Custo'!K$2:K$13)</f>
        <v>Janeiro</v>
      </c>
      <c r="J1602" s="43">
        <f>MONTH(Tabela3[[#This Row],[Data]])</f>
        <v>1</v>
      </c>
      <c r="K1602" s="39">
        <f>SUM(E$3:Tabela3[[#This Row],[Valor]])</f>
        <v>4236027.08</v>
      </c>
      <c r="L1602" s="40">
        <f t="shared" si="24"/>
        <v>2.22375</v>
      </c>
      <c r="M1602" s="40"/>
      <c r="N1602" s="40"/>
      <c r="O1602" s="40"/>
      <c r="P1602" s="39"/>
      <c r="Q1602" s="39"/>
      <c r="R1602" s="39"/>
      <c r="S1602" s="39"/>
      <c r="T1602" s="39"/>
      <c r="V1602" t="b">
        <f>IF(Tabela3[[#This Row],[Pago]]&lt;&gt;"",IF(F1603="",Tabela3[[#This Row],[Saldo]],0))</f>
        <v>0</v>
      </c>
    </row>
    <row r="1603" spans="2:22" x14ac:dyDescent="0.25">
      <c r="B1603" s="37"/>
      <c r="C1603">
        <f>_xlfn.XLOOKUP(B1603,'Centro de Custo'!A$2:A$45,'Centro de Custo'!B$2:B$45)</f>
        <v>0</v>
      </c>
      <c r="E1603" s="39"/>
      <c r="F1603" s="40"/>
      <c r="G1603" s="41"/>
      <c r="H1603" s="42">
        <f>YEAR(Tabela3[[#This Row],[Data]])</f>
        <v>1900</v>
      </c>
      <c r="I1603" s="42" t="str">
        <f>_xlfn.XLOOKUP(J1603,'Centro de Custo'!J$2:J$13,'Centro de Custo'!K$2:K$13)</f>
        <v>Janeiro</v>
      </c>
      <c r="J1603" s="43">
        <f>MONTH(Tabela3[[#This Row],[Data]])</f>
        <v>1</v>
      </c>
      <c r="K1603" s="39">
        <f>SUM(E$3:Tabela3[[#This Row],[Valor]])</f>
        <v>4236027.08</v>
      </c>
      <c r="L1603" s="40">
        <f t="shared" ref="L1603:L1666" si="25">17.79/8</f>
        <v>2.22375</v>
      </c>
      <c r="M1603" s="40"/>
      <c r="N1603" s="40"/>
      <c r="O1603" s="40"/>
      <c r="P1603" s="39"/>
      <c r="Q1603" s="39"/>
      <c r="R1603" s="39"/>
      <c r="S1603" s="39"/>
      <c r="T1603" s="39"/>
      <c r="V1603" t="b">
        <f>IF(Tabela3[[#This Row],[Pago]]&lt;&gt;"",IF(F1604="",Tabela3[[#This Row],[Saldo]],0))</f>
        <v>0</v>
      </c>
    </row>
    <row r="1604" spans="2:22" x14ac:dyDescent="0.25">
      <c r="B1604" s="37"/>
      <c r="C1604">
        <f>_xlfn.XLOOKUP(B1604,'Centro de Custo'!A$2:A$45,'Centro de Custo'!B$2:B$45)</f>
        <v>0</v>
      </c>
      <c r="E1604" s="39"/>
      <c r="F1604" s="40"/>
      <c r="G1604" s="41"/>
      <c r="H1604" s="42">
        <f>YEAR(Tabela3[[#This Row],[Data]])</f>
        <v>1900</v>
      </c>
      <c r="I1604" s="42" t="str">
        <f>_xlfn.XLOOKUP(J1604,'Centro de Custo'!J$2:J$13,'Centro de Custo'!K$2:K$13)</f>
        <v>Janeiro</v>
      </c>
      <c r="J1604" s="43">
        <f>MONTH(Tabela3[[#This Row],[Data]])</f>
        <v>1</v>
      </c>
      <c r="K1604" s="39">
        <f>SUM(E$3:Tabela3[[#This Row],[Valor]])</f>
        <v>4236027.08</v>
      </c>
      <c r="L1604" s="40">
        <f t="shared" si="25"/>
        <v>2.22375</v>
      </c>
      <c r="M1604" s="40"/>
      <c r="N1604" s="40"/>
      <c r="O1604" s="40"/>
      <c r="P1604" s="39"/>
      <c r="Q1604" s="39"/>
      <c r="R1604" s="39"/>
      <c r="S1604" s="39"/>
      <c r="T1604" s="39"/>
      <c r="V1604" t="b">
        <f>IF(Tabela3[[#This Row],[Pago]]&lt;&gt;"",IF(F1605="",Tabela3[[#This Row],[Saldo]],0))</f>
        <v>0</v>
      </c>
    </row>
    <row r="1605" spans="2:22" x14ac:dyDescent="0.25">
      <c r="B1605" s="37"/>
      <c r="C1605">
        <f>_xlfn.XLOOKUP(B1605,'Centro de Custo'!A$2:A$45,'Centro de Custo'!B$2:B$45)</f>
        <v>0</v>
      </c>
      <c r="E1605" s="39"/>
      <c r="F1605" s="40"/>
      <c r="G1605" s="41"/>
      <c r="H1605" s="42">
        <f>YEAR(Tabela3[[#This Row],[Data]])</f>
        <v>1900</v>
      </c>
      <c r="I1605" s="42" t="str">
        <f>_xlfn.XLOOKUP(J1605,'Centro de Custo'!J$2:J$13,'Centro de Custo'!K$2:K$13)</f>
        <v>Janeiro</v>
      </c>
      <c r="J1605" s="43">
        <f>MONTH(Tabela3[[#This Row],[Data]])</f>
        <v>1</v>
      </c>
      <c r="K1605" s="39">
        <f>SUM(E$3:Tabela3[[#This Row],[Valor]])</f>
        <v>4236027.08</v>
      </c>
      <c r="L1605" s="40">
        <f t="shared" si="25"/>
        <v>2.22375</v>
      </c>
      <c r="M1605" s="40"/>
      <c r="N1605" s="40"/>
      <c r="O1605" s="40"/>
      <c r="P1605" s="39"/>
      <c r="Q1605" s="39"/>
      <c r="R1605" s="39"/>
      <c r="S1605" s="39"/>
      <c r="T1605" s="39"/>
      <c r="V1605" t="b">
        <f>IF(Tabela3[[#This Row],[Pago]]&lt;&gt;"",IF(F1606="",Tabela3[[#This Row],[Saldo]],0))</f>
        <v>0</v>
      </c>
    </row>
    <row r="1606" spans="2:22" x14ac:dyDescent="0.25">
      <c r="B1606" s="37"/>
      <c r="C1606">
        <f>_xlfn.XLOOKUP(B1606,'Centro de Custo'!A$2:A$45,'Centro de Custo'!B$2:B$45)</f>
        <v>0</v>
      </c>
      <c r="E1606" s="39"/>
      <c r="F1606" s="40"/>
      <c r="G1606" s="41"/>
      <c r="H1606" s="42">
        <f>YEAR(Tabela3[[#This Row],[Data]])</f>
        <v>1900</v>
      </c>
      <c r="I1606" s="42" t="str">
        <f>_xlfn.XLOOKUP(J1606,'Centro de Custo'!J$2:J$13,'Centro de Custo'!K$2:K$13)</f>
        <v>Janeiro</v>
      </c>
      <c r="J1606" s="43">
        <f>MONTH(Tabela3[[#This Row],[Data]])</f>
        <v>1</v>
      </c>
      <c r="K1606" s="39">
        <f>SUM(E$3:Tabela3[[#This Row],[Valor]])</f>
        <v>4236027.08</v>
      </c>
      <c r="L1606" s="40">
        <f t="shared" si="25"/>
        <v>2.22375</v>
      </c>
      <c r="M1606" s="40"/>
      <c r="N1606" s="40"/>
      <c r="O1606" s="40"/>
      <c r="P1606" s="39"/>
      <c r="Q1606" s="39"/>
      <c r="R1606" s="39"/>
      <c r="S1606" s="39"/>
      <c r="T1606" s="39"/>
      <c r="V1606" t="b">
        <f>IF(Tabela3[[#This Row],[Pago]]&lt;&gt;"",IF(F1607="",Tabela3[[#This Row],[Saldo]],0))</f>
        <v>0</v>
      </c>
    </row>
    <row r="1607" spans="2:22" x14ac:dyDescent="0.25">
      <c r="B1607" s="37"/>
      <c r="C1607">
        <f>_xlfn.XLOOKUP(B1607,'Centro de Custo'!A$2:A$45,'Centro de Custo'!B$2:B$45)</f>
        <v>0</v>
      </c>
      <c r="E1607" s="39"/>
      <c r="F1607" s="40"/>
      <c r="G1607" s="41"/>
      <c r="H1607" s="42">
        <f>YEAR(Tabela3[[#This Row],[Data]])</f>
        <v>1900</v>
      </c>
      <c r="I1607" s="42" t="str">
        <f>_xlfn.XLOOKUP(J1607,'Centro de Custo'!J$2:J$13,'Centro de Custo'!K$2:K$13)</f>
        <v>Janeiro</v>
      </c>
      <c r="J1607" s="43">
        <f>MONTH(Tabela3[[#This Row],[Data]])</f>
        <v>1</v>
      </c>
      <c r="K1607" s="39">
        <f>SUM(E$3:Tabela3[[#This Row],[Valor]])</f>
        <v>4236027.08</v>
      </c>
      <c r="L1607" s="40">
        <f t="shared" si="25"/>
        <v>2.22375</v>
      </c>
      <c r="M1607" s="40"/>
      <c r="N1607" s="40"/>
      <c r="O1607" s="40"/>
      <c r="P1607" s="39"/>
      <c r="Q1607" s="39"/>
      <c r="R1607" s="39"/>
      <c r="S1607" s="39"/>
      <c r="T1607" s="39"/>
      <c r="V1607" t="b">
        <f>IF(Tabela3[[#This Row],[Pago]]&lt;&gt;"",IF(F1608="",Tabela3[[#This Row],[Saldo]],0))</f>
        <v>0</v>
      </c>
    </row>
    <row r="1608" spans="2:22" x14ac:dyDescent="0.25">
      <c r="B1608" s="37"/>
      <c r="C1608">
        <f>_xlfn.XLOOKUP(B1608,'Centro de Custo'!A$2:A$45,'Centro de Custo'!B$2:B$45)</f>
        <v>0</v>
      </c>
      <c r="E1608" s="39"/>
      <c r="F1608" s="40"/>
      <c r="G1608" s="41"/>
      <c r="H1608" s="42">
        <f>YEAR(Tabela3[[#This Row],[Data]])</f>
        <v>1900</v>
      </c>
      <c r="I1608" s="42" t="str">
        <f>_xlfn.XLOOKUP(J1608,'Centro de Custo'!J$2:J$13,'Centro de Custo'!K$2:K$13)</f>
        <v>Janeiro</v>
      </c>
      <c r="J1608" s="43">
        <f>MONTH(Tabela3[[#This Row],[Data]])</f>
        <v>1</v>
      </c>
      <c r="K1608" s="39">
        <f>SUM(E$3:Tabela3[[#This Row],[Valor]])</f>
        <v>4236027.08</v>
      </c>
      <c r="L1608" s="40">
        <f t="shared" si="25"/>
        <v>2.22375</v>
      </c>
      <c r="M1608" s="40"/>
      <c r="N1608" s="40"/>
      <c r="O1608" s="40"/>
      <c r="P1608" s="39"/>
      <c r="Q1608" s="39"/>
      <c r="R1608" s="39"/>
      <c r="S1608" s="39"/>
      <c r="T1608" s="39"/>
      <c r="V1608" t="b">
        <f>IF(Tabela3[[#This Row],[Pago]]&lt;&gt;"",IF(F1609="",Tabela3[[#This Row],[Saldo]],0))</f>
        <v>0</v>
      </c>
    </row>
    <row r="1609" spans="2:22" x14ac:dyDescent="0.25">
      <c r="B1609" s="37"/>
      <c r="C1609">
        <f>_xlfn.XLOOKUP(B1609,'Centro de Custo'!A$2:A$45,'Centro de Custo'!B$2:B$45)</f>
        <v>0</v>
      </c>
      <c r="E1609" s="39"/>
      <c r="F1609" s="40"/>
      <c r="G1609" s="41"/>
      <c r="H1609" s="42">
        <f>YEAR(Tabela3[[#This Row],[Data]])</f>
        <v>1900</v>
      </c>
      <c r="I1609" s="42" t="str">
        <f>_xlfn.XLOOKUP(J1609,'Centro de Custo'!J$2:J$13,'Centro de Custo'!K$2:K$13)</f>
        <v>Janeiro</v>
      </c>
      <c r="J1609" s="43">
        <f>MONTH(Tabela3[[#This Row],[Data]])</f>
        <v>1</v>
      </c>
      <c r="K1609" s="39">
        <f>SUM(E$3:Tabela3[[#This Row],[Valor]])</f>
        <v>4236027.08</v>
      </c>
      <c r="L1609" s="40">
        <f t="shared" si="25"/>
        <v>2.22375</v>
      </c>
      <c r="M1609" s="40"/>
      <c r="N1609" s="40"/>
      <c r="O1609" s="40"/>
      <c r="P1609" s="39"/>
      <c r="Q1609" s="39"/>
      <c r="R1609" s="39"/>
      <c r="S1609" s="39"/>
      <c r="T1609" s="39"/>
      <c r="V1609" t="b">
        <f>IF(Tabela3[[#This Row],[Pago]]&lt;&gt;"",IF(F1610="",Tabela3[[#This Row],[Saldo]],0))</f>
        <v>0</v>
      </c>
    </row>
    <row r="1610" spans="2:22" x14ac:dyDescent="0.25">
      <c r="B1610" s="37"/>
      <c r="C1610">
        <f>_xlfn.XLOOKUP(B1610,'Centro de Custo'!A$2:A$45,'Centro de Custo'!B$2:B$45)</f>
        <v>0</v>
      </c>
      <c r="E1610" s="39"/>
      <c r="F1610" s="40"/>
      <c r="G1610" s="41"/>
      <c r="H1610" s="42">
        <f>YEAR(Tabela3[[#This Row],[Data]])</f>
        <v>1900</v>
      </c>
      <c r="I1610" s="42" t="str">
        <f>_xlfn.XLOOKUP(J1610,'Centro de Custo'!J$2:J$13,'Centro de Custo'!K$2:K$13)</f>
        <v>Janeiro</v>
      </c>
      <c r="J1610" s="43">
        <f>MONTH(Tabela3[[#This Row],[Data]])</f>
        <v>1</v>
      </c>
      <c r="K1610" s="39">
        <f>SUM(E$3:Tabela3[[#This Row],[Valor]])</f>
        <v>4236027.08</v>
      </c>
      <c r="L1610" s="40">
        <f t="shared" si="25"/>
        <v>2.22375</v>
      </c>
      <c r="M1610" s="40"/>
      <c r="N1610" s="40"/>
      <c r="O1610" s="40"/>
      <c r="P1610" s="39"/>
      <c r="Q1610" s="39"/>
      <c r="R1610" s="39"/>
      <c r="S1610" s="39"/>
      <c r="T1610" s="39"/>
      <c r="V1610" t="b">
        <f>IF(Tabela3[[#This Row],[Pago]]&lt;&gt;"",IF(F1611="",Tabela3[[#This Row],[Saldo]],0))</f>
        <v>0</v>
      </c>
    </row>
    <row r="1611" spans="2:22" x14ac:dyDescent="0.25">
      <c r="B1611" s="37"/>
      <c r="C1611">
        <f>_xlfn.XLOOKUP(B1611,'Centro de Custo'!A$2:A$45,'Centro de Custo'!B$2:B$45)</f>
        <v>0</v>
      </c>
      <c r="E1611" s="39"/>
      <c r="F1611" s="40"/>
      <c r="G1611" s="41"/>
      <c r="H1611" s="42">
        <f>YEAR(Tabela3[[#This Row],[Data]])</f>
        <v>1900</v>
      </c>
      <c r="I1611" s="42" t="str">
        <f>_xlfn.XLOOKUP(J1611,'Centro de Custo'!J$2:J$13,'Centro de Custo'!K$2:K$13)</f>
        <v>Janeiro</v>
      </c>
      <c r="J1611" s="43">
        <f>MONTH(Tabela3[[#This Row],[Data]])</f>
        <v>1</v>
      </c>
      <c r="K1611" s="39">
        <f>SUM(E$3:Tabela3[[#This Row],[Valor]])</f>
        <v>4236027.08</v>
      </c>
      <c r="L1611" s="40">
        <f t="shared" si="25"/>
        <v>2.22375</v>
      </c>
      <c r="M1611" s="40"/>
      <c r="N1611" s="40"/>
      <c r="O1611" s="40"/>
      <c r="P1611" s="39"/>
      <c r="Q1611" s="39"/>
      <c r="R1611" s="39"/>
      <c r="S1611" s="39"/>
      <c r="T1611" s="39"/>
      <c r="V1611" t="b">
        <f>IF(Tabela3[[#This Row],[Pago]]&lt;&gt;"",IF(F1612="",Tabela3[[#This Row],[Saldo]],0))</f>
        <v>0</v>
      </c>
    </row>
    <row r="1612" spans="2:22" x14ac:dyDescent="0.25">
      <c r="B1612" s="37"/>
      <c r="C1612">
        <f>_xlfn.XLOOKUP(B1612,'Centro de Custo'!A$2:A$45,'Centro de Custo'!B$2:B$45)</f>
        <v>0</v>
      </c>
      <c r="E1612" s="39"/>
      <c r="F1612" s="40"/>
      <c r="G1612" s="41"/>
      <c r="H1612" s="42">
        <f>YEAR(Tabela3[[#This Row],[Data]])</f>
        <v>1900</v>
      </c>
      <c r="I1612" s="42" t="str">
        <f>_xlfn.XLOOKUP(J1612,'Centro de Custo'!J$2:J$13,'Centro de Custo'!K$2:K$13)</f>
        <v>Janeiro</v>
      </c>
      <c r="J1612" s="43">
        <f>MONTH(Tabela3[[#This Row],[Data]])</f>
        <v>1</v>
      </c>
      <c r="K1612" s="39">
        <f>SUM(E$3:Tabela3[[#This Row],[Valor]])</f>
        <v>4236027.08</v>
      </c>
      <c r="L1612" s="40">
        <f t="shared" si="25"/>
        <v>2.22375</v>
      </c>
      <c r="M1612" s="40"/>
      <c r="N1612" s="40"/>
      <c r="O1612" s="40"/>
      <c r="P1612" s="39"/>
      <c r="Q1612" s="39"/>
      <c r="R1612" s="39"/>
      <c r="S1612" s="39"/>
      <c r="T1612" s="39"/>
      <c r="V1612" t="b">
        <f>IF(Tabela3[[#This Row],[Pago]]&lt;&gt;"",IF(F1613="",Tabela3[[#This Row],[Saldo]],0))</f>
        <v>0</v>
      </c>
    </row>
    <row r="1613" spans="2:22" x14ac:dyDescent="0.25">
      <c r="B1613" s="37"/>
      <c r="C1613">
        <f>_xlfn.XLOOKUP(B1613,'Centro de Custo'!A$2:A$45,'Centro de Custo'!B$2:B$45)</f>
        <v>0</v>
      </c>
      <c r="E1613" s="39"/>
      <c r="F1613" s="40"/>
      <c r="G1613" s="41"/>
      <c r="H1613" s="42">
        <f>YEAR(Tabela3[[#This Row],[Data]])</f>
        <v>1900</v>
      </c>
      <c r="I1613" s="42" t="str">
        <f>_xlfn.XLOOKUP(J1613,'Centro de Custo'!J$2:J$13,'Centro de Custo'!K$2:K$13)</f>
        <v>Janeiro</v>
      </c>
      <c r="J1613" s="43">
        <f>MONTH(Tabela3[[#This Row],[Data]])</f>
        <v>1</v>
      </c>
      <c r="K1613" s="39">
        <f>SUM(E$3:Tabela3[[#This Row],[Valor]])</f>
        <v>4236027.08</v>
      </c>
      <c r="L1613" s="40">
        <f t="shared" si="25"/>
        <v>2.22375</v>
      </c>
      <c r="M1613" s="40"/>
      <c r="N1613" s="40"/>
      <c r="O1613" s="40"/>
      <c r="P1613" s="39"/>
      <c r="Q1613" s="39"/>
      <c r="R1613" s="39"/>
      <c r="S1613" s="39"/>
      <c r="T1613" s="39"/>
      <c r="V1613" t="b">
        <f>IF(Tabela3[[#This Row],[Pago]]&lt;&gt;"",IF(F1614="",Tabela3[[#This Row],[Saldo]],0))</f>
        <v>0</v>
      </c>
    </row>
    <row r="1614" spans="2:22" x14ac:dyDescent="0.25">
      <c r="B1614" s="37"/>
      <c r="C1614">
        <f>_xlfn.XLOOKUP(B1614,'Centro de Custo'!A$2:A$45,'Centro de Custo'!B$2:B$45)</f>
        <v>0</v>
      </c>
      <c r="E1614" s="39"/>
      <c r="F1614" s="40"/>
      <c r="G1614" s="41"/>
      <c r="H1614" s="42">
        <f>YEAR(Tabela3[[#This Row],[Data]])</f>
        <v>1900</v>
      </c>
      <c r="I1614" s="42" t="str">
        <f>_xlfn.XLOOKUP(J1614,'Centro de Custo'!J$2:J$13,'Centro de Custo'!K$2:K$13)</f>
        <v>Janeiro</v>
      </c>
      <c r="J1614" s="43">
        <f>MONTH(Tabela3[[#This Row],[Data]])</f>
        <v>1</v>
      </c>
      <c r="K1614" s="39">
        <f>SUM(E$3:Tabela3[[#This Row],[Valor]])</f>
        <v>4236027.08</v>
      </c>
      <c r="L1614" s="40">
        <f t="shared" si="25"/>
        <v>2.22375</v>
      </c>
      <c r="M1614" s="40"/>
      <c r="N1614" s="40"/>
      <c r="O1614" s="40"/>
      <c r="P1614" s="39"/>
      <c r="Q1614" s="39"/>
      <c r="R1614" s="39"/>
      <c r="S1614" s="39"/>
      <c r="T1614" s="39"/>
      <c r="V1614" t="b">
        <f>IF(Tabela3[[#This Row],[Pago]]&lt;&gt;"",IF(F1615="",Tabela3[[#This Row],[Saldo]],0))</f>
        <v>0</v>
      </c>
    </row>
    <row r="1615" spans="2:22" x14ac:dyDescent="0.25">
      <c r="B1615" s="37"/>
      <c r="C1615">
        <f>_xlfn.XLOOKUP(B1615,'Centro de Custo'!A$2:A$45,'Centro de Custo'!B$2:B$45)</f>
        <v>0</v>
      </c>
      <c r="E1615" s="39"/>
      <c r="F1615" s="40"/>
      <c r="G1615" s="41"/>
      <c r="H1615" s="42">
        <f>YEAR(Tabela3[[#This Row],[Data]])</f>
        <v>1900</v>
      </c>
      <c r="I1615" s="42" t="str">
        <f>_xlfn.XLOOKUP(J1615,'Centro de Custo'!J$2:J$13,'Centro de Custo'!K$2:K$13)</f>
        <v>Janeiro</v>
      </c>
      <c r="J1615" s="43">
        <f>MONTH(Tabela3[[#This Row],[Data]])</f>
        <v>1</v>
      </c>
      <c r="K1615" s="39">
        <f>SUM(E$3:Tabela3[[#This Row],[Valor]])</f>
        <v>4236027.08</v>
      </c>
      <c r="L1615" s="40">
        <f t="shared" si="25"/>
        <v>2.22375</v>
      </c>
      <c r="M1615" s="40"/>
      <c r="N1615" s="40"/>
      <c r="O1615" s="40"/>
      <c r="P1615" s="39"/>
      <c r="Q1615" s="39"/>
      <c r="R1615" s="39"/>
      <c r="S1615" s="39"/>
      <c r="T1615" s="39"/>
      <c r="V1615" t="b">
        <f>IF(Tabela3[[#This Row],[Pago]]&lt;&gt;"",IF(F1616="",Tabela3[[#This Row],[Saldo]],0))</f>
        <v>0</v>
      </c>
    </row>
    <row r="1616" spans="2:22" x14ac:dyDescent="0.25">
      <c r="B1616" s="37"/>
      <c r="C1616">
        <f>_xlfn.XLOOKUP(B1616,'Centro de Custo'!A$2:A$45,'Centro de Custo'!B$2:B$45)</f>
        <v>0</v>
      </c>
      <c r="E1616" s="39"/>
      <c r="F1616" s="40"/>
      <c r="G1616" s="41"/>
      <c r="H1616" s="42">
        <f>YEAR(Tabela3[[#This Row],[Data]])</f>
        <v>1900</v>
      </c>
      <c r="I1616" s="42" t="str">
        <f>_xlfn.XLOOKUP(J1616,'Centro de Custo'!J$2:J$13,'Centro de Custo'!K$2:K$13)</f>
        <v>Janeiro</v>
      </c>
      <c r="J1616" s="43">
        <f>MONTH(Tabela3[[#This Row],[Data]])</f>
        <v>1</v>
      </c>
      <c r="K1616" s="39">
        <f>SUM(E$3:Tabela3[[#This Row],[Valor]])</f>
        <v>4236027.08</v>
      </c>
      <c r="L1616" s="40">
        <f t="shared" si="25"/>
        <v>2.22375</v>
      </c>
      <c r="M1616" s="40"/>
      <c r="N1616" s="40"/>
      <c r="O1616" s="40"/>
      <c r="P1616" s="39"/>
      <c r="Q1616" s="39"/>
      <c r="R1616" s="39"/>
      <c r="S1616" s="39"/>
      <c r="T1616" s="39"/>
      <c r="V1616" t="b">
        <f>IF(Tabela3[[#This Row],[Pago]]&lt;&gt;"",IF(F1617="",Tabela3[[#This Row],[Saldo]],0))</f>
        <v>0</v>
      </c>
    </row>
    <row r="1617" spans="2:22" x14ac:dyDescent="0.25">
      <c r="B1617" s="37"/>
      <c r="C1617">
        <f>_xlfn.XLOOKUP(B1617,'Centro de Custo'!A$2:A$45,'Centro de Custo'!B$2:B$45)</f>
        <v>0</v>
      </c>
      <c r="E1617" s="39"/>
      <c r="F1617" s="40"/>
      <c r="G1617" s="41"/>
      <c r="H1617" s="42">
        <f>YEAR(Tabela3[[#This Row],[Data]])</f>
        <v>1900</v>
      </c>
      <c r="I1617" s="42" t="str">
        <f>_xlfn.XLOOKUP(J1617,'Centro de Custo'!J$2:J$13,'Centro de Custo'!K$2:K$13)</f>
        <v>Janeiro</v>
      </c>
      <c r="J1617" s="43">
        <f>MONTH(Tabela3[[#This Row],[Data]])</f>
        <v>1</v>
      </c>
      <c r="K1617" s="39">
        <f>SUM(E$3:Tabela3[[#This Row],[Valor]])</f>
        <v>4236027.08</v>
      </c>
      <c r="L1617" s="40">
        <f t="shared" si="25"/>
        <v>2.22375</v>
      </c>
      <c r="M1617" s="40"/>
      <c r="N1617" s="40"/>
      <c r="O1617" s="40"/>
      <c r="P1617" s="39"/>
      <c r="Q1617" s="39"/>
      <c r="R1617" s="39"/>
      <c r="S1617" s="39"/>
      <c r="T1617" s="39"/>
      <c r="V1617" t="b">
        <f>IF(Tabela3[[#This Row],[Pago]]&lt;&gt;"",IF(F1618="",Tabela3[[#This Row],[Saldo]],0))</f>
        <v>0</v>
      </c>
    </row>
    <row r="1618" spans="2:22" x14ac:dyDescent="0.25">
      <c r="B1618" s="37"/>
      <c r="C1618">
        <f>_xlfn.XLOOKUP(B1618,'Centro de Custo'!A$2:A$45,'Centro de Custo'!B$2:B$45)</f>
        <v>0</v>
      </c>
      <c r="E1618" s="39"/>
      <c r="F1618" s="40"/>
      <c r="G1618" s="41"/>
      <c r="H1618" s="42">
        <f>YEAR(Tabela3[[#This Row],[Data]])</f>
        <v>1900</v>
      </c>
      <c r="I1618" s="42" t="str">
        <f>_xlfn.XLOOKUP(J1618,'Centro de Custo'!J$2:J$13,'Centro de Custo'!K$2:K$13)</f>
        <v>Janeiro</v>
      </c>
      <c r="J1618" s="43">
        <f>MONTH(Tabela3[[#This Row],[Data]])</f>
        <v>1</v>
      </c>
      <c r="K1618" s="39">
        <f>SUM(E$3:Tabela3[[#This Row],[Valor]])</f>
        <v>4236027.08</v>
      </c>
      <c r="L1618" s="40">
        <f t="shared" si="25"/>
        <v>2.22375</v>
      </c>
      <c r="M1618" s="40"/>
      <c r="N1618" s="40"/>
      <c r="O1618" s="40"/>
      <c r="P1618" s="39"/>
      <c r="Q1618" s="39"/>
      <c r="R1618" s="39"/>
      <c r="S1618" s="39"/>
      <c r="T1618" s="39"/>
      <c r="V1618" t="b">
        <f>IF(Tabela3[[#This Row],[Pago]]&lt;&gt;"",IF(F1619="",Tabela3[[#This Row],[Saldo]],0))</f>
        <v>0</v>
      </c>
    </row>
    <row r="1619" spans="2:22" x14ac:dyDescent="0.25">
      <c r="B1619" s="37"/>
      <c r="C1619">
        <f>_xlfn.XLOOKUP(B1619,'Centro de Custo'!A$2:A$45,'Centro de Custo'!B$2:B$45)</f>
        <v>0</v>
      </c>
      <c r="E1619" s="39"/>
      <c r="F1619" s="40"/>
      <c r="G1619" s="41"/>
      <c r="H1619" s="42">
        <f>YEAR(Tabela3[[#This Row],[Data]])</f>
        <v>1900</v>
      </c>
      <c r="I1619" s="42" t="str">
        <f>_xlfn.XLOOKUP(J1619,'Centro de Custo'!J$2:J$13,'Centro de Custo'!K$2:K$13)</f>
        <v>Janeiro</v>
      </c>
      <c r="J1619" s="43">
        <f>MONTH(Tabela3[[#This Row],[Data]])</f>
        <v>1</v>
      </c>
      <c r="K1619" s="39">
        <f>SUM(E$3:Tabela3[[#This Row],[Valor]])</f>
        <v>4236027.08</v>
      </c>
      <c r="L1619" s="40">
        <f t="shared" si="25"/>
        <v>2.22375</v>
      </c>
      <c r="M1619" s="40"/>
      <c r="N1619" s="40"/>
      <c r="O1619" s="40"/>
      <c r="P1619" s="39"/>
      <c r="Q1619" s="39"/>
      <c r="R1619" s="39"/>
      <c r="S1619" s="39"/>
      <c r="T1619" s="39"/>
      <c r="V1619" t="b">
        <f>IF(Tabela3[[#This Row],[Pago]]&lt;&gt;"",IF(F1620="",Tabela3[[#This Row],[Saldo]],0))</f>
        <v>0</v>
      </c>
    </row>
    <row r="1620" spans="2:22" x14ac:dyDescent="0.25">
      <c r="B1620" s="37"/>
      <c r="C1620">
        <f>_xlfn.XLOOKUP(B1620,'Centro de Custo'!A$2:A$45,'Centro de Custo'!B$2:B$45)</f>
        <v>0</v>
      </c>
      <c r="E1620" s="39"/>
      <c r="F1620" s="40"/>
      <c r="G1620" s="41"/>
      <c r="H1620" s="42">
        <f>YEAR(Tabela3[[#This Row],[Data]])</f>
        <v>1900</v>
      </c>
      <c r="I1620" s="42" t="str">
        <f>_xlfn.XLOOKUP(J1620,'Centro de Custo'!J$2:J$13,'Centro de Custo'!K$2:K$13)</f>
        <v>Janeiro</v>
      </c>
      <c r="J1620" s="43">
        <f>MONTH(Tabela3[[#This Row],[Data]])</f>
        <v>1</v>
      </c>
      <c r="K1620" s="39">
        <f>SUM(E$3:Tabela3[[#This Row],[Valor]])</f>
        <v>4236027.08</v>
      </c>
      <c r="L1620" s="40">
        <f t="shared" si="25"/>
        <v>2.22375</v>
      </c>
      <c r="M1620" s="40"/>
      <c r="N1620" s="40"/>
      <c r="O1620" s="40"/>
      <c r="P1620" s="39"/>
      <c r="Q1620" s="39"/>
      <c r="R1620" s="39"/>
      <c r="S1620" s="39"/>
      <c r="T1620" s="39"/>
      <c r="V1620" t="b">
        <f>IF(Tabela3[[#This Row],[Pago]]&lt;&gt;"",IF(F1621="",Tabela3[[#This Row],[Saldo]],0))</f>
        <v>0</v>
      </c>
    </row>
    <row r="1621" spans="2:22" x14ac:dyDescent="0.25">
      <c r="B1621" s="37"/>
      <c r="C1621">
        <f>_xlfn.XLOOKUP(B1621,'Centro de Custo'!A$2:A$45,'Centro de Custo'!B$2:B$45)</f>
        <v>0</v>
      </c>
      <c r="E1621" s="39"/>
      <c r="F1621" s="40"/>
      <c r="G1621" s="41"/>
      <c r="H1621" s="42">
        <f>YEAR(Tabela3[[#This Row],[Data]])</f>
        <v>1900</v>
      </c>
      <c r="I1621" s="42" t="str">
        <f>_xlfn.XLOOKUP(J1621,'Centro de Custo'!J$2:J$13,'Centro de Custo'!K$2:K$13)</f>
        <v>Janeiro</v>
      </c>
      <c r="J1621" s="43">
        <f>MONTH(Tabela3[[#This Row],[Data]])</f>
        <v>1</v>
      </c>
      <c r="K1621" s="39">
        <f>SUM(E$3:Tabela3[[#This Row],[Valor]])</f>
        <v>4236027.08</v>
      </c>
      <c r="L1621" s="40">
        <f t="shared" si="25"/>
        <v>2.22375</v>
      </c>
      <c r="M1621" s="40"/>
      <c r="N1621" s="40"/>
      <c r="O1621" s="40"/>
      <c r="P1621" s="39"/>
      <c r="Q1621" s="39"/>
      <c r="R1621" s="39"/>
      <c r="S1621" s="39"/>
      <c r="T1621" s="39"/>
      <c r="V1621" t="b">
        <f>IF(Tabela3[[#This Row],[Pago]]&lt;&gt;"",IF(F1622="",Tabela3[[#This Row],[Saldo]],0))</f>
        <v>0</v>
      </c>
    </row>
    <row r="1622" spans="2:22" x14ac:dyDescent="0.25">
      <c r="B1622" s="37"/>
      <c r="C1622">
        <f>_xlfn.XLOOKUP(B1622,'Centro de Custo'!A$2:A$45,'Centro de Custo'!B$2:B$45)</f>
        <v>0</v>
      </c>
      <c r="E1622" s="39"/>
      <c r="F1622" s="40"/>
      <c r="G1622" s="41"/>
      <c r="H1622" s="42">
        <f>YEAR(Tabela3[[#This Row],[Data]])</f>
        <v>1900</v>
      </c>
      <c r="I1622" s="42" t="str">
        <f>_xlfn.XLOOKUP(J1622,'Centro de Custo'!J$2:J$13,'Centro de Custo'!K$2:K$13)</f>
        <v>Janeiro</v>
      </c>
      <c r="J1622" s="43">
        <f>MONTH(Tabela3[[#This Row],[Data]])</f>
        <v>1</v>
      </c>
      <c r="K1622" s="39">
        <f>SUM(E$3:Tabela3[[#This Row],[Valor]])</f>
        <v>4236027.08</v>
      </c>
      <c r="L1622" s="40">
        <f t="shared" si="25"/>
        <v>2.22375</v>
      </c>
      <c r="M1622" s="40"/>
      <c r="N1622" s="40"/>
      <c r="O1622" s="40"/>
      <c r="P1622" s="39"/>
      <c r="Q1622" s="39"/>
      <c r="R1622" s="39"/>
      <c r="S1622" s="39"/>
      <c r="T1622" s="39"/>
      <c r="V1622" t="b">
        <f>IF(Tabela3[[#This Row],[Pago]]&lt;&gt;"",IF(F1623="",Tabela3[[#This Row],[Saldo]],0))</f>
        <v>0</v>
      </c>
    </row>
    <row r="1623" spans="2:22" x14ac:dyDescent="0.25">
      <c r="B1623" s="37"/>
      <c r="C1623">
        <f>_xlfn.XLOOKUP(B1623,'Centro de Custo'!A$2:A$45,'Centro de Custo'!B$2:B$45)</f>
        <v>0</v>
      </c>
      <c r="E1623" s="39"/>
      <c r="F1623" s="40"/>
      <c r="G1623" s="41"/>
      <c r="H1623" s="42">
        <f>YEAR(Tabela3[[#This Row],[Data]])</f>
        <v>1900</v>
      </c>
      <c r="I1623" s="42" t="str">
        <f>_xlfn.XLOOKUP(J1623,'Centro de Custo'!J$2:J$13,'Centro de Custo'!K$2:K$13)</f>
        <v>Janeiro</v>
      </c>
      <c r="J1623" s="43">
        <f>MONTH(Tabela3[[#This Row],[Data]])</f>
        <v>1</v>
      </c>
      <c r="K1623" s="39">
        <f>SUM(E$3:Tabela3[[#This Row],[Valor]])</f>
        <v>4236027.08</v>
      </c>
      <c r="L1623" s="40">
        <f t="shared" si="25"/>
        <v>2.22375</v>
      </c>
      <c r="M1623" s="40"/>
      <c r="N1623" s="40"/>
      <c r="O1623" s="40"/>
      <c r="P1623" s="39"/>
      <c r="Q1623" s="39"/>
      <c r="R1623" s="39"/>
      <c r="S1623" s="39"/>
      <c r="T1623" s="39"/>
      <c r="V1623" t="b">
        <f>IF(Tabela3[[#This Row],[Pago]]&lt;&gt;"",IF(F1624="",Tabela3[[#This Row],[Saldo]],0))</f>
        <v>0</v>
      </c>
    </row>
    <row r="1624" spans="2:22" x14ac:dyDescent="0.25">
      <c r="B1624" s="37"/>
      <c r="C1624">
        <f>_xlfn.XLOOKUP(B1624,'Centro de Custo'!A$2:A$45,'Centro de Custo'!B$2:B$45)</f>
        <v>0</v>
      </c>
      <c r="E1624" s="39"/>
      <c r="F1624" s="40"/>
      <c r="G1624" s="41"/>
      <c r="H1624" s="42">
        <f>YEAR(Tabela3[[#This Row],[Data]])</f>
        <v>1900</v>
      </c>
      <c r="I1624" s="42" t="str">
        <f>_xlfn.XLOOKUP(J1624,'Centro de Custo'!J$2:J$13,'Centro de Custo'!K$2:K$13)</f>
        <v>Janeiro</v>
      </c>
      <c r="J1624" s="43">
        <f>MONTH(Tabela3[[#This Row],[Data]])</f>
        <v>1</v>
      </c>
      <c r="K1624" s="39">
        <f>SUM(E$3:Tabela3[[#This Row],[Valor]])</f>
        <v>4236027.08</v>
      </c>
      <c r="L1624" s="40">
        <f t="shared" si="25"/>
        <v>2.22375</v>
      </c>
      <c r="M1624" s="40"/>
      <c r="N1624" s="40"/>
      <c r="O1624" s="40"/>
      <c r="P1624" s="39"/>
      <c r="Q1624" s="39"/>
      <c r="R1624" s="39"/>
      <c r="S1624" s="39"/>
      <c r="T1624" s="39"/>
      <c r="V1624" t="b">
        <f>IF(Tabela3[[#This Row],[Pago]]&lt;&gt;"",IF(F1625="",Tabela3[[#This Row],[Saldo]],0))</f>
        <v>0</v>
      </c>
    </row>
    <row r="1625" spans="2:22" x14ac:dyDescent="0.25">
      <c r="B1625" s="37"/>
      <c r="C1625">
        <f>_xlfn.XLOOKUP(B1625,'Centro de Custo'!A$2:A$45,'Centro de Custo'!B$2:B$45)</f>
        <v>0</v>
      </c>
      <c r="E1625" s="39"/>
      <c r="F1625" s="40"/>
      <c r="G1625" s="41"/>
      <c r="H1625" s="42">
        <f>YEAR(Tabela3[[#This Row],[Data]])</f>
        <v>1900</v>
      </c>
      <c r="I1625" s="42" t="str">
        <f>_xlfn.XLOOKUP(J1625,'Centro de Custo'!J$2:J$13,'Centro de Custo'!K$2:K$13)</f>
        <v>Janeiro</v>
      </c>
      <c r="J1625" s="43">
        <f>MONTH(Tabela3[[#This Row],[Data]])</f>
        <v>1</v>
      </c>
      <c r="K1625" s="39">
        <f>SUM(E$3:Tabela3[[#This Row],[Valor]])</f>
        <v>4236027.08</v>
      </c>
      <c r="L1625" s="40">
        <f t="shared" si="25"/>
        <v>2.22375</v>
      </c>
      <c r="M1625" s="40"/>
      <c r="N1625" s="40"/>
      <c r="O1625" s="40"/>
      <c r="P1625" s="39"/>
      <c r="Q1625" s="39"/>
      <c r="R1625" s="39"/>
      <c r="S1625" s="39"/>
      <c r="T1625" s="39"/>
      <c r="V1625" t="b">
        <f>IF(Tabela3[[#This Row],[Pago]]&lt;&gt;"",IF(F1626="",Tabela3[[#This Row],[Saldo]],0))</f>
        <v>0</v>
      </c>
    </row>
    <row r="1626" spans="2:22" x14ac:dyDescent="0.25">
      <c r="B1626" s="37"/>
      <c r="C1626">
        <f>_xlfn.XLOOKUP(B1626,'Centro de Custo'!A$2:A$45,'Centro de Custo'!B$2:B$45)</f>
        <v>0</v>
      </c>
      <c r="E1626" s="39"/>
      <c r="F1626" s="40"/>
      <c r="G1626" s="41"/>
      <c r="H1626" s="42">
        <f>YEAR(Tabela3[[#This Row],[Data]])</f>
        <v>1900</v>
      </c>
      <c r="I1626" s="42" t="str">
        <f>_xlfn.XLOOKUP(J1626,'Centro de Custo'!J$2:J$13,'Centro de Custo'!K$2:K$13)</f>
        <v>Janeiro</v>
      </c>
      <c r="J1626" s="43">
        <f>MONTH(Tabela3[[#This Row],[Data]])</f>
        <v>1</v>
      </c>
      <c r="K1626" s="39">
        <f>SUM(E$3:Tabela3[[#This Row],[Valor]])</f>
        <v>4236027.08</v>
      </c>
      <c r="L1626" s="40">
        <f t="shared" si="25"/>
        <v>2.22375</v>
      </c>
      <c r="M1626" s="40"/>
      <c r="N1626" s="40"/>
      <c r="O1626" s="40"/>
      <c r="P1626" s="39"/>
      <c r="Q1626" s="39"/>
      <c r="R1626" s="39"/>
      <c r="S1626" s="39"/>
      <c r="T1626" s="39"/>
      <c r="V1626" t="b">
        <f>IF(Tabela3[[#This Row],[Pago]]&lt;&gt;"",IF(F1627="",Tabela3[[#This Row],[Saldo]],0))</f>
        <v>0</v>
      </c>
    </row>
    <row r="1627" spans="2:22" x14ac:dyDescent="0.25">
      <c r="B1627" s="37"/>
      <c r="C1627">
        <f>_xlfn.XLOOKUP(B1627,'Centro de Custo'!A$2:A$45,'Centro de Custo'!B$2:B$45)</f>
        <v>0</v>
      </c>
      <c r="E1627" s="39"/>
      <c r="F1627" s="40"/>
      <c r="G1627" s="41"/>
      <c r="H1627" s="42">
        <f>YEAR(Tabela3[[#This Row],[Data]])</f>
        <v>1900</v>
      </c>
      <c r="I1627" s="42" t="str">
        <f>_xlfn.XLOOKUP(J1627,'Centro de Custo'!J$2:J$13,'Centro de Custo'!K$2:K$13)</f>
        <v>Janeiro</v>
      </c>
      <c r="J1627" s="43">
        <f>MONTH(Tabela3[[#This Row],[Data]])</f>
        <v>1</v>
      </c>
      <c r="K1627" s="39">
        <f>SUM(E$3:Tabela3[[#This Row],[Valor]])</f>
        <v>4236027.08</v>
      </c>
      <c r="L1627" s="40">
        <f t="shared" si="25"/>
        <v>2.22375</v>
      </c>
      <c r="M1627" s="40"/>
      <c r="N1627" s="40"/>
      <c r="O1627" s="40"/>
      <c r="P1627" s="39"/>
      <c r="Q1627" s="39"/>
      <c r="R1627" s="39"/>
      <c r="S1627" s="39"/>
      <c r="T1627" s="39"/>
      <c r="V1627" t="b">
        <f>IF(Tabela3[[#This Row],[Pago]]&lt;&gt;"",IF(F1628="",Tabela3[[#This Row],[Saldo]],0))</f>
        <v>0</v>
      </c>
    </row>
    <row r="1628" spans="2:22" x14ac:dyDescent="0.25">
      <c r="B1628" s="37"/>
      <c r="C1628">
        <f>_xlfn.XLOOKUP(B1628,'Centro de Custo'!A$2:A$45,'Centro de Custo'!B$2:B$45)</f>
        <v>0</v>
      </c>
      <c r="E1628" s="39"/>
      <c r="F1628" s="40"/>
      <c r="G1628" s="41"/>
      <c r="H1628" s="42">
        <f>YEAR(Tabela3[[#This Row],[Data]])</f>
        <v>1900</v>
      </c>
      <c r="I1628" s="42" t="str">
        <f>_xlfn.XLOOKUP(J1628,'Centro de Custo'!J$2:J$13,'Centro de Custo'!K$2:K$13)</f>
        <v>Janeiro</v>
      </c>
      <c r="J1628" s="43">
        <f>MONTH(Tabela3[[#This Row],[Data]])</f>
        <v>1</v>
      </c>
      <c r="K1628" s="39">
        <f>SUM(E$3:Tabela3[[#This Row],[Valor]])</f>
        <v>4236027.08</v>
      </c>
      <c r="L1628" s="40">
        <f t="shared" si="25"/>
        <v>2.22375</v>
      </c>
      <c r="M1628" s="40"/>
      <c r="N1628" s="40"/>
      <c r="O1628" s="40"/>
      <c r="P1628" s="39"/>
      <c r="Q1628" s="39"/>
      <c r="R1628" s="39"/>
      <c r="S1628" s="39"/>
      <c r="T1628" s="39"/>
      <c r="V1628" t="b">
        <f>IF(Tabela3[[#This Row],[Pago]]&lt;&gt;"",IF(F1629="",Tabela3[[#This Row],[Saldo]],0))</f>
        <v>0</v>
      </c>
    </row>
    <row r="1629" spans="2:22" x14ac:dyDescent="0.25">
      <c r="B1629" s="37"/>
      <c r="C1629">
        <f>_xlfn.XLOOKUP(B1629,'Centro de Custo'!A$2:A$45,'Centro de Custo'!B$2:B$45)</f>
        <v>0</v>
      </c>
      <c r="E1629" s="39"/>
      <c r="F1629" s="40"/>
      <c r="G1629" s="41"/>
      <c r="H1629" s="42">
        <f>YEAR(Tabela3[[#This Row],[Data]])</f>
        <v>1900</v>
      </c>
      <c r="I1629" s="42" t="str">
        <f>_xlfn.XLOOKUP(J1629,'Centro de Custo'!J$2:J$13,'Centro de Custo'!K$2:K$13)</f>
        <v>Janeiro</v>
      </c>
      <c r="J1629" s="43">
        <f>MONTH(Tabela3[[#This Row],[Data]])</f>
        <v>1</v>
      </c>
      <c r="K1629" s="39">
        <f>SUM(E$3:Tabela3[[#This Row],[Valor]])</f>
        <v>4236027.08</v>
      </c>
      <c r="L1629" s="40">
        <f t="shared" si="25"/>
        <v>2.22375</v>
      </c>
      <c r="M1629" s="40"/>
      <c r="N1629" s="40"/>
      <c r="O1629" s="40"/>
      <c r="P1629" s="39"/>
      <c r="Q1629" s="39"/>
      <c r="R1629" s="39"/>
      <c r="S1629" s="39"/>
      <c r="T1629" s="39"/>
      <c r="V1629" t="b">
        <f>IF(Tabela3[[#This Row],[Pago]]&lt;&gt;"",IF(F1630="",Tabela3[[#This Row],[Saldo]],0))</f>
        <v>0</v>
      </c>
    </row>
    <row r="1630" spans="2:22" x14ac:dyDescent="0.25">
      <c r="B1630" s="37"/>
      <c r="C1630">
        <f>_xlfn.XLOOKUP(B1630,'Centro de Custo'!A$2:A$45,'Centro de Custo'!B$2:B$45)</f>
        <v>0</v>
      </c>
      <c r="E1630" s="39"/>
      <c r="F1630" s="40"/>
      <c r="G1630" s="41"/>
      <c r="H1630" s="42">
        <f>YEAR(Tabela3[[#This Row],[Data]])</f>
        <v>1900</v>
      </c>
      <c r="I1630" s="42" t="str">
        <f>_xlfn.XLOOKUP(J1630,'Centro de Custo'!J$2:J$13,'Centro de Custo'!K$2:K$13)</f>
        <v>Janeiro</v>
      </c>
      <c r="J1630" s="43">
        <f>MONTH(Tabela3[[#This Row],[Data]])</f>
        <v>1</v>
      </c>
      <c r="K1630" s="39">
        <f>SUM(E$3:Tabela3[[#This Row],[Valor]])</f>
        <v>4236027.08</v>
      </c>
      <c r="L1630" s="40">
        <f t="shared" si="25"/>
        <v>2.22375</v>
      </c>
      <c r="M1630" s="40"/>
      <c r="N1630" s="40"/>
      <c r="O1630" s="40"/>
      <c r="P1630" s="39"/>
      <c r="Q1630" s="39"/>
      <c r="R1630" s="39"/>
      <c r="S1630" s="39"/>
      <c r="T1630" s="39"/>
      <c r="V1630" t="b">
        <f>IF(Tabela3[[#This Row],[Pago]]&lt;&gt;"",IF(F1631="",Tabela3[[#This Row],[Saldo]],0))</f>
        <v>0</v>
      </c>
    </row>
    <row r="1631" spans="2:22" x14ac:dyDescent="0.25">
      <c r="B1631" s="37"/>
      <c r="C1631">
        <f>_xlfn.XLOOKUP(B1631,'Centro de Custo'!A$2:A$45,'Centro de Custo'!B$2:B$45)</f>
        <v>0</v>
      </c>
      <c r="E1631" s="39"/>
      <c r="F1631" s="40"/>
      <c r="G1631" s="41"/>
      <c r="H1631" s="42">
        <f>YEAR(Tabela3[[#This Row],[Data]])</f>
        <v>1900</v>
      </c>
      <c r="I1631" s="42" t="str">
        <f>_xlfn.XLOOKUP(J1631,'Centro de Custo'!J$2:J$13,'Centro de Custo'!K$2:K$13)</f>
        <v>Janeiro</v>
      </c>
      <c r="J1631" s="43">
        <f>MONTH(Tabela3[[#This Row],[Data]])</f>
        <v>1</v>
      </c>
      <c r="K1631" s="39">
        <f>SUM(E$3:Tabela3[[#This Row],[Valor]])</f>
        <v>4236027.08</v>
      </c>
      <c r="L1631" s="40">
        <f t="shared" si="25"/>
        <v>2.22375</v>
      </c>
      <c r="M1631" s="40"/>
      <c r="N1631" s="40"/>
      <c r="O1631" s="40"/>
      <c r="P1631" s="39"/>
      <c r="Q1631" s="39"/>
      <c r="R1631" s="39"/>
      <c r="S1631" s="39"/>
      <c r="T1631" s="39"/>
      <c r="V1631" t="b">
        <f>IF(Tabela3[[#This Row],[Pago]]&lt;&gt;"",IF(F1632="",Tabela3[[#This Row],[Saldo]],0))</f>
        <v>0</v>
      </c>
    </row>
    <row r="1632" spans="2:22" x14ac:dyDescent="0.25">
      <c r="B1632" s="37"/>
      <c r="C1632">
        <f>_xlfn.XLOOKUP(B1632,'Centro de Custo'!A$2:A$45,'Centro de Custo'!B$2:B$45)</f>
        <v>0</v>
      </c>
      <c r="E1632" s="39"/>
      <c r="F1632" s="40"/>
      <c r="G1632" s="41"/>
      <c r="H1632" s="42">
        <f>YEAR(Tabela3[[#This Row],[Data]])</f>
        <v>1900</v>
      </c>
      <c r="I1632" s="42" t="str">
        <f>_xlfn.XLOOKUP(J1632,'Centro de Custo'!J$2:J$13,'Centro de Custo'!K$2:K$13)</f>
        <v>Janeiro</v>
      </c>
      <c r="J1632" s="43">
        <f>MONTH(Tabela3[[#This Row],[Data]])</f>
        <v>1</v>
      </c>
      <c r="K1632" s="39">
        <f>SUM(E$3:Tabela3[[#This Row],[Valor]])</f>
        <v>4236027.08</v>
      </c>
      <c r="L1632" s="40">
        <f t="shared" si="25"/>
        <v>2.22375</v>
      </c>
      <c r="M1632" s="40"/>
      <c r="N1632" s="40"/>
      <c r="O1632" s="40"/>
      <c r="P1632" s="39"/>
      <c r="Q1632" s="39"/>
      <c r="R1632" s="39"/>
      <c r="S1632" s="39"/>
      <c r="T1632" s="39"/>
      <c r="V1632" t="b">
        <f>IF(Tabela3[[#This Row],[Pago]]&lt;&gt;"",IF(F1633="",Tabela3[[#This Row],[Saldo]],0))</f>
        <v>0</v>
      </c>
    </row>
    <row r="1633" spans="2:22" x14ac:dyDescent="0.25">
      <c r="B1633" s="37"/>
      <c r="C1633">
        <f>_xlfn.XLOOKUP(B1633,'Centro de Custo'!A$2:A$45,'Centro de Custo'!B$2:B$45)</f>
        <v>0</v>
      </c>
      <c r="E1633" s="39"/>
      <c r="F1633" s="40"/>
      <c r="G1633" s="41"/>
      <c r="H1633" s="42">
        <f>YEAR(Tabela3[[#This Row],[Data]])</f>
        <v>1900</v>
      </c>
      <c r="I1633" s="42" t="str">
        <f>_xlfn.XLOOKUP(J1633,'Centro de Custo'!J$2:J$13,'Centro de Custo'!K$2:K$13)</f>
        <v>Janeiro</v>
      </c>
      <c r="J1633" s="43">
        <f>MONTH(Tabela3[[#This Row],[Data]])</f>
        <v>1</v>
      </c>
      <c r="K1633" s="39">
        <f>SUM(E$3:Tabela3[[#This Row],[Valor]])</f>
        <v>4236027.08</v>
      </c>
      <c r="L1633" s="40">
        <f t="shared" si="25"/>
        <v>2.22375</v>
      </c>
      <c r="M1633" s="40"/>
      <c r="N1633" s="40"/>
      <c r="O1633" s="40"/>
      <c r="P1633" s="39"/>
      <c r="Q1633" s="39"/>
      <c r="R1633" s="39"/>
      <c r="S1633" s="39"/>
      <c r="T1633" s="39"/>
      <c r="V1633" t="b">
        <f>IF(Tabela3[[#This Row],[Pago]]&lt;&gt;"",IF(F1634="",Tabela3[[#This Row],[Saldo]],0))</f>
        <v>0</v>
      </c>
    </row>
    <row r="1634" spans="2:22" x14ac:dyDescent="0.25">
      <c r="B1634" s="37"/>
      <c r="C1634">
        <f>_xlfn.XLOOKUP(B1634,'Centro de Custo'!A$2:A$45,'Centro de Custo'!B$2:B$45)</f>
        <v>0</v>
      </c>
      <c r="E1634" s="39"/>
      <c r="F1634" s="40"/>
      <c r="G1634" s="41"/>
      <c r="H1634" s="42">
        <f>YEAR(Tabela3[[#This Row],[Data]])</f>
        <v>1900</v>
      </c>
      <c r="I1634" s="42" t="str">
        <f>_xlfn.XLOOKUP(J1634,'Centro de Custo'!J$2:J$13,'Centro de Custo'!K$2:K$13)</f>
        <v>Janeiro</v>
      </c>
      <c r="J1634" s="43">
        <f>MONTH(Tabela3[[#This Row],[Data]])</f>
        <v>1</v>
      </c>
      <c r="K1634" s="39">
        <f>SUM(E$3:Tabela3[[#This Row],[Valor]])</f>
        <v>4236027.08</v>
      </c>
      <c r="L1634" s="40">
        <f t="shared" si="25"/>
        <v>2.22375</v>
      </c>
      <c r="M1634" s="40"/>
      <c r="N1634" s="40"/>
      <c r="O1634" s="40"/>
      <c r="P1634" s="39"/>
      <c r="Q1634" s="39"/>
      <c r="R1634" s="39"/>
      <c r="S1634" s="39"/>
      <c r="T1634" s="39"/>
      <c r="V1634" t="b">
        <f>IF(Tabela3[[#This Row],[Pago]]&lt;&gt;"",IF(F1635="",Tabela3[[#This Row],[Saldo]],0))</f>
        <v>0</v>
      </c>
    </row>
    <row r="1635" spans="2:22" x14ac:dyDescent="0.25">
      <c r="B1635" s="37"/>
      <c r="C1635">
        <f>_xlfn.XLOOKUP(B1635,'Centro de Custo'!A$2:A$45,'Centro de Custo'!B$2:B$45)</f>
        <v>0</v>
      </c>
      <c r="E1635" s="39"/>
      <c r="F1635" s="40"/>
      <c r="G1635" s="41"/>
      <c r="H1635" s="42">
        <f>YEAR(Tabela3[[#This Row],[Data]])</f>
        <v>1900</v>
      </c>
      <c r="I1635" s="42" t="str">
        <f>_xlfn.XLOOKUP(J1635,'Centro de Custo'!J$2:J$13,'Centro de Custo'!K$2:K$13)</f>
        <v>Janeiro</v>
      </c>
      <c r="J1635" s="43">
        <f>MONTH(Tabela3[[#This Row],[Data]])</f>
        <v>1</v>
      </c>
      <c r="K1635" s="39">
        <f>SUM(E$3:Tabela3[[#This Row],[Valor]])</f>
        <v>4236027.08</v>
      </c>
      <c r="L1635" s="40">
        <f t="shared" si="25"/>
        <v>2.22375</v>
      </c>
      <c r="M1635" s="40"/>
      <c r="N1635" s="40"/>
      <c r="O1635" s="40"/>
      <c r="P1635" s="39"/>
      <c r="Q1635" s="39"/>
      <c r="R1635" s="39"/>
      <c r="S1635" s="39"/>
      <c r="T1635" s="39"/>
      <c r="V1635" t="b">
        <f>IF(Tabela3[[#This Row],[Pago]]&lt;&gt;"",IF(F1636="",Tabela3[[#This Row],[Saldo]],0))</f>
        <v>0</v>
      </c>
    </row>
    <row r="1636" spans="2:22" x14ac:dyDescent="0.25">
      <c r="B1636" s="37"/>
      <c r="C1636">
        <f>_xlfn.XLOOKUP(B1636,'Centro de Custo'!A$2:A$45,'Centro de Custo'!B$2:B$45)</f>
        <v>0</v>
      </c>
      <c r="E1636" s="39"/>
      <c r="F1636" s="40"/>
      <c r="G1636" s="41"/>
      <c r="H1636" s="42">
        <f>YEAR(Tabela3[[#This Row],[Data]])</f>
        <v>1900</v>
      </c>
      <c r="I1636" s="42" t="str">
        <f>_xlfn.XLOOKUP(J1636,'Centro de Custo'!J$2:J$13,'Centro de Custo'!K$2:K$13)</f>
        <v>Janeiro</v>
      </c>
      <c r="J1636" s="43">
        <f>MONTH(Tabela3[[#This Row],[Data]])</f>
        <v>1</v>
      </c>
      <c r="K1636" s="39">
        <f>SUM(E$3:Tabela3[[#This Row],[Valor]])</f>
        <v>4236027.08</v>
      </c>
      <c r="L1636" s="40">
        <f t="shared" si="25"/>
        <v>2.22375</v>
      </c>
      <c r="M1636" s="40"/>
      <c r="N1636" s="40"/>
      <c r="O1636" s="40"/>
      <c r="P1636" s="39"/>
      <c r="Q1636" s="39"/>
      <c r="R1636" s="39"/>
      <c r="S1636" s="39"/>
      <c r="T1636" s="39"/>
      <c r="V1636" t="b">
        <f>IF(Tabela3[[#This Row],[Pago]]&lt;&gt;"",IF(F1637="",Tabela3[[#This Row],[Saldo]],0))</f>
        <v>0</v>
      </c>
    </row>
    <row r="1637" spans="2:22" x14ac:dyDescent="0.25">
      <c r="B1637" s="37"/>
      <c r="C1637">
        <f>_xlfn.XLOOKUP(B1637,'Centro de Custo'!A$2:A$45,'Centro de Custo'!B$2:B$45)</f>
        <v>0</v>
      </c>
      <c r="E1637" s="39"/>
      <c r="F1637" s="40"/>
      <c r="G1637" s="41"/>
      <c r="H1637" s="42">
        <f>YEAR(Tabela3[[#This Row],[Data]])</f>
        <v>1900</v>
      </c>
      <c r="I1637" s="42" t="str">
        <f>_xlfn.XLOOKUP(J1637,'Centro de Custo'!J$2:J$13,'Centro de Custo'!K$2:K$13)</f>
        <v>Janeiro</v>
      </c>
      <c r="J1637" s="43">
        <f>MONTH(Tabela3[[#This Row],[Data]])</f>
        <v>1</v>
      </c>
      <c r="K1637" s="39">
        <f>SUM(E$3:Tabela3[[#This Row],[Valor]])</f>
        <v>4236027.08</v>
      </c>
      <c r="L1637" s="40">
        <f t="shared" si="25"/>
        <v>2.22375</v>
      </c>
      <c r="M1637" s="40"/>
      <c r="N1637" s="40"/>
      <c r="O1637" s="40"/>
      <c r="P1637" s="39"/>
      <c r="Q1637" s="39"/>
      <c r="R1637" s="39"/>
      <c r="S1637" s="39"/>
      <c r="T1637" s="39"/>
      <c r="V1637" t="b">
        <f>IF(Tabela3[[#This Row],[Pago]]&lt;&gt;"",IF(F1638="",Tabela3[[#This Row],[Saldo]],0))</f>
        <v>0</v>
      </c>
    </row>
    <row r="1638" spans="2:22" x14ac:dyDescent="0.25">
      <c r="B1638" s="37"/>
      <c r="C1638">
        <f>_xlfn.XLOOKUP(B1638,'Centro de Custo'!A$2:A$45,'Centro de Custo'!B$2:B$45)</f>
        <v>0</v>
      </c>
      <c r="E1638" s="39"/>
      <c r="F1638" s="40"/>
      <c r="G1638" s="41"/>
      <c r="H1638" s="42">
        <f>YEAR(Tabela3[[#This Row],[Data]])</f>
        <v>1900</v>
      </c>
      <c r="I1638" s="42" t="str">
        <f>_xlfn.XLOOKUP(J1638,'Centro de Custo'!J$2:J$13,'Centro de Custo'!K$2:K$13)</f>
        <v>Janeiro</v>
      </c>
      <c r="J1638" s="43">
        <f>MONTH(Tabela3[[#This Row],[Data]])</f>
        <v>1</v>
      </c>
      <c r="K1638" s="39">
        <f>SUM(E$3:Tabela3[[#This Row],[Valor]])</f>
        <v>4236027.08</v>
      </c>
      <c r="L1638" s="40">
        <f t="shared" si="25"/>
        <v>2.22375</v>
      </c>
      <c r="M1638" s="40"/>
      <c r="N1638" s="40"/>
      <c r="O1638" s="40"/>
      <c r="P1638" s="39"/>
      <c r="Q1638" s="39"/>
      <c r="R1638" s="39"/>
      <c r="S1638" s="39"/>
      <c r="T1638" s="39"/>
      <c r="V1638" t="b">
        <f>IF(Tabela3[[#This Row],[Pago]]&lt;&gt;"",IF(F1639="",Tabela3[[#This Row],[Saldo]],0))</f>
        <v>0</v>
      </c>
    </row>
    <row r="1639" spans="2:22" x14ac:dyDescent="0.25">
      <c r="B1639" s="37"/>
      <c r="C1639">
        <f>_xlfn.XLOOKUP(B1639,'Centro de Custo'!A$2:A$45,'Centro de Custo'!B$2:B$45)</f>
        <v>0</v>
      </c>
      <c r="E1639" s="39"/>
      <c r="F1639" s="40"/>
      <c r="G1639" s="41"/>
      <c r="H1639" s="42">
        <f>YEAR(Tabela3[[#This Row],[Data]])</f>
        <v>1900</v>
      </c>
      <c r="I1639" s="42" t="str">
        <f>_xlfn.XLOOKUP(J1639,'Centro de Custo'!J$2:J$13,'Centro de Custo'!K$2:K$13)</f>
        <v>Janeiro</v>
      </c>
      <c r="J1639" s="43">
        <f>MONTH(Tabela3[[#This Row],[Data]])</f>
        <v>1</v>
      </c>
      <c r="K1639" s="39">
        <f>SUM(E$3:Tabela3[[#This Row],[Valor]])</f>
        <v>4236027.08</v>
      </c>
      <c r="L1639" s="40">
        <f t="shared" si="25"/>
        <v>2.22375</v>
      </c>
      <c r="M1639" s="40"/>
      <c r="N1639" s="40"/>
      <c r="O1639" s="40"/>
      <c r="P1639" s="39"/>
      <c r="Q1639" s="39"/>
      <c r="R1639" s="39"/>
      <c r="S1639" s="39"/>
      <c r="T1639" s="39"/>
      <c r="V1639" t="b">
        <f>IF(Tabela3[[#This Row],[Pago]]&lt;&gt;"",IF(F1640="",Tabela3[[#This Row],[Saldo]],0))</f>
        <v>0</v>
      </c>
    </row>
    <row r="1640" spans="2:22" x14ac:dyDescent="0.25">
      <c r="B1640" s="37"/>
      <c r="C1640">
        <f>_xlfn.XLOOKUP(B1640,'Centro de Custo'!A$2:A$45,'Centro de Custo'!B$2:B$45)</f>
        <v>0</v>
      </c>
      <c r="E1640" s="39"/>
      <c r="F1640" s="40"/>
      <c r="G1640" s="41"/>
      <c r="H1640" s="42">
        <f>YEAR(Tabela3[[#This Row],[Data]])</f>
        <v>1900</v>
      </c>
      <c r="I1640" s="42" t="str">
        <f>_xlfn.XLOOKUP(J1640,'Centro de Custo'!J$2:J$13,'Centro de Custo'!K$2:K$13)</f>
        <v>Janeiro</v>
      </c>
      <c r="J1640" s="43">
        <f>MONTH(Tabela3[[#This Row],[Data]])</f>
        <v>1</v>
      </c>
      <c r="K1640" s="39">
        <f>SUM(E$3:Tabela3[[#This Row],[Valor]])</f>
        <v>4236027.08</v>
      </c>
      <c r="L1640" s="40">
        <f t="shared" si="25"/>
        <v>2.22375</v>
      </c>
      <c r="M1640" s="40"/>
      <c r="N1640" s="40"/>
      <c r="O1640" s="40"/>
      <c r="P1640" s="39"/>
      <c r="Q1640" s="39"/>
      <c r="R1640" s="39"/>
      <c r="S1640" s="39"/>
      <c r="T1640" s="39"/>
      <c r="V1640" t="b">
        <f>IF(Tabela3[[#This Row],[Pago]]&lt;&gt;"",IF(F1641="",Tabela3[[#This Row],[Saldo]],0))</f>
        <v>0</v>
      </c>
    </row>
    <row r="1641" spans="2:22" x14ac:dyDescent="0.25">
      <c r="B1641" s="37"/>
      <c r="C1641">
        <f>_xlfn.XLOOKUP(B1641,'Centro de Custo'!A$2:A$45,'Centro de Custo'!B$2:B$45)</f>
        <v>0</v>
      </c>
      <c r="E1641" s="39"/>
      <c r="F1641" s="40"/>
      <c r="G1641" s="41"/>
      <c r="H1641" s="42">
        <f>YEAR(Tabela3[[#This Row],[Data]])</f>
        <v>1900</v>
      </c>
      <c r="I1641" s="42" t="str">
        <f>_xlfn.XLOOKUP(J1641,'Centro de Custo'!J$2:J$13,'Centro de Custo'!K$2:K$13)</f>
        <v>Janeiro</v>
      </c>
      <c r="J1641" s="43">
        <f>MONTH(Tabela3[[#This Row],[Data]])</f>
        <v>1</v>
      </c>
      <c r="K1641" s="39">
        <f>SUM(E$3:Tabela3[[#This Row],[Valor]])</f>
        <v>4236027.08</v>
      </c>
      <c r="L1641" s="40">
        <f t="shared" si="25"/>
        <v>2.22375</v>
      </c>
      <c r="M1641" s="40"/>
      <c r="N1641" s="40"/>
      <c r="O1641" s="40"/>
      <c r="P1641" s="39"/>
      <c r="Q1641" s="39"/>
      <c r="R1641" s="39"/>
      <c r="S1641" s="39"/>
      <c r="T1641" s="39"/>
      <c r="V1641" t="b">
        <f>IF(Tabela3[[#This Row],[Pago]]&lt;&gt;"",IF(F1642="",Tabela3[[#This Row],[Saldo]],0))</f>
        <v>0</v>
      </c>
    </row>
    <row r="1642" spans="2:22" x14ac:dyDescent="0.25">
      <c r="B1642" s="37"/>
      <c r="C1642">
        <f>_xlfn.XLOOKUP(B1642,'Centro de Custo'!A$2:A$45,'Centro de Custo'!B$2:B$45)</f>
        <v>0</v>
      </c>
      <c r="E1642" s="39"/>
      <c r="F1642" s="40"/>
      <c r="G1642" s="41"/>
      <c r="H1642" s="42">
        <f>YEAR(Tabela3[[#This Row],[Data]])</f>
        <v>1900</v>
      </c>
      <c r="I1642" s="42" t="str">
        <f>_xlfn.XLOOKUP(J1642,'Centro de Custo'!J$2:J$13,'Centro de Custo'!K$2:K$13)</f>
        <v>Janeiro</v>
      </c>
      <c r="J1642" s="43">
        <f>MONTH(Tabela3[[#This Row],[Data]])</f>
        <v>1</v>
      </c>
      <c r="K1642" s="39">
        <f>SUM(E$3:Tabela3[[#This Row],[Valor]])</f>
        <v>4236027.08</v>
      </c>
      <c r="L1642" s="40">
        <f t="shared" si="25"/>
        <v>2.22375</v>
      </c>
      <c r="M1642" s="40"/>
      <c r="N1642" s="40"/>
      <c r="O1642" s="40"/>
      <c r="P1642" s="39"/>
      <c r="Q1642" s="39"/>
      <c r="R1642" s="39"/>
      <c r="S1642" s="39"/>
      <c r="T1642" s="39"/>
      <c r="V1642" t="b">
        <f>IF(Tabela3[[#This Row],[Pago]]&lt;&gt;"",IF(F1643="",Tabela3[[#This Row],[Saldo]],0))</f>
        <v>0</v>
      </c>
    </row>
    <row r="1643" spans="2:22" x14ac:dyDescent="0.25">
      <c r="B1643" s="37"/>
      <c r="C1643">
        <f>_xlfn.XLOOKUP(B1643,'Centro de Custo'!A$2:A$45,'Centro de Custo'!B$2:B$45)</f>
        <v>0</v>
      </c>
      <c r="E1643" s="39"/>
      <c r="F1643" s="40"/>
      <c r="G1643" s="41"/>
      <c r="H1643" s="42">
        <f>YEAR(Tabela3[[#This Row],[Data]])</f>
        <v>1900</v>
      </c>
      <c r="I1643" s="42" t="str">
        <f>_xlfn.XLOOKUP(J1643,'Centro de Custo'!J$2:J$13,'Centro de Custo'!K$2:K$13)</f>
        <v>Janeiro</v>
      </c>
      <c r="J1643" s="43">
        <f>MONTH(Tabela3[[#This Row],[Data]])</f>
        <v>1</v>
      </c>
      <c r="K1643" s="39">
        <f>SUM(E$3:Tabela3[[#This Row],[Valor]])</f>
        <v>4236027.08</v>
      </c>
      <c r="L1643" s="40">
        <f t="shared" si="25"/>
        <v>2.22375</v>
      </c>
      <c r="M1643" s="40"/>
      <c r="N1643" s="40"/>
      <c r="O1643" s="40"/>
      <c r="P1643" s="39"/>
      <c r="Q1643" s="39"/>
      <c r="R1643" s="39"/>
      <c r="S1643" s="39"/>
      <c r="T1643" s="39"/>
      <c r="V1643" t="b">
        <f>IF(Tabela3[[#This Row],[Pago]]&lt;&gt;"",IF(F1644="",Tabela3[[#This Row],[Saldo]],0))</f>
        <v>0</v>
      </c>
    </row>
    <row r="1644" spans="2:22" x14ac:dyDescent="0.25">
      <c r="B1644" s="37"/>
      <c r="C1644">
        <f>_xlfn.XLOOKUP(B1644,'Centro de Custo'!A$2:A$45,'Centro de Custo'!B$2:B$45)</f>
        <v>0</v>
      </c>
      <c r="E1644" s="39"/>
      <c r="F1644" s="40"/>
      <c r="G1644" s="41"/>
      <c r="H1644" s="42">
        <f>YEAR(Tabela3[[#This Row],[Data]])</f>
        <v>1900</v>
      </c>
      <c r="I1644" s="42" t="str">
        <f>_xlfn.XLOOKUP(J1644,'Centro de Custo'!J$2:J$13,'Centro de Custo'!K$2:K$13)</f>
        <v>Janeiro</v>
      </c>
      <c r="J1644" s="43">
        <f>MONTH(Tabela3[[#This Row],[Data]])</f>
        <v>1</v>
      </c>
      <c r="K1644" s="39">
        <f>SUM(E$3:Tabela3[[#This Row],[Valor]])</f>
        <v>4236027.08</v>
      </c>
      <c r="L1644" s="40">
        <f t="shared" si="25"/>
        <v>2.22375</v>
      </c>
      <c r="M1644" s="40"/>
      <c r="N1644" s="40"/>
      <c r="O1644" s="40"/>
      <c r="P1644" s="39"/>
      <c r="Q1644" s="39"/>
      <c r="R1644" s="39"/>
      <c r="S1644" s="39"/>
      <c r="T1644" s="39"/>
      <c r="V1644" t="b">
        <f>IF(Tabela3[[#This Row],[Pago]]&lt;&gt;"",IF(F1645="",Tabela3[[#This Row],[Saldo]],0))</f>
        <v>0</v>
      </c>
    </row>
    <row r="1645" spans="2:22" x14ac:dyDescent="0.25">
      <c r="B1645" s="37"/>
      <c r="C1645">
        <f>_xlfn.XLOOKUP(B1645,'Centro de Custo'!A$2:A$45,'Centro de Custo'!B$2:B$45)</f>
        <v>0</v>
      </c>
      <c r="E1645" s="39"/>
      <c r="F1645" s="40"/>
      <c r="G1645" s="41"/>
      <c r="H1645" s="42">
        <f>YEAR(Tabela3[[#This Row],[Data]])</f>
        <v>1900</v>
      </c>
      <c r="I1645" s="42" t="str">
        <f>_xlfn.XLOOKUP(J1645,'Centro de Custo'!J$2:J$13,'Centro de Custo'!K$2:K$13)</f>
        <v>Janeiro</v>
      </c>
      <c r="J1645" s="43">
        <f>MONTH(Tabela3[[#This Row],[Data]])</f>
        <v>1</v>
      </c>
      <c r="K1645" s="39">
        <f>SUM(E$3:Tabela3[[#This Row],[Valor]])</f>
        <v>4236027.08</v>
      </c>
      <c r="L1645" s="40">
        <f t="shared" si="25"/>
        <v>2.22375</v>
      </c>
      <c r="M1645" s="40"/>
      <c r="N1645" s="40"/>
      <c r="O1645" s="40"/>
      <c r="P1645" s="39"/>
      <c r="Q1645" s="39"/>
      <c r="R1645" s="39"/>
      <c r="S1645" s="39"/>
      <c r="T1645" s="39"/>
      <c r="V1645" t="b">
        <f>IF(Tabela3[[#This Row],[Pago]]&lt;&gt;"",IF(F1646="",Tabela3[[#This Row],[Saldo]],0))</f>
        <v>0</v>
      </c>
    </row>
    <row r="1646" spans="2:22" x14ac:dyDescent="0.25">
      <c r="B1646" s="37"/>
      <c r="C1646">
        <f>_xlfn.XLOOKUP(B1646,'Centro de Custo'!A$2:A$45,'Centro de Custo'!B$2:B$45)</f>
        <v>0</v>
      </c>
      <c r="E1646" s="39"/>
      <c r="F1646" s="40"/>
      <c r="G1646" s="41"/>
      <c r="H1646" s="42">
        <f>YEAR(Tabela3[[#This Row],[Data]])</f>
        <v>1900</v>
      </c>
      <c r="I1646" s="42" t="str">
        <f>_xlfn.XLOOKUP(J1646,'Centro de Custo'!J$2:J$13,'Centro de Custo'!K$2:K$13)</f>
        <v>Janeiro</v>
      </c>
      <c r="J1646" s="43">
        <f>MONTH(Tabela3[[#This Row],[Data]])</f>
        <v>1</v>
      </c>
      <c r="K1646" s="39">
        <f>SUM(E$3:Tabela3[[#This Row],[Valor]])</f>
        <v>4236027.08</v>
      </c>
      <c r="L1646" s="40">
        <f t="shared" si="25"/>
        <v>2.22375</v>
      </c>
      <c r="M1646" s="40"/>
      <c r="N1646" s="40"/>
      <c r="O1646" s="40"/>
      <c r="P1646" s="39"/>
      <c r="Q1646" s="39"/>
      <c r="R1646" s="39"/>
      <c r="S1646" s="39"/>
      <c r="T1646" s="39"/>
      <c r="V1646" t="b">
        <f>IF(Tabela3[[#This Row],[Pago]]&lt;&gt;"",IF(F1647="",Tabela3[[#This Row],[Saldo]],0))</f>
        <v>0</v>
      </c>
    </row>
    <row r="1647" spans="2:22" x14ac:dyDescent="0.25">
      <c r="B1647" s="37"/>
      <c r="C1647">
        <f>_xlfn.XLOOKUP(B1647,'Centro de Custo'!A$2:A$45,'Centro de Custo'!B$2:B$45)</f>
        <v>0</v>
      </c>
      <c r="E1647" s="39"/>
      <c r="F1647" s="40"/>
      <c r="G1647" s="41"/>
      <c r="H1647" s="42">
        <f>YEAR(Tabela3[[#This Row],[Data]])</f>
        <v>1900</v>
      </c>
      <c r="I1647" s="42" t="str">
        <f>_xlfn.XLOOKUP(J1647,'Centro de Custo'!J$2:J$13,'Centro de Custo'!K$2:K$13)</f>
        <v>Janeiro</v>
      </c>
      <c r="J1647" s="43">
        <f>MONTH(Tabela3[[#This Row],[Data]])</f>
        <v>1</v>
      </c>
      <c r="K1647" s="39">
        <f>SUM(E$3:Tabela3[[#This Row],[Valor]])</f>
        <v>4236027.08</v>
      </c>
      <c r="L1647" s="40">
        <f t="shared" si="25"/>
        <v>2.22375</v>
      </c>
      <c r="M1647" s="40"/>
      <c r="N1647" s="40"/>
      <c r="O1647" s="40"/>
      <c r="P1647" s="39"/>
      <c r="Q1647" s="39"/>
      <c r="R1647" s="39"/>
      <c r="S1647" s="39"/>
      <c r="T1647" s="39"/>
      <c r="V1647" t="b">
        <f>IF(Tabela3[[#This Row],[Pago]]&lt;&gt;"",IF(F1648="",Tabela3[[#This Row],[Saldo]],0))</f>
        <v>0</v>
      </c>
    </row>
    <row r="1648" spans="2:22" x14ac:dyDescent="0.25">
      <c r="B1648" s="37"/>
      <c r="C1648">
        <f>_xlfn.XLOOKUP(B1648,'Centro de Custo'!A$2:A$45,'Centro de Custo'!B$2:B$45)</f>
        <v>0</v>
      </c>
      <c r="E1648" s="39"/>
      <c r="F1648" s="40"/>
      <c r="G1648" s="41"/>
      <c r="H1648" s="42">
        <f>YEAR(Tabela3[[#This Row],[Data]])</f>
        <v>1900</v>
      </c>
      <c r="I1648" s="42" t="str">
        <f>_xlfn.XLOOKUP(J1648,'Centro de Custo'!J$2:J$13,'Centro de Custo'!K$2:K$13)</f>
        <v>Janeiro</v>
      </c>
      <c r="J1648" s="43">
        <f>MONTH(Tabela3[[#This Row],[Data]])</f>
        <v>1</v>
      </c>
      <c r="K1648" s="39">
        <f>SUM(E$3:Tabela3[[#This Row],[Valor]])</f>
        <v>4236027.08</v>
      </c>
      <c r="L1648" s="40">
        <f t="shared" si="25"/>
        <v>2.22375</v>
      </c>
      <c r="M1648" s="40"/>
      <c r="N1648" s="40"/>
      <c r="O1648" s="40"/>
      <c r="P1648" s="39"/>
      <c r="Q1648" s="39"/>
      <c r="R1648" s="39"/>
      <c r="S1648" s="39"/>
      <c r="T1648" s="39"/>
      <c r="V1648" t="b">
        <f>IF(Tabela3[[#This Row],[Pago]]&lt;&gt;"",IF(F1649="",Tabela3[[#This Row],[Saldo]],0))</f>
        <v>0</v>
      </c>
    </row>
    <row r="1649" spans="2:22" x14ac:dyDescent="0.25">
      <c r="B1649" s="37"/>
      <c r="C1649">
        <f>_xlfn.XLOOKUP(B1649,'Centro de Custo'!A$2:A$45,'Centro de Custo'!B$2:B$45)</f>
        <v>0</v>
      </c>
      <c r="E1649" s="39"/>
      <c r="F1649" s="40"/>
      <c r="G1649" s="41"/>
      <c r="H1649" s="42">
        <f>YEAR(Tabela3[[#This Row],[Data]])</f>
        <v>1900</v>
      </c>
      <c r="I1649" s="42" t="str">
        <f>_xlfn.XLOOKUP(J1649,'Centro de Custo'!J$2:J$13,'Centro de Custo'!K$2:K$13)</f>
        <v>Janeiro</v>
      </c>
      <c r="J1649" s="43">
        <f>MONTH(Tabela3[[#This Row],[Data]])</f>
        <v>1</v>
      </c>
      <c r="K1649" s="39">
        <f>SUM(E$3:Tabela3[[#This Row],[Valor]])</f>
        <v>4236027.08</v>
      </c>
      <c r="L1649" s="40">
        <f t="shared" si="25"/>
        <v>2.22375</v>
      </c>
      <c r="M1649" s="40"/>
      <c r="N1649" s="40"/>
      <c r="O1649" s="40"/>
      <c r="P1649" s="39"/>
      <c r="Q1649" s="39"/>
      <c r="R1649" s="39"/>
      <c r="S1649" s="39"/>
      <c r="T1649" s="39"/>
      <c r="V1649" t="b">
        <f>IF(Tabela3[[#This Row],[Pago]]&lt;&gt;"",IF(F1650="",Tabela3[[#This Row],[Saldo]],0))</f>
        <v>0</v>
      </c>
    </row>
    <row r="1650" spans="2:22" x14ac:dyDescent="0.25">
      <c r="B1650" s="37"/>
      <c r="C1650">
        <f>_xlfn.XLOOKUP(B1650,'Centro de Custo'!A$2:A$45,'Centro de Custo'!B$2:B$45)</f>
        <v>0</v>
      </c>
      <c r="E1650" s="39"/>
      <c r="F1650" s="40"/>
      <c r="G1650" s="41"/>
      <c r="H1650" s="42">
        <f>YEAR(Tabela3[[#This Row],[Data]])</f>
        <v>1900</v>
      </c>
      <c r="I1650" s="42" t="str">
        <f>_xlfn.XLOOKUP(J1650,'Centro de Custo'!J$2:J$13,'Centro de Custo'!K$2:K$13)</f>
        <v>Janeiro</v>
      </c>
      <c r="J1650" s="43">
        <f>MONTH(Tabela3[[#This Row],[Data]])</f>
        <v>1</v>
      </c>
      <c r="K1650" s="39">
        <f>SUM(E$3:Tabela3[[#This Row],[Valor]])</f>
        <v>4236027.08</v>
      </c>
      <c r="L1650" s="40">
        <f t="shared" si="25"/>
        <v>2.22375</v>
      </c>
      <c r="M1650" s="40"/>
      <c r="N1650" s="40"/>
      <c r="O1650" s="40"/>
      <c r="P1650" s="39"/>
      <c r="Q1650" s="39"/>
      <c r="R1650" s="39"/>
      <c r="S1650" s="39"/>
      <c r="T1650" s="39"/>
      <c r="V1650" t="b">
        <f>IF(Tabela3[[#This Row],[Pago]]&lt;&gt;"",IF(F1651="",Tabela3[[#This Row],[Saldo]],0))</f>
        <v>0</v>
      </c>
    </row>
    <row r="1651" spans="2:22" x14ac:dyDescent="0.25">
      <c r="B1651" s="37"/>
      <c r="C1651">
        <f>_xlfn.XLOOKUP(B1651,'Centro de Custo'!A$2:A$45,'Centro de Custo'!B$2:B$45)</f>
        <v>0</v>
      </c>
      <c r="E1651" s="39"/>
      <c r="F1651" s="40"/>
      <c r="G1651" s="41"/>
      <c r="H1651" s="42">
        <f>YEAR(Tabela3[[#This Row],[Data]])</f>
        <v>1900</v>
      </c>
      <c r="I1651" s="42" t="str">
        <f>_xlfn.XLOOKUP(J1651,'Centro de Custo'!J$2:J$13,'Centro de Custo'!K$2:K$13)</f>
        <v>Janeiro</v>
      </c>
      <c r="J1651" s="43">
        <f>MONTH(Tabela3[[#This Row],[Data]])</f>
        <v>1</v>
      </c>
      <c r="K1651" s="39">
        <f>SUM(E$3:Tabela3[[#This Row],[Valor]])</f>
        <v>4236027.08</v>
      </c>
      <c r="L1651" s="40">
        <f t="shared" si="25"/>
        <v>2.22375</v>
      </c>
      <c r="M1651" s="40"/>
      <c r="N1651" s="40"/>
      <c r="O1651" s="40"/>
      <c r="P1651" s="39"/>
      <c r="Q1651" s="39"/>
      <c r="R1651" s="39"/>
      <c r="S1651" s="39"/>
      <c r="T1651" s="39"/>
      <c r="V1651" t="b">
        <f>IF(Tabela3[[#This Row],[Pago]]&lt;&gt;"",IF(F1652="",Tabela3[[#This Row],[Saldo]],0))</f>
        <v>0</v>
      </c>
    </row>
    <row r="1652" spans="2:22" x14ac:dyDescent="0.25">
      <c r="B1652" s="37"/>
      <c r="C1652">
        <f>_xlfn.XLOOKUP(B1652,'Centro de Custo'!A$2:A$45,'Centro de Custo'!B$2:B$45)</f>
        <v>0</v>
      </c>
      <c r="E1652" s="39"/>
      <c r="F1652" s="40"/>
      <c r="G1652" s="41"/>
      <c r="H1652" s="42">
        <f>YEAR(Tabela3[[#This Row],[Data]])</f>
        <v>1900</v>
      </c>
      <c r="I1652" s="42" t="str">
        <f>_xlfn.XLOOKUP(J1652,'Centro de Custo'!J$2:J$13,'Centro de Custo'!K$2:K$13)</f>
        <v>Janeiro</v>
      </c>
      <c r="J1652" s="43">
        <f>MONTH(Tabela3[[#This Row],[Data]])</f>
        <v>1</v>
      </c>
      <c r="K1652" s="39">
        <f>SUM(E$3:Tabela3[[#This Row],[Valor]])</f>
        <v>4236027.08</v>
      </c>
      <c r="L1652" s="40">
        <f t="shared" si="25"/>
        <v>2.22375</v>
      </c>
      <c r="M1652" s="40"/>
      <c r="N1652" s="40"/>
      <c r="O1652" s="40"/>
      <c r="P1652" s="39"/>
      <c r="Q1652" s="39"/>
      <c r="R1652" s="39"/>
      <c r="S1652" s="39"/>
      <c r="T1652" s="39"/>
      <c r="V1652" t="b">
        <f>IF(Tabela3[[#This Row],[Pago]]&lt;&gt;"",IF(F1653="",Tabela3[[#This Row],[Saldo]],0))</f>
        <v>0</v>
      </c>
    </row>
    <row r="1653" spans="2:22" x14ac:dyDescent="0.25">
      <c r="B1653" s="37"/>
      <c r="C1653">
        <f>_xlfn.XLOOKUP(B1653,'Centro de Custo'!A$2:A$45,'Centro de Custo'!B$2:B$45)</f>
        <v>0</v>
      </c>
      <c r="E1653" s="39"/>
      <c r="F1653" s="40"/>
      <c r="G1653" s="41"/>
      <c r="H1653" s="42">
        <f>YEAR(Tabela3[[#This Row],[Data]])</f>
        <v>1900</v>
      </c>
      <c r="I1653" s="42" t="str">
        <f>_xlfn.XLOOKUP(J1653,'Centro de Custo'!J$2:J$13,'Centro de Custo'!K$2:K$13)</f>
        <v>Janeiro</v>
      </c>
      <c r="J1653" s="43">
        <f>MONTH(Tabela3[[#This Row],[Data]])</f>
        <v>1</v>
      </c>
      <c r="K1653" s="39">
        <f>SUM(E$3:Tabela3[[#This Row],[Valor]])</f>
        <v>4236027.08</v>
      </c>
      <c r="L1653" s="40">
        <f t="shared" si="25"/>
        <v>2.22375</v>
      </c>
      <c r="M1653" s="40"/>
      <c r="N1653" s="40"/>
      <c r="O1653" s="40"/>
      <c r="P1653" s="39"/>
      <c r="Q1653" s="39"/>
      <c r="R1653" s="39"/>
      <c r="S1653" s="39"/>
      <c r="T1653" s="39"/>
      <c r="V1653" t="b">
        <f>IF(Tabela3[[#This Row],[Pago]]&lt;&gt;"",IF(F1654="",Tabela3[[#This Row],[Saldo]],0))</f>
        <v>0</v>
      </c>
    </row>
    <row r="1654" spans="2:22" x14ac:dyDescent="0.25">
      <c r="B1654" s="37"/>
      <c r="C1654">
        <f>_xlfn.XLOOKUP(B1654,'Centro de Custo'!A$2:A$45,'Centro de Custo'!B$2:B$45)</f>
        <v>0</v>
      </c>
      <c r="E1654" s="39"/>
      <c r="F1654" s="40"/>
      <c r="G1654" s="41"/>
      <c r="H1654" s="42">
        <f>YEAR(Tabela3[[#This Row],[Data]])</f>
        <v>1900</v>
      </c>
      <c r="I1654" s="42" t="str">
        <f>_xlfn.XLOOKUP(J1654,'Centro de Custo'!J$2:J$13,'Centro de Custo'!K$2:K$13)</f>
        <v>Janeiro</v>
      </c>
      <c r="J1654" s="43">
        <f>MONTH(Tabela3[[#This Row],[Data]])</f>
        <v>1</v>
      </c>
      <c r="K1654" s="39">
        <f>SUM(E$3:Tabela3[[#This Row],[Valor]])</f>
        <v>4236027.08</v>
      </c>
      <c r="L1654" s="40">
        <f t="shared" si="25"/>
        <v>2.22375</v>
      </c>
      <c r="M1654" s="40"/>
      <c r="N1654" s="40"/>
      <c r="O1654" s="40"/>
      <c r="P1654" s="39"/>
      <c r="Q1654" s="39"/>
      <c r="R1654" s="39"/>
      <c r="S1654" s="39"/>
      <c r="T1654" s="39"/>
      <c r="V1654" t="b">
        <f>IF(Tabela3[[#This Row],[Pago]]&lt;&gt;"",IF(F1655="",Tabela3[[#This Row],[Saldo]],0))</f>
        <v>0</v>
      </c>
    </row>
    <row r="1655" spans="2:22" x14ac:dyDescent="0.25">
      <c r="B1655" s="37"/>
      <c r="C1655">
        <f>_xlfn.XLOOKUP(B1655,'Centro de Custo'!A$2:A$45,'Centro de Custo'!B$2:B$45)</f>
        <v>0</v>
      </c>
      <c r="E1655" s="39"/>
      <c r="F1655" s="40"/>
      <c r="G1655" s="41"/>
      <c r="H1655" s="42">
        <f>YEAR(Tabela3[[#This Row],[Data]])</f>
        <v>1900</v>
      </c>
      <c r="I1655" s="42" t="str">
        <f>_xlfn.XLOOKUP(J1655,'Centro de Custo'!J$2:J$13,'Centro de Custo'!K$2:K$13)</f>
        <v>Janeiro</v>
      </c>
      <c r="J1655" s="43">
        <f>MONTH(Tabela3[[#This Row],[Data]])</f>
        <v>1</v>
      </c>
      <c r="K1655" s="39">
        <f>SUM(E$3:Tabela3[[#This Row],[Valor]])</f>
        <v>4236027.08</v>
      </c>
      <c r="L1655" s="40">
        <f t="shared" si="25"/>
        <v>2.22375</v>
      </c>
      <c r="M1655" s="40"/>
      <c r="N1655" s="40"/>
      <c r="O1655" s="40"/>
      <c r="P1655" s="39"/>
      <c r="Q1655" s="39"/>
      <c r="R1655" s="39"/>
      <c r="S1655" s="39"/>
      <c r="T1655" s="39"/>
      <c r="V1655" t="b">
        <f>IF(Tabela3[[#This Row],[Pago]]&lt;&gt;"",IF(F1656="",Tabela3[[#This Row],[Saldo]],0))</f>
        <v>0</v>
      </c>
    </row>
    <row r="1656" spans="2:22" x14ac:dyDescent="0.25">
      <c r="B1656" s="37"/>
      <c r="C1656">
        <f>_xlfn.XLOOKUP(B1656,'Centro de Custo'!A$2:A$45,'Centro de Custo'!B$2:B$45)</f>
        <v>0</v>
      </c>
      <c r="E1656" s="39"/>
      <c r="F1656" s="40"/>
      <c r="G1656" s="41"/>
      <c r="H1656" s="42">
        <f>YEAR(Tabela3[[#This Row],[Data]])</f>
        <v>1900</v>
      </c>
      <c r="I1656" s="42" t="str">
        <f>_xlfn.XLOOKUP(J1656,'Centro de Custo'!J$2:J$13,'Centro de Custo'!K$2:K$13)</f>
        <v>Janeiro</v>
      </c>
      <c r="J1656" s="43">
        <f>MONTH(Tabela3[[#This Row],[Data]])</f>
        <v>1</v>
      </c>
      <c r="K1656" s="39">
        <f>SUM(E$3:Tabela3[[#This Row],[Valor]])</f>
        <v>4236027.08</v>
      </c>
      <c r="L1656" s="40">
        <f t="shared" si="25"/>
        <v>2.22375</v>
      </c>
      <c r="M1656" s="40"/>
      <c r="N1656" s="40"/>
      <c r="O1656" s="40"/>
      <c r="P1656" s="39"/>
      <c r="Q1656" s="39"/>
      <c r="R1656" s="39"/>
      <c r="S1656" s="39"/>
      <c r="T1656" s="39"/>
      <c r="V1656" t="b">
        <f>IF(Tabela3[[#This Row],[Pago]]&lt;&gt;"",IF(F1657="",Tabela3[[#This Row],[Saldo]],0))</f>
        <v>0</v>
      </c>
    </row>
    <row r="1657" spans="2:22" x14ac:dyDescent="0.25">
      <c r="B1657" s="37"/>
      <c r="C1657">
        <f>_xlfn.XLOOKUP(B1657,'Centro de Custo'!A$2:A$45,'Centro de Custo'!B$2:B$45)</f>
        <v>0</v>
      </c>
      <c r="E1657" s="39"/>
      <c r="F1657" s="40"/>
      <c r="G1657" s="41"/>
      <c r="H1657" s="42">
        <f>YEAR(Tabela3[[#This Row],[Data]])</f>
        <v>1900</v>
      </c>
      <c r="I1657" s="42" t="str">
        <f>_xlfn.XLOOKUP(J1657,'Centro de Custo'!J$2:J$13,'Centro de Custo'!K$2:K$13)</f>
        <v>Janeiro</v>
      </c>
      <c r="J1657" s="43">
        <f>MONTH(Tabela3[[#This Row],[Data]])</f>
        <v>1</v>
      </c>
      <c r="K1657" s="39">
        <f>SUM(E$3:Tabela3[[#This Row],[Valor]])</f>
        <v>4236027.08</v>
      </c>
      <c r="L1657" s="40">
        <f t="shared" si="25"/>
        <v>2.22375</v>
      </c>
      <c r="M1657" s="40"/>
      <c r="N1657" s="40"/>
      <c r="O1657" s="40"/>
      <c r="P1657" s="39"/>
      <c r="Q1657" s="39"/>
      <c r="R1657" s="39"/>
      <c r="S1657" s="39"/>
      <c r="T1657" s="39"/>
      <c r="V1657" t="b">
        <f>IF(Tabela3[[#This Row],[Pago]]&lt;&gt;"",IF(F1658="",Tabela3[[#This Row],[Saldo]],0))</f>
        <v>0</v>
      </c>
    </row>
    <row r="1658" spans="2:22" x14ac:dyDescent="0.25">
      <c r="B1658" s="37"/>
      <c r="C1658">
        <f>_xlfn.XLOOKUP(B1658,'Centro de Custo'!A$2:A$45,'Centro de Custo'!B$2:B$45)</f>
        <v>0</v>
      </c>
      <c r="E1658" s="39"/>
      <c r="F1658" s="40"/>
      <c r="G1658" s="41"/>
      <c r="H1658" s="42">
        <f>YEAR(Tabela3[[#This Row],[Data]])</f>
        <v>1900</v>
      </c>
      <c r="I1658" s="42" t="str">
        <f>_xlfn.XLOOKUP(J1658,'Centro de Custo'!J$2:J$13,'Centro de Custo'!K$2:K$13)</f>
        <v>Janeiro</v>
      </c>
      <c r="J1658" s="43">
        <f>MONTH(Tabela3[[#This Row],[Data]])</f>
        <v>1</v>
      </c>
      <c r="K1658" s="39">
        <f>SUM(E$3:Tabela3[[#This Row],[Valor]])</f>
        <v>4236027.08</v>
      </c>
      <c r="L1658" s="40">
        <f t="shared" si="25"/>
        <v>2.22375</v>
      </c>
      <c r="M1658" s="40"/>
      <c r="N1658" s="40"/>
      <c r="O1658" s="40"/>
      <c r="P1658" s="39"/>
      <c r="Q1658" s="39"/>
      <c r="R1658" s="39"/>
      <c r="S1658" s="39"/>
      <c r="T1658" s="39"/>
      <c r="V1658" t="b">
        <f>IF(Tabela3[[#This Row],[Pago]]&lt;&gt;"",IF(F1659="",Tabela3[[#This Row],[Saldo]],0))</f>
        <v>0</v>
      </c>
    </row>
    <row r="1659" spans="2:22" x14ac:dyDescent="0.25">
      <c r="B1659" s="37"/>
      <c r="C1659">
        <f>_xlfn.XLOOKUP(B1659,'Centro de Custo'!A$2:A$45,'Centro de Custo'!B$2:B$45)</f>
        <v>0</v>
      </c>
      <c r="E1659" s="39"/>
      <c r="F1659" s="40"/>
      <c r="G1659" s="41"/>
      <c r="H1659" s="42">
        <f>YEAR(Tabela3[[#This Row],[Data]])</f>
        <v>1900</v>
      </c>
      <c r="I1659" s="42" t="str">
        <f>_xlfn.XLOOKUP(J1659,'Centro de Custo'!J$2:J$13,'Centro de Custo'!K$2:K$13)</f>
        <v>Janeiro</v>
      </c>
      <c r="J1659" s="43">
        <f>MONTH(Tabela3[[#This Row],[Data]])</f>
        <v>1</v>
      </c>
      <c r="K1659" s="39">
        <f>SUM(E$3:Tabela3[[#This Row],[Valor]])</f>
        <v>4236027.08</v>
      </c>
      <c r="L1659" s="40">
        <f t="shared" si="25"/>
        <v>2.22375</v>
      </c>
      <c r="M1659" s="40"/>
      <c r="N1659" s="40"/>
      <c r="O1659" s="40"/>
      <c r="P1659" s="39"/>
      <c r="Q1659" s="39"/>
      <c r="R1659" s="39"/>
      <c r="S1659" s="39"/>
      <c r="T1659" s="39"/>
      <c r="V1659" t="b">
        <f>IF(Tabela3[[#This Row],[Pago]]&lt;&gt;"",IF(F1660="",Tabela3[[#This Row],[Saldo]],0))</f>
        <v>0</v>
      </c>
    </row>
    <row r="1660" spans="2:22" x14ac:dyDescent="0.25">
      <c r="B1660" s="37"/>
      <c r="C1660">
        <f>_xlfn.XLOOKUP(B1660,'Centro de Custo'!A$2:A$45,'Centro de Custo'!B$2:B$45)</f>
        <v>0</v>
      </c>
      <c r="E1660" s="39"/>
      <c r="F1660" s="40"/>
      <c r="G1660" s="41"/>
      <c r="H1660" s="42">
        <f>YEAR(Tabela3[[#This Row],[Data]])</f>
        <v>1900</v>
      </c>
      <c r="I1660" s="42" t="str">
        <f>_xlfn.XLOOKUP(J1660,'Centro de Custo'!J$2:J$13,'Centro de Custo'!K$2:K$13)</f>
        <v>Janeiro</v>
      </c>
      <c r="J1660" s="43">
        <f>MONTH(Tabela3[[#This Row],[Data]])</f>
        <v>1</v>
      </c>
      <c r="K1660" s="39">
        <f>SUM(E$3:Tabela3[[#This Row],[Valor]])</f>
        <v>4236027.08</v>
      </c>
      <c r="L1660" s="40">
        <f t="shared" si="25"/>
        <v>2.22375</v>
      </c>
      <c r="M1660" s="40"/>
      <c r="N1660" s="40"/>
      <c r="O1660" s="40"/>
      <c r="P1660" s="39"/>
      <c r="Q1660" s="39"/>
      <c r="R1660" s="39"/>
      <c r="S1660" s="39"/>
      <c r="T1660" s="39"/>
      <c r="V1660" t="b">
        <f>IF(Tabela3[[#This Row],[Pago]]&lt;&gt;"",IF(F1661="",Tabela3[[#This Row],[Saldo]],0))</f>
        <v>0</v>
      </c>
    </row>
    <row r="1661" spans="2:22" x14ac:dyDescent="0.25">
      <c r="B1661" s="37"/>
      <c r="C1661">
        <f>_xlfn.XLOOKUP(B1661,'Centro de Custo'!A$2:A$45,'Centro de Custo'!B$2:B$45)</f>
        <v>0</v>
      </c>
      <c r="E1661" s="39"/>
      <c r="F1661" s="40"/>
      <c r="G1661" s="41"/>
      <c r="H1661" s="42">
        <f>YEAR(Tabela3[[#This Row],[Data]])</f>
        <v>1900</v>
      </c>
      <c r="I1661" s="42" t="str">
        <f>_xlfn.XLOOKUP(J1661,'Centro de Custo'!J$2:J$13,'Centro de Custo'!K$2:K$13)</f>
        <v>Janeiro</v>
      </c>
      <c r="J1661" s="43">
        <f>MONTH(Tabela3[[#This Row],[Data]])</f>
        <v>1</v>
      </c>
      <c r="K1661" s="39">
        <f>SUM(E$3:Tabela3[[#This Row],[Valor]])</f>
        <v>4236027.08</v>
      </c>
      <c r="L1661" s="40">
        <f t="shared" si="25"/>
        <v>2.22375</v>
      </c>
      <c r="M1661" s="40"/>
      <c r="N1661" s="40"/>
      <c r="O1661" s="40"/>
      <c r="P1661" s="39"/>
      <c r="Q1661" s="39"/>
      <c r="R1661" s="39"/>
      <c r="S1661" s="39"/>
      <c r="T1661" s="39"/>
      <c r="V1661" t="b">
        <f>IF(Tabela3[[#This Row],[Pago]]&lt;&gt;"",IF(F1662="",Tabela3[[#This Row],[Saldo]],0))</f>
        <v>0</v>
      </c>
    </row>
    <row r="1662" spans="2:22" x14ac:dyDescent="0.25">
      <c r="B1662" s="37"/>
      <c r="C1662">
        <f>_xlfn.XLOOKUP(B1662,'Centro de Custo'!A$2:A$45,'Centro de Custo'!B$2:B$45)</f>
        <v>0</v>
      </c>
      <c r="E1662" s="39"/>
      <c r="F1662" s="40"/>
      <c r="G1662" s="41"/>
      <c r="H1662" s="42">
        <f>YEAR(Tabela3[[#This Row],[Data]])</f>
        <v>1900</v>
      </c>
      <c r="I1662" s="42" t="str">
        <f>_xlfn.XLOOKUP(J1662,'Centro de Custo'!J$2:J$13,'Centro de Custo'!K$2:K$13)</f>
        <v>Janeiro</v>
      </c>
      <c r="J1662" s="43">
        <f>MONTH(Tabela3[[#This Row],[Data]])</f>
        <v>1</v>
      </c>
      <c r="K1662" s="39">
        <f>SUM(E$3:Tabela3[[#This Row],[Valor]])</f>
        <v>4236027.08</v>
      </c>
      <c r="L1662" s="40">
        <f t="shared" si="25"/>
        <v>2.22375</v>
      </c>
      <c r="M1662" s="40"/>
      <c r="N1662" s="40"/>
      <c r="O1662" s="40"/>
      <c r="P1662" s="39"/>
      <c r="Q1662" s="39"/>
      <c r="R1662" s="39"/>
      <c r="S1662" s="39"/>
      <c r="T1662" s="39"/>
      <c r="V1662" t="b">
        <f>IF(Tabela3[[#This Row],[Pago]]&lt;&gt;"",IF(F1663="",Tabela3[[#This Row],[Saldo]],0))</f>
        <v>0</v>
      </c>
    </row>
    <row r="1663" spans="2:22" x14ac:dyDescent="0.25">
      <c r="B1663" s="37"/>
      <c r="C1663">
        <f>_xlfn.XLOOKUP(B1663,'Centro de Custo'!A$2:A$45,'Centro de Custo'!B$2:B$45)</f>
        <v>0</v>
      </c>
      <c r="E1663" s="39"/>
      <c r="F1663" s="40"/>
      <c r="G1663" s="41"/>
      <c r="H1663" s="42">
        <f>YEAR(Tabela3[[#This Row],[Data]])</f>
        <v>1900</v>
      </c>
      <c r="I1663" s="42" t="str">
        <f>_xlfn.XLOOKUP(J1663,'Centro de Custo'!J$2:J$13,'Centro de Custo'!K$2:K$13)</f>
        <v>Janeiro</v>
      </c>
      <c r="J1663" s="43">
        <f>MONTH(Tabela3[[#This Row],[Data]])</f>
        <v>1</v>
      </c>
      <c r="K1663" s="39">
        <f>SUM(E$3:Tabela3[[#This Row],[Valor]])</f>
        <v>4236027.08</v>
      </c>
      <c r="L1663" s="40">
        <f t="shared" si="25"/>
        <v>2.22375</v>
      </c>
      <c r="M1663" s="40"/>
      <c r="N1663" s="40"/>
      <c r="O1663" s="40"/>
      <c r="P1663" s="39"/>
      <c r="Q1663" s="39"/>
      <c r="R1663" s="39"/>
      <c r="S1663" s="39"/>
      <c r="T1663" s="39"/>
      <c r="V1663" t="b">
        <f>IF(Tabela3[[#This Row],[Pago]]&lt;&gt;"",IF(F1664="",Tabela3[[#This Row],[Saldo]],0))</f>
        <v>0</v>
      </c>
    </row>
    <row r="1664" spans="2:22" x14ac:dyDescent="0.25">
      <c r="B1664" s="37"/>
      <c r="C1664">
        <f>_xlfn.XLOOKUP(B1664,'Centro de Custo'!A$2:A$45,'Centro de Custo'!B$2:B$45)</f>
        <v>0</v>
      </c>
      <c r="E1664" s="39"/>
      <c r="F1664" s="40"/>
      <c r="G1664" s="41"/>
      <c r="H1664" s="42">
        <f>YEAR(Tabela3[[#This Row],[Data]])</f>
        <v>1900</v>
      </c>
      <c r="I1664" s="42" t="str">
        <f>_xlfn.XLOOKUP(J1664,'Centro de Custo'!J$2:J$13,'Centro de Custo'!K$2:K$13)</f>
        <v>Janeiro</v>
      </c>
      <c r="J1664" s="43">
        <f>MONTH(Tabela3[[#This Row],[Data]])</f>
        <v>1</v>
      </c>
      <c r="K1664" s="39">
        <f>SUM(E$3:Tabela3[[#This Row],[Valor]])</f>
        <v>4236027.08</v>
      </c>
      <c r="L1664" s="40">
        <f t="shared" si="25"/>
        <v>2.22375</v>
      </c>
      <c r="M1664" s="40"/>
      <c r="N1664" s="40"/>
      <c r="O1664" s="40"/>
      <c r="P1664" s="39"/>
      <c r="Q1664" s="39"/>
      <c r="R1664" s="39"/>
      <c r="S1664" s="39"/>
      <c r="T1664" s="39"/>
      <c r="V1664" t="b">
        <f>IF(Tabela3[[#This Row],[Pago]]&lt;&gt;"",IF(F1665="",Tabela3[[#This Row],[Saldo]],0))</f>
        <v>0</v>
      </c>
    </row>
    <row r="1665" spans="2:22" x14ac:dyDescent="0.25">
      <c r="B1665" s="37"/>
      <c r="C1665">
        <f>_xlfn.XLOOKUP(B1665,'Centro de Custo'!A$2:A$45,'Centro de Custo'!B$2:B$45)</f>
        <v>0</v>
      </c>
      <c r="E1665" s="39"/>
      <c r="F1665" s="40"/>
      <c r="G1665" s="41"/>
      <c r="H1665" s="42">
        <f>YEAR(Tabela3[[#This Row],[Data]])</f>
        <v>1900</v>
      </c>
      <c r="I1665" s="42" t="str">
        <f>_xlfn.XLOOKUP(J1665,'Centro de Custo'!J$2:J$13,'Centro de Custo'!K$2:K$13)</f>
        <v>Janeiro</v>
      </c>
      <c r="J1665" s="43">
        <f>MONTH(Tabela3[[#This Row],[Data]])</f>
        <v>1</v>
      </c>
      <c r="K1665" s="39">
        <f>SUM(E$3:Tabela3[[#This Row],[Valor]])</f>
        <v>4236027.08</v>
      </c>
      <c r="L1665" s="40">
        <f t="shared" si="25"/>
        <v>2.22375</v>
      </c>
      <c r="M1665" s="40"/>
      <c r="N1665" s="40"/>
      <c r="O1665" s="40"/>
      <c r="P1665" s="39"/>
      <c r="Q1665" s="39"/>
      <c r="R1665" s="39"/>
      <c r="S1665" s="39"/>
      <c r="T1665" s="39"/>
      <c r="V1665" t="b">
        <f>IF(Tabela3[[#This Row],[Pago]]&lt;&gt;"",IF(F1666="",Tabela3[[#This Row],[Saldo]],0))</f>
        <v>0</v>
      </c>
    </row>
    <row r="1666" spans="2:22" x14ac:dyDescent="0.25">
      <c r="B1666" s="37"/>
      <c r="C1666">
        <f>_xlfn.XLOOKUP(B1666,'Centro de Custo'!A$2:A$45,'Centro de Custo'!B$2:B$45)</f>
        <v>0</v>
      </c>
      <c r="E1666" s="39"/>
      <c r="F1666" s="40"/>
      <c r="G1666" s="41"/>
      <c r="H1666" s="42">
        <f>YEAR(Tabela3[[#This Row],[Data]])</f>
        <v>1900</v>
      </c>
      <c r="I1666" s="42" t="str">
        <f>_xlfn.XLOOKUP(J1666,'Centro de Custo'!J$2:J$13,'Centro de Custo'!K$2:K$13)</f>
        <v>Janeiro</v>
      </c>
      <c r="J1666" s="43">
        <f>MONTH(Tabela3[[#This Row],[Data]])</f>
        <v>1</v>
      </c>
      <c r="K1666" s="39">
        <f>SUM(E$3:Tabela3[[#This Row],[Valor]])</f>
        <v>4236027.08</v>
      </c>
      <c r="L1666" s="40">
        <f t="shared" si="25"/>
        <v>2.22375</v>
      </c>
      <c r="M1666" s="40"/>
      <c r="N1666" s="40"/>
      <c r="O1666" s="40"/>
      <c r="P1666" s="39"/>
      <c r="Q1666" s="39"/>
      <c r="R1666" s="39"/>
      <c r="S1666" s="39"/>
      <c r="T1666" s="39"/>
      <c r="V1666" t="b">
        <f>IF(Tabela3[[#This Row],[Pago]]&lt;&gt;"",IF(F1667="",Tabela3[[#This Row],[Saldo]],0))</f>
        <v>0</v>
      </c>
    </row>
    <row r="1667" spans="2:22" x14ac:dyDescent="0.25">
      <c r="B1667" s="37"/>
      <c r="C1667">
        <f>_xlfn.XLOOKUP(B1667,'Centro de Custo'!A$2:A$45,'Centro de Custo'!B$2:B$45)</f>
        <v>0</v>
      </c>
      <c r="E1667" s="39"/>
      <c r="F1667" s="40"/>
      <c r="G1667" s="41"/>
      <c r="H1667" s="42">
        <f>YEAR(Tabela3[[#This Row],[Data]])</f>
        <v>1900</v>
      </c>
      <c r="I1667" s="42" t="str">
        <f>_xlfn.XLOOKUP(J1667,'Centro de Custo'!J$2:J$13,'Centro de Custo'!K$2:K$13)</f>
        <v>Janeiro</v>
      </c>
      <c r="J1667" s="43">
        <f>MONTH(Tabela3[[#This Row],[Data]])</f>
        <v>1</v>
      </c>
      <c r="K1667" s="39">
        <f>SUM(E$3:Tabela3[[#This Row],[Valor]])</f>
        <v>4236027.08</v>
      </c>
      <c r="L1667" s="40">
        <f t="shared" ref="L1667:L1718" si="26">17.79/8</f>
        <v>2.22375</v>
      </c>
      <c r="M1667" s="40"/>
      <c r="N1667" s="40"/>
      <c r="O1667" s="40"/>
      <c r="P1667" s="39"/>
      <c r="Q1667" s="39"/>
      <c r="R1667" s="39"/>
      <c r="S1667" s="39"/>
      <c r="T1667" s="39"/>
      <c r="V1667" t="b">
        <f>IF(Tabela3[[#This Row],[Pago]]&lt;&gt;"",IF(F1668="",Tabela3[[#This Row],[Saldo]],0))</f>
        <v>0</v>
      </c>
    </row>
    <row r="1668" spans="2:22" x14ac:dyDescent="0.25">
      <c r="B1668" s="37"/>
      <c r="C1668">
        <f>_xlfn.XLOOKUP(B1668,'Centro de Custo'!A$2:A$45,'Centro de Custo'!B$2:B$45)</f>
        <v>0</v>
      </c>
      <c r="E1668" s="39"/>
      <c r="F1668" s="40"/>
      <c r="G1668" s="41"/>
      <c r="H1668" s="42">
        <f>YEAR(Tabela3[[#This Row],[Data]])</f>
        <v>1900</v>
      </c>
      <c r="I1668" s="42" t="str">
        <f>_xlfn.XLOOKUP(J1668,'Centro de Custo'!J$2:J$13,'Centro de Custo'!K$2:K$13)</f>
        <v>Janeiro</v>
      </c>
      <c r="J1668" s="43">
        <f>MONTH(Tabela3[[#This Row],[Data]])</f>
        <v>1</v>
      </c>
      <c r="K1668" s="39">
        <f>SUM(E$3:Tabela3[[#This Row],[Valor]])</f>
        <v>4236027.08</v>
      </c>
      <c r="L1668" s="40">
        <f t="shared" si="26"/>
        <v>2.22375</v>
      </c>
      <c r="M1668" s="40"/>
      <c r="N1668" s="40"/>
      <c r="O1668" s="40"/>
      <c r="P1668" s="39"/>
      <c r="Q1668" s="39"/>
      <c r="R1668" s="39"/>
      <c r="S1668" s="39"/>
      <c r="T1668" s="39"/>
      <c r="V1668" t="b">
        <f>IF(Tabela3[[#This Row],[Pago]]&lt;&gt;"",IF(F1669="",Tabela3[[#This Row],[Saldo]],0))</f>
        <v>0</v>
      </c>
    </row>
    <row r="1669" spans="2:22" x14ac:dyDescent="0.25">
      <c r="B1669" s="37"/>
      <c r="C1669">
        <f>_xlfn.XLOOKUP(B1669,'Centro de Custo'!A$2:A$45,'Centro de Custo'!B$2:B$45)</f>
        <v>0</v>
      </c>
      <c r="E1669" s="39"/>
      <c r="F1669" s="40"/>
      <c r="G1669" s="41"/>
      <c r="H1669" s="42">
        <f>YEAR(Tabela3[[#This Row],[Data]])</f>
        <v>1900</v>
      </c>
      <c r="I1669" s="42" t="str">
        <f>_xlfn.XLOOKUP(J1669,'Centro de Custo'!J$2:J$13,'Centro de Custo'!K$2:K$13)</f>
        <v>Janeiro</v>
      </c>
      <c r="J1669" s="43">
        <f>MONTH(Tabela3[[#This Row],[Data]])</f>
        <v>1</v>
      </c>
      <c r="K1669" s="39">
        <f>SUM(E$3:Tabela3[[#This Row],[Valor]])</f>
        <v>4236027.08</v>
      </c>
      <c r="L1669" s="40">
        <f t="shared" si="26"/>
        <v>2.22375</v>
      </c>
      <c r="M1669" s="40"/>
      <c r="N1669" s="40"/>
      <c r="O1669" s="40"/>
      <c r="P1669" s="39"/>
      <c r="Q1669" s="39"/>
      <c r="R1669" s="39"/>
      <c r="S1669" s="39"/>
      <c r="T1669" s="39"/>
      <c r="V1669" t="b">
        <f>IF(Tabela3[[#This Row],[Pago]]&lt;&gt;"",IF(F1670="",Tabela3[[#This Row],[Saldo]],0))</f>
        <v>0</v>
      </c>
    </row>
    <row r="1670" spans="2:22" x14ac:dyDescent="0.25">
      <c r="B1670" s="37"/>
      <c r="C1670">
        <f>_xlfn.XLOOKUP(B1670,'Centro de Custo'!A$2:A$45,'Centro de Custo'!B$2:B$45)</f>
        <v>0</v>
      </c>
      <c r="E1670" s="39"/>
      <c r="F1670" s="40"/>
      <c r="G1670" s="41"/>
      <c r="H1670" s="42">
        <f>YEAR(Tabela3[[#This Row],[Data]])</f>
        <v>1900</v>
      </c>
      <c r="I1670" s="42" t="str">
        <f>_xlfn.XLOOKUP(J1670,'Centro de Custo'!J$2:J$13,'Centro de Custo'!K$2:K$13)</f>
        <v>Janeiro</v>
      </c>
      <c r="J1670" s="43">
        <f>MONTH(Tabela3[[#This Row],[Data]])</f>
        <v>1</v>
      </c>
      <c r="K1670" s="39">
        <f>SUM(E$3:Tabela3[[#This Row],[Valor]])</f>
        <v>4236027.08</v>
      </c>
      <c r="L1670" s="40">
        <f t="shared" si="26"/>
        <v>2.22375</v>
      </c>
      <c r="M1670" s="40"/>
      <c r="N1670" s="40"/>
      <c r="O1670" s="40"/>
      <c r="P1670" s="39"/>
      <c r="Q1670" s="39"/>
      <c r="R1670" s="39"/>
      <c r="S1670" s="39"/>
      <c r="T1670" s="39"/>
      <c r="V1670" t="b">
        <f>IF(Tabela3[[#This Row],[Pago]]&lt;&gt;"",IF(F1671="",Tabela3[[#This Row],[Saldo]],0))</f>
        <v>0</v>
      </c>
    </row>
    <row r="1671" spans="2:22" x14ac:dyDescent="0.25">
      <c r="B1671" s="37"/>
      <c r="C1671">
        <f>_xlfn.XLOOKUP(B1671,'Centro de Custo'!A$2:A$45,'Centro de Custo'!B$2:B$45)</f>
        <v>0</v>
      </c>
      <c r="E1671" s="39"/>
      <c r="F1671" s="40"/>
      <c r="G1671" s="41"/>
      <c r="H1671" s="42">
        <f>YEAR(Tabela3[[#This Row],[Data]])</f>
        <v>1900</v>
      </c>
      <c r="I1671" s="42" t="str">
        <f>_xlfn.XLOOKUP(J1671,'Centro de Custo'!J$2:J$13,'Centro de Custo'!K$2:K$13)</f>
        <v>Janeiro</v>
      </c>
      <c r="J1671" s="43">
        <f>MONTH(Tabela3[[#This Row],[Data]])</f>
        <v>1</v>
      </c>
      <c r="K1671" s="39">
        <f>SUM(E$3:Tabela3[[#This Row],[Valor]])</f>
        <v>4236027.08</v>
      </c>
      <c r="L1671" s="40">
        <f t="shared" si="26"/>
        <v>2.22375</v>
      </c>
      <c r="M1671" s="40"/>
      <c r="N1671" s="40"/>
      <c r="O1671" s="40"/>
      <c r="P1671" s="39"/>
      <c r="Q1671" s="39"/>
      <c r="R1671" s="39"/>
      <c r="S1671" s="39"/>
      <c r="T1671" s="39"/>
      <c r="V1671" t="b">
        <f>IF(Tabela3[[#This Row],[Pago]]&lt;&gt;"",IF(F1672="",Tabela3[[#This Row],[Saldo]],0))</f>
        <v>0</v>
      </c>
    </row>
    <row r="1672" spans="2:22" x14ac:dyDescent="0.25">
      <c r="B1672" s="37"/>
      <c r="C1672">
        <f>_xlfn.XLOOKUP(B1672,'Centro de Custo'!A$2:A$45,'Centro de Custo'!B$2:B$45)</f>
        <v>0</v>
      </c>
      <c r="E1672" s="39"/>
      <c r="F1672" s="40"/>
      <c r="G1672" s="41"/>
      <c r="H1672" s="42">
        <f>YEAR(Tabela3[[#This Row],[Data]])</f>
        <v>1900</v>
      </c>
      <c r="I1672" s="42" t="str">
        <f>_xlfn.XLOOKUP(J1672,'Centro de Custo'!J$2:J$13,'Centro de Custo'!K$2:K$13)</f>
        <v>Janeiro</v>
      </c>
      <c r="J1672" s="43">
        <f>MONTH(Tabela3[[#This Row],[Data]])</f>
        <v>1</v>
      </c>
      <c r="K1672" s="39">
        <f>SUM(E$3:Tabela3[[#This Row],[Valor]])</f>
        <v>4236027.08</v>
      </c>
      <c r="L1672" s="40">
        <f t="shared" si="26"/>
        <v>2.22375</v>
      </c>
      <c r="M1672" s="40"/>
      <c r="N1672" s="40"/>
      <c r="O1672" s="40"/>
      <c r="P1672" s="39"/>
      <c r="Q1672" s="39"/>
      <c r="R1672" s="39"/>
      <c r="S1672" s="39"/>
      <c r="T1672" s="39"/>
      <c r="V1672" t="b">
        <f>IF(Tabela3[[#This Row],[Pago]]&lt;&gt;"",IF(F1673="",Tabela3[[#This Row],[Saldo]],0))</f>
        <v>0</v>
      </c>
    </row>
    <row r="1673" spans="2:22" x14ac:dyDescent="0.25">
      <c r="B1673" s="37"/>
      <c r="C1673">
        <f>_xlfn.XLOOKUP(B1673,'Centro de Custo'!A$2:A$45,'Centro de Custo'!B$2:B$45)</f>
        <v>0</v>
      </c>
      <c r="E1673" s="39"/>
      <c r="F1673" s="40"/>
      <c r="G1673" s="41"/>
      <c r="H1673" s="42">
        <f>YEAR(Tabela3[[#This Row],[Data]])</f>
        <v>1900</v>
      </c>
      <c r="I1673" s="42" t="str">
        <f>_xlfn.XLOOKUP(J1673,'Centro de Custo'!J$2:J$13,'Centro de Custo'!K$2:K$13)</f>
        <v>Janeiro</v>
      </c>
      <c r="J1673" s="43">
        <f>MONTH(Tabela3[[#This Row],[Data]])</f>
        <v>1</v>
      </c>
      <c r="K1673" s="39">
        <f>SUM(E$3:Tabela3[[#This Row],[Valor]])</f>
        <v>4236027.08</v>
      </c>
      <c r="L1673" s="40">
        <f t="shared" si="26"/>
        <v>2.22375</v>
      </c>
      <c r="M1673" s="40"/>
      <c r="N1673" s="40"/>
      <c r="O1673" s="40"/>
      <c r="P1673" s="39"/>
      <c r="Q1673" s="39"/>
      <c r="R1673" s="39"/>
      <c r="S1673" s="39"/>
      <c r="T1673" s="39"/>
      <c r="V1673" t="b">
        <f>IF(Tabela3[[#This Row],[Pago]]&lt;&gt;"",IF(F1674="",Tabela3[[#This Row],[Saldo]],0))</f>
        <v>0</v>
      </c>
    </row>
    <row r="1674" spans="2:22" x14ac:dyDescent="0.25">
      <c r="B1674" s="37"/>
      <c r="C1674">
        <f>_xlfn.XLOOKUP(B1674,'Centro de Custo'!A$2:A$45,'Centro de Custo'!B$2:B$45)</f>
        <v>0</v>
      </c>
      <c r="E1674" s="39"/>
      <c r="F1674" s="40"/>
      <c r="G1674" s="41"/>
      <c r="H1674" s="42">
        <f>YEAR(Tabela3[[#This Row],[Data]])</f>
        <v>1900</v>
      </c>
      <c r="I1674" s="42" t="str">
        <f>_xlfn.XLOOKUP(J1674,'Centro de Custo'!J$2:J$13,'Centro de Custo'!K$2:K$13)</f>
        <v>Janeiro</v>
      </c>
      <c r="J1674" s="43">
        <f>MONTH(Tabela3[[#This Row],[Data]])</f>
        <v>1</v>
      </c>
      <c r="K1674" s="39">
        <f>SUM(E$3:Tabela3[[#This Row],[Valor]])</f>
        <v>4236027.08</v>
      </c>
      <c r="L1674" s="40">
        <f t="shared" si="26"/>
        <v>2.22375</v>
      </c>
      <c r="M1674" s="40"/>
      <c r="N1674" s="40"/>
      <c r="O1674" s="40"/>
      <c r="P1674" s="39"/>
      <c r="Q1674" s="39"/>
      <c r="R1674" s="39"/>
      <c r="S1674" s="39"/>
      <c r="T1674" s="39"/>
      <c r="V1674" t="b">
        <f>IF(Tabela3[[#This Row],[Pago]]&lt;&gt;"",IF(F1675="",Tabela3[[#This Row],[Saldo]],0))</f>
        <v>0</v>
      </c>
    </row>
    <row r="1675" spans="2:22" x14ac:dyDescent="0.25">
      <c r="B1675" s="37"/>
      <c r="C1675">
        <f>_xlfn.XLOOKUP(B1675,'Centro de Custo'!A$2:A$45,'Centro de Custo'!B$2:B$45)</f>
        <v>0</v>
      </c>
      <c r="E1675" s="39"/>
      <c r="F1675" s="40"/>
      <c r="G1675" s="41"/>
      <c r="H1675" s="42">
        <f>YEAR(Tabela3[[#This Row],[Data]])</f>
        <v>1900</v>
      </c>
      <c r="I1675" s="42" t="str">
        <f>_xlfn.XLOOKUP(J1675,'Centro de Custo'!J$2:J$13,'Centro de Custo'!K$2:K$13)</f>
        <v>Janeiro</v>
      </c>
      <c r="J1675" s="43">
        <f>MONTH(Tabela3[[#This Row],[Data]])</f>
        <v>1</v>
      </c>
      <c r="K1675" s="39">
        <f>SUM(E$3:Tabela3[[#This Row],[Valor]])</f>
        <v>4236027.08</v>
      </c>
      <c r="L1675" s="40">
        <f t="shared" si="26"/>
        <v>2.22375</v>
      </c>
      <c r="M1675" s="40"/>
      <c r="N1675" s="40"/>
      <c r="O1675" s="40"/>
      <c r="P1675" s="39"/>
      <c r="Q1675" s="39"/>
      <c r="R1675" s="39"/>
      <c r="S1675" s="39"/>
      <c r="T1675" s="39"/>
      <c r="V1675" t="b">
        <f>IF(Tabela3[[#This Row],[Pago]]&lt;&gt;"",IF(F1676="",Tabela3[[#This Row],[Saldo]],0))</f>
        <v>0</v>
      </c>
    </row>
    <row r="1676" spans="2:22" x14ac:dyDescent="0.25">
      <c r="B1676" s="37"/>
      <c r="C1676">
        <f>_xlfn.XLOOKUP(B1676,'Centro de Custo'!A$2:A$45,'Centro de Custo'!B$2:B$45)</f>
        <v>0</v>
      </c>
      <c r="E1676" s="39"/>
      <c r="F1676" s="40"/>
      <c r="G1676" s="41"/>
      <c r="H1676" s="42">
        <f>YEAR(Tabela3[[#This Row],[Data]])</f>
        <v>1900</v>
      </c>
      <c r="I1676" s="42" t="str">
        <f>_xlfn.XLOOKUP(J1676,'Centro de Custo'!J$2:J$13,'Centro de Custo'!K$2:K$13)</f>
        <v>Janeiro</v>
      </c>
      <c r="J1676" s="43">
        <f>MONTH(Tabela3[[#This Row],[Data]])</f>
        <v>1</v>
      </c>
      <c r="K1676" s="39">
        <f>SUM(E$3:Tabela3[[#This Row],[Valor]])</f>
        <v>4236027.08</v>
      </c>
      <c r="L1676" s="40">
        <f t="shared" si="26"/>
        <v>2.22375</v>
      </c>
      <c r="M1676" s="40"/>
      <c r="N1676" s="40"/>
      <c r="O1676" s="40"/>
      <c r="P1676" s="39"/>
      <c r="Q1676" s="39"/>
      <c r="R1676" s="39"/>
      <c r="S1676" s="39"/>
      <c r="T1676" s="39"/>
      <c r="V1676" t="b">
        <f>IF(Tabela3[[#This Row],[Pago]]&lt;&gt;"",IF(F1677="",Tabela3[[#This Row],[Saldo]],0))</f>
        <v>0</v>
      </c>
    </row>
    <row r="1677" spans="2:22" x14ac:dyDescent="0.25">
      <c r="B1677" s="37"/>
      <c r="C1677">
        <f>_xlfn.XLOOKUP(B1677,'Centro de Custo'!A$2:A$45,'Centro de Custo'!B$2:B$45)</f>
        <v>0</v>
      </c>
      <c r="E1677" s="39"/>
      <c r="F1677" s="40"/>
      <c r="G1677" s="41"/>
      <c r="H1677" s="42">
        <f>YEAR(Tabela3[[#This Row],[Data]])</f>
        <v>1900</v>
      </c>
      <c r="I1677" s="42" t="str">
        <f>_xlfn.XLOOKUP(J1677,'Centro de Custo'!J$2:J$13,'Centro de Custo'!K$2:K$13)</f>
        <v>Janeiro</v>
      </c>
      <c r="J1677" s="43">
        <f>MONTH(Tabela3[[#This Row],[Data]])</f>
        <v>1</v>
      </c>
      <c r="K1677" s="39">
        <f>SUM(E$3:Tabela3[[#This Row],[Valor]])</f>
        <v>4236027.08</v>
      </c>
      <c r="L1677" s="40">
        <f t="shared" si="26"/>
        <v>2.22375</v>
      </c>
      <c r="M1677" s="40"/>
      <c r="N1677" s="40"/>
      <c r="O1677" s="40"/>
      <c r="P1677" s="39"/>
      <c r="Q1677" s="39"/>
      <c r="R1677" s="39"/>
      <c r="S1677" s="39"/>
      <c r="T1677" s="39"/>
      <c r="V1677" t="b">
        <f>IF(Tabela3[[#This Row],[Pago]]&lt;&gt;"",IF(F1678="",Tabela3[[#This Row],[Saldo]],0))</f>
        <v>0</v>
      </c>
    </row>
    <row r="1678" spans="2:22" x14ac:dyDescent="0.25">
      <c r="B1678" s="37"/>
      <c r="C1678">
        <f>_xlfn.XLOOKUP(B1678,'Centro de Custo'!A$2:A$45,'Centro de Custo'!B$2:B$45)</f>
        <v>0</v>
      </c>
      <c r="E1678" s="39"/>
      <c r="F1678" s="40"/>
      <c r="G1678" s="41"/>
      <c r="H1678" s="42">
        <f>YEAR(Tabela3[[#This Row],[Data]])</f>
        <v>1900</v>
      </c>
      <c r="I1678" s="42" t="str">
        <f>_xlfn.XLOOKUP(J1678,'Centro de Custo'!J$2:J$13,'Centro de Custo'!K$2:K$13)</f>
        <v>Janeiro</v>
      </c>
      <c r="J1678" s="43">
        <f>MONTH(Tabela3[[#This Row],[Data]])</f>
        <v>1</v>
      </c>
      <c r="K1678" s="39">
        <f>SUM(E$3:Tabela3[[#This Row],[Valor]])</f>
        <v>4236027.08</v>
      </c>
      <c r="L1678" s="40">
        <f t="shared" si="26"/>
        <v>2.22375</v>
      </c>
      <c r="M1678" s="40"/>
      <c r="N1678" s="40"/>
      <c r="O1678" s="40"/>
      <c r="P1678" s="39"/>
      <c r="Q1678" s="39"/>
      <c r="R1678" s="39"/>
      <c r="S1678" s="39"/>
      <c r="T1678" s="39"/>
      <c r="V1678" t="b">
        <f>IF(Tabela3[[#This Row],[Pago]]&lt;&gt;"",IF(F1679="",Tabela3[[#This Row],[Saldo]],0))</f>
        <v>0</v>
      </c>
    </row>
    <row r="1679" spans="2:22" x14ac:dyDescent="0.25">
      <c r="B1679" s="37"/>
      <c r="C1679">
        <f>_xlfn.XLOOKUP(B1679,'Centro de Custo'!A$2:A$45,'Centro de Custo'!B$2:B$45)</f>
        <v>0</v>
      </c>
      <c r="E1679" s="39"/>
      <c r="F1679" s="40"/>
      <c r="G1679" s="41"/>
      <c r="H1679" s="42">
        <f>YEAR(Tabela3[[#This Row],[Data]])</f>
        <v>1900</v>
      </c>
      <c r="I1679" s="42" t="str">
        <f>_xlfn.XLOOKUP(J1679,'Centro de Custo'!J$2:J$13,'Centro de Custo'!K$2:K$13)</f>
        <v>Janeiro</v>
      </c>
      <c r="J1679" s="43">
        <f>MONTH(Tabela3[[#This Row],[Data]])</f>
        <v>1</v>
      </c>
      <c r="K1679" s="39">
        <f>SUM(E$3:Tabela3[[#This Row],[Valor]])</f>
        <v>4236027.08</v>
      </c>
      <c r="L1679" s="40">
        <f t="shared" si="26"/>
        <v>2.22375</v>
      </c>
      <c r="M1679" s="40"/>
      <c r="N1679" s="40"/>
      <c r="O1679" s="40"/>
      <c r="P1679" s="39"/>
      <c r="Q1679" s="39"/>
      <c r="R1679" s="39"/>
      <c r="S1679" s="39"/>
      <c r="T1679" s="39"/>
      <c r="V1679" t="b">
        <f>IF(Tabela3[[#This Row],[Pago]]&lt;&gt;"",IF(F1680="",Tabela3[[#This Row],[Saldo]],0))</f>
        <v>0</v>
      </c>
    </row>
    <row r="1680" spans="2:22" x14ac:dyDescent="0.25">
      <c r="B1680" s="37"/>
      <c r="C1680">
        <f>_xlfn.XLOOKUP(B1680,'Centro de Custo'!A$2:A$45,'Centro de Custo'!B$2:B$45)</f>
        <v>0</v>
      </c>
      <c r="E1680" s="39"/>
      <c r="F1680" s="40"/>
      <c r="G1680" s="41"/>
      <c r="H1680" s="42">
        <f>YEAR(Tabela3[[#This Row],[Data]])</f>
        <v>1900</v>
      </c>
      <c r="I1680" s="42" t="str">
        <f>_xlfn.XLOOKUP(J1680,'Centro de Custo'!J$2:J$13,'Centro de Custo'!K$2:K$13)</f>
        <v>Janeiro</v>
      </c>
      <c r="J1680" s="43">
        <f>MONTH(Tabela3[[#This Row],[Data]])</f>
        <v>1</v>
      </c>
      <c r="K1680" s="39">
        <f>SUM(E$3:Tabela3[[#This Row],[Valor]])</f>
        <v>4236027.08</v>
      </c>
      <c r="L1680" s="40">
        <f t="shared" si="26"/>
        <v>2.22375</v>
      </c>
      <c r="M1680" s="40"/>
      <c r="N1680" s="40"/>
      <c r="O1680" s="40"/>
      <c r="P1680" s="39"/>
      <c r="Q1680" s="39"/>
      <c r="R1680" s="39"/>
      <c r="S1680" s="39"/>
      <c r="T1680" s="39"/>
      <c r="V1680" t="b">
        <f>IF(Tabela3[[#This Row],[Pago]]&lt;&gt;"",IF(F1681="",Tabela3[[#This Row],[Saldo]],0))</f>
        <v>0</v>
      </c>
    </row>
    <row r="1681" spans="2:22" x14ac:dyDescent="0.25">
      <c r="B1681" s="37"/>
      <c r="C1681">
        <f>_xlfn.XLOOKUP(B1681,'Centro de Custo'!A$2:A$45,'Centro de Custo'!B$2:B$45)</f>
        <v>0</v>
      </c>
      <c r="E1681" s="39"/>
      <c r="F1681" s="40"/>
      <c r="G1681" s="41"/>
      <c r="H1681" s="42">
        <f>YEAR(Tabela3[[#This Row],[Data]])</f>
        <v>1900</v>
      </c>
      <c r="I1681" s="42" t="str">
        <f>_xlfn.XLOOKUP(J1681,'Centro de Custo'!J$2:J$13,'Centro de Custo'!K$2:K$13)</f>
        <v>Janeiro</v>
      </c>
      <c r="J1681" s="43">
        <f>MONTH(Tabela3[[#This Row],[Data]])</f>
        <v>1</v>
      </c>
      <c r="K1681" s="39">
        <f>SUM(E$3:Tabela3[[#This Row],[Valor]])</f>
        <v>4236027.08</v>
      </c>
      <c r="L1681" s="40">
        <f t="shared" si="26"/>
        <v>2.22375</v>
      </c>
      <c r="M1681" s="40"/>
      <c r="N1681" s="40"/>
      <c r="O1681" s="40"/>
      <c r="P1681" s="39"/>
      <c r="Q1681" s="39"/>
      <c r="R1681" s="39"/>
      <c r="S1681" s="39"/>
      <c r="T1681" s="39"/>
      <c r="V1681" t="b">
        <f>IF(Tabela3[[#This Row],[Pago]]&lt;&gt;"",IF(F1682="",Tabela3[[#This Row],[Saldo]],0))</f>
        <v>0</v>
      </c>
    </row>
    <row r="1682" spans="2:22" x14ac:dyDescent="0.25">
      <c r="B1682" s="37"/>
      <c r="C1682">
        <f>_xlfn.XLOOKUP(B1682,'Centro de Custo'!A$2:A$45,'Centro de Custo'!B$2:B$45)</f>
        <v>0</v>
      </c>
      <c r="E1682" s="39"/>
      <c r="F1682" s="40"/>
      <c r="G1682" s="41"/>
      <c r="H1682" s="42">
        <f>YEAR(Tabela3[[#This Row],[Data]])</f>
        <v>1900</v>
      </c>
      <c r="I1682" s="42" t="str">
        <f>_xlfn.XLOOKUP(J1682,'Centro de Custo'!J$2:J$13,'Centro de Custo'!K$2:K$13)</f>
        <v>Janeiro</v>
      </c>
      <c r="J1682" s="43">
        <f>MONTH(Tabela3[[#This Row],[Data]])</f>
        <v>1</v>
      </c>
      <c r="K1682" s="39">
        <f>SUM(E$3:Tabela3[[#This Row],[Valor]])</f>
        <v>4236027.08</v>
      </c>
      <c r="L1682" s="40">
        <f t="shared" si="26"/>
        <v>2.22375</v>
      </c>
      <c r="M1682" s="40"/>
      <c r="N1682" s="40"/>
      <c r="O1682" s="40"/>
      <c r="P1682" s="39"/>
      <c r="Q1682" s="39"/>
      <c r="R1682" s="39"/>
      <c r="S1682" s="39"/>
      <c r="T1682" s="39"/>
      <c r="V1682" t="b">
        <f>IF(Tabela3[[#This Row],[Pago]]&lt;&gt;"",IF(F1683="",Tabela3[[#This Row],[Saldo]],0))</f>
        <v>0</v>
      </c>
    </row>
    <row r="1683" spans="2:22" x14ac:dyDescent="0.25">
      <c r="B1683" s="37"/>
      <c r="C1683">
        <f>_xlfn.XLOOKUP(B1683,'Centro de Custo'!A$2:A$45,'Centro de Custo'!B$2:B$45)</f>
        <v>0</v>
      </c>
      <c r="E1683" s="39"/>
      <c r="F1683" s="40"/>
      <c r="G1683" s="41"/>
      <c r="H1683" s="42">
        <f>YEAR(Tabela3[[#This Row],[Data]])</f>
        <v>1900</v>
      </c>
      <c r="I1683" s="42" t="str">
        <f>_xlfn.XLOOKUP(J1683,'Centro de Custo'!J$2:J$13,'Centro de Custo'!K$2:K$13)</f>
        <v>Janeiro</v>
      </c>
      <c r="J1683" s="43">
        <f>MONTH(Tabela3[[#This Row],[Data]])</f>
        <v>1</v>
      </c>
      <c r="K1683" s="39">
        <f>SUM(E$3:Tabela3[[#This Row],[Valor]])</f>
        <v>4236027.08</v>
      </c>
      <c r="L1683" s="40">
        <f t="shared" si="26"/>
        <v>2.22375</v>
      </c>
      <c r="M1683" s="40"/>
      <c r="N1683" s="40"/>
      <c r="O1683" s="40"/>
      <c r="P1683" s="39"/>
      <c r="Q1683" s="39"/>
      <c r="R1683" s="39"/>
      <c r="S1683" s="39"/>
      <c r="T1683" s="39"/>
      <c r="V1683" t="b">
        <f>IF(Tabela3[[#This Row],[Pago]]&lt;&gt;"",IF(F1684="",Tabela3[[#This Row],[Saldo]],0))</f>
        <v>0</v>
      </c>
    </row>
    <row r="1684" spans="2:22" x14ac:dyDescent="0.25">
      <c r="B1684" s="37"/>
      <c r="C1684">
        <f>_xlfn.XLOOKUP(B1684,'Centro de Custo'!A$2:A$45,'Centro de Custo'!B$2:B$45)</f>
        <v>0</v>
      </c>
      <c r="E1684" s="39"/>
      <c r="F1684" s="40"/>
      <c r="G1684" s="41"/>
      <c r="H1684" s="42">
        <f>YEAR(Tabela3[[#This Row],[Data]])</f>
        <v>1900</v>
      </c>
      <c r="I1684" s="42" t="str">
        <f>_xlfn.XLOOKUP(J1684,'Centro de Custo'!J$2:J$13,'Centro de Custo'!K$2:K$13)</f>
        <v>Janeiro</v>
      </c>
      <c r="J1684" s="43">
        <f>MONTH(Tabela3[[#This Row],[Data]])</f>
        <v>1</v>
      </c>
      <c r="K1684" s="39">
        <f>SUM(E$3:Tabela3[[#This Row],[Valor]])</f>
        <v>4236027.08</v>
      </c>
      <c r="L1684" s="40">
        <f t="shared" si="26"/>
        <v>2.22375</v>
      </c>
      <c r="M1684" s="40"/>
      <c r="N1684" s="40"/>
      <c r="O1684" s="40"/>
      <c r="P1684" s="39"/>
      <c r="Q1684" s="39"/>
      <c r="R1684" s="39"/>
      <c r="S1684" s="39"/>
      <c r="T1684" s="39"/>
      <c r="V1684" t="b">
        <f>IF(Tabela3[[#This Row],[Pago]]&lt;&gt;"",IF(F1685="",Tabela3[[#This Row],[Saldo]],0))</f>
        <v>0</v>
      </c>
    </row>
    <row r="1685" spans="2:22" x14ac:dyDescent="0.25">
      <c r="B1685" s="37"/>
      <c r="C1685">
        <f>_xlfn.XLOOKUP(B1685,'Centro de Custo'!A$2:A$45,'Centro de Custo'!B$2:B$45)</f>
        <v>0</v>
      </c>
      <c r="E1685" s="39"/>
      <c r="F1685" s="40"/>
      <c r="G1685" s="41"/>
      <c r="H1685" s="42">
        <f>YEAR(Tabela3[[#This Row],[Data]])</f>
        <v>1900</v>
      </c>
      <c r="I1685" s="42" t="str">
        <f>_xlfn.XLOOKUP(J1685,'Centro de Custo'!J$2:J$13,'Centro de Custo'!K$2:K$13)</f>
        <v>Janeiro</v>
      </c>
      <c r="J1685" s="43">
        <f>MONTH(Tabela3[[#This Row],[Data]])</f>
        <v>1</v>
      </c>
      <c r="K1685" s="39">
        <f>SUM(E$3:Tabela3[[#This Row],[Valor]])</f>
        <v>4236027.08</v>
      </c>
      <c r="L1685" s="40">
        <f t="shared" si="26"/>
        <v>2.22375</v>
      </c>
      <c r="M1685" s="40"/>
      <c r="N1685" s="40"/>
      <c r="O1685" s="40"/>
      <c r="P1685" s="39"/>
      <c r="Q1685" s="39"/>
      <c r="R1685" s="39"/>
      <c r="S1685" s="39"/>
      <c r="T1685" s="39"/>
      <c r="V1685" t="b">
        <f>IF(Tabela3[[#This Row],[Pago]]&lt;&gt;"",IF(F1686="",Tabela3[[#This Row],[Saldo]],0))</f>
        <v>0</v>
      </c>
    </row>
    <row r="1686" spans="2:22" x14ac:dyDescent="0.25">
      <c r="B1686" s="37"/>
      <c r="C1686">
        <f>_xlfn.XLOOKUP(B1686,'Centro de Custo'!A$2:A$45,'Centro de Custo'!B$2:B$45)</f>
        <v>0</v>
      </c>
      <c r="E1686" s="39"/>
      <c r="F1686" s="40"/>
      <c r="G1686" s="41"/>
      <c r="H1686" s="42">
        <f>YEAR(Tabela3[[#This Row],[Data]])</f>
        <v>1900</v>
      </c>
      <c r="I1686" s="42" t="str">
        <f>_xlfn.XLOOKUP(J1686,'Centro de Custo'!J$2:J$13,'Centro de Custo'!K$2:K$13)</f>
        <v>Janeiro</v>
      </c>
      <c r="J1686" s="43">
        <f>MONTH(Tabela3[[#This Row],[Data]])</f>
        <v>1</v>
      </c>
      <c r="K1686" s="39">
        <f>SUM(E$3:Tabela3[[#This Row],[Valor]])</f>
        <v>4236027.08</v>
      </c>
      <c r="L1686" s="40">
        <f t="shared" si="26"/>
        <v>2.22375</v>
      </c>
      <c r="M1686" s="40"/>
      <c r="N1686" s="40"/>
      <c r="O1686" s="40"/>
      <c r="P1686" s="39"/>
      <c r="Q1686" s="39"/>
      <c r="R1686" s="39"/>
      <c r="S1686" s="39"/>
      <c r="T1686" s="39"/>
      <c r="V1686" t="b">
        <f>IF(Tabela3[[#This Row],[Pago]]&lt;&gt;"",IF(F1687="",Tabela3[[#This Row],[Saldo]],0))</f>
        <v>0</v>
      </c>
    </row>
    <row r="1687" spans="2:22" x14ac:dyDescent="0.25">
      <c r="B1687" s="37"/>
      <c r="C1687">
        <f>_xlfn.XLOOKUP(B1687,'Centro de Custo'!A$2:A$45,'Centro de Custo'!B$2:B$45)</f>
        <v>0</v>
      </c>
      <c r="E1687" s="39"/>
      <c r="F1687" s="40"/>
      <c r="G1687" s="41"/>
      <c r="H1687" s="42">
        <f>YEAR(Tabela3[[#This Row],[Data]])</f>
        <v>1900</v>
      </c>
      <c r="I1687" s="42" t="str">
        <f>_xlfn.XLOOKUP(J1687,'Centro de Custo'!J$2:J$13,'Centro de Custo'!K$2:K$13)</f>
        <v>Janeiro</v>
      </c>
      <c r="J1687" s="43">
        <f>MONTH(Tabela3[[#This Row],[Data]])</f>
        <v>1</v>
      </c>
      <c r="K1687" s="39">
        <f>SUM(E$3:Tabela3[[#This Row],[Valor]])</f>
        <v>4236027.08</v>
      </c>
      <c r="L1687" s="40">
        <f t="shared" si="26"/>
        <v>2.22375</v>
      </c>
      <c r="M1687" s="40"/>
      <c r="N1687" s="40"/>
      <c r="O1687" s="40"/>
      <c r="P1687" s="39"/>
      <c r="Q1687" s="39"/>
      <c r="R1687" s="39"/>
      <c r="S1687" s="39"/>
      <c r="T1687" s="39"/>
      <c r="V1687" t="b">
        <f>IF(Tabela3[[#This Row],[Pago]]&lt;&gt;"",IF(F1688="",Tabela3[[#This Row],[Saldo]],0))</f>
        <v>0</v>
      </c>
    </row>
    <row r="1688" spans="2:22" x14ac:dyDescent="0.25">
      <c r="B1688" s="37"/>
      <c r="C1688">
        <f>_xlfn.XLOOKUP(B1688,'Centro de Custo'!A$2:A$45,'Centro de Custo'!B$2:B$45)</f>
        <v>0</v>
      </c>
      <c r="E1688" s="39"/>
      <c r="F1688" s="40"/>
      <c r="G1688" s="41"/>
      <c r="H1688" s="42">
        <f>YEAR(Tabela3[[#This Row],[Data]])</f>
        <v>1900</v>
      </c>
      <c r="I1688" s="42" t="str">
        <f>_xlfn.XLOOKUP(J1688,'Centro de Custo'!J$2:J$13,'Centro de Custo'!K$2:K$13)</f>
        <v>Janeiro</v>
      </c>
      <c r="J1688" s="43">
        <f>MONTH(Tabela3[[#This Row],[Data]])</f>
        <v>1</v>
      </c>
      <c r="K1688" s="39">
        <f>SUM(E$3:Tabela3[[#This Row],[Valor]])</f>
        <v>4236027.08</v>
      </c>
      <c r="L1688" s="40">
        <f t="shared" si="26"/>
        <v>2.22375</v>
      </c>
      <c r="M1688" s="40"/>
      <c r="N1688" s="40"/>
      <c r="O1688" s="40"/>
      <c r="P1688" s="39"/>
      <c r="Q1688" s="39"/>
      <c r="R1688" s="39"/>
      <c r="S1688" s="39"/>
      <c r="T1688" s="39"/>
      <c r="V1688" t="b">
        <f>IF(Tabela3[[#This Row],[Pago]]&lt;&gt;"",IF(F1689="",Tabela3[[#This Row],[Saldo]],0))</f>
        <v>0</v>
      </c>
    </row>
    <row r="1689" spans="2:22" x14ac:dyDescent="0.25">
      <c r="B1689" s="37"/>
      <c r="C1689">
        <f>_xlfn.XLOOKUP(B1689,'Centro de Custo'!A$2:A$45,'Centro de Custo'!B$2:B$45)</f>
        <v>0</v>
      </c>
      <c r="E1689" s="39"/>
      <c r="F1689" s="40"/>
      <c r="G1689" s="41"/>
      <c r="H1689" s="42">
        <f>YEAR(Tabela3[[#This Row],[Data]])</f>
        <v>1900</v>
      </c>
      <c r="I1689" s="42" t="str">
        <f>_xlfn.XLOOKUP(J1689,'Centro de Custo'!J$2:J$13,'Centro de Custo'!K$2:K$13)</f>
        <v>Janeiro</v>
      </c>
      <c r="J1689" s="43">
        <f>MONTH(Tabela3[[#This Row],[Data]])</f>
        <v>1</v>
      </c>
      <c r="K1689" s="39">
        <f>SUM(E$3:Tabela3[[#This Row],[Valor]])</f>
        <v>4236027.08</v>
      </c>
      <c r="L1689" s="40">
        <f t="shared" si="26"/>
        <v>2.22375</v>
      </c>
      <c r="M1689" s="40"/>
      <c r="N1689" s="40"/>
      <c r="O1689" s="40"/>
      <c r="P1689" s="39"/>
      <c r="Q1689" s="39"/>
      <c r="R1689" s="39"/>
      <c r="S1689" s="39"/>
      <c r="T1689" s="39"/>
      <c r="V1689" t="b">
        <f>IF(Tabela3[[#This Row],[Pago]]&lt;&gt;"",IF(F1690="",Tabela3[[#This Row],[Saldo]],0))</f>
        <v>0</v>
      </c>
    </row>
    <row r="1690" spans="2:22" x14ac:dyDescent="0.25">
      <c r="B1690" s="37"/>
      <c r="C1690">
        <f>_xlfn.XLOOKUP(B1690,'Centro de Custo'!A$2:A$45,'Centro de Custo'!B$2:B$45)</f>
        <v>0</v>
      </c>
      <c r="E1690" s="39"/>
      <c r="F1690" s="40"/>
      <c r="G1690" s="41"/>
      <c r="H1690" s="42">
        <f>YEAR(Tabela3[[#This Row],[Data]])</f>
        <v>1900</v>
      </c>
      <c r="I1690" s="42" t="str">
        <f>_xlfn.XLOOKUP(J1690,'Centro de Custo'!J$2:J$13,'Centro de Custo'!K$2:K$13)</f>
        <v>Janeiro</v>
      </c>
      <c r="J1690" s="43">
        <f>MONTH(Tabela3[[#This Row],[Data]])</f>
        <v>1</v>
      </c>
      <c r="K1690" s="39">
        <f>SUM(E$3:Tabela3[[#This Row],[Valor]])</f>
        <v>4236027.08</v>
      </c>
      <c r="L1690" s="40">
        <f t="shared" si="26"/>
        <v>2.22375</v>
      </c>
      <c r="M1690" s="40"/>
      <c r="N1690" s="40"/>
      <c r="O1690" s="40"/>
      <c r="P1690" s="39"/>
      <c r="Q1690" s="39"/>
      <c r="R1690" s="39"/>
      <c r="S1690" s="39"/>
      <c r="T1690" s="39"/>
      <c r="V1690" t="b">
        <f>IF(Tabela3[[#This Row],[Pago]]&lt;&gt;"",IF(F1691="",Tabela3[[#This Row],[Saldo]],0))</f>
        <v>0</v>
      </c>
    </row>
    <row r="1691" spans="2:22" x14ac:dyDescent="0.25">
      <c r="B1691" s="37"/>
      <c r="C1691">
        <f>_xlfn.XLOOKUP(B1691,'Centro de Custo'!A$2:A$45,'Centro de Custo'!B$2:B$45)</f>
        <v>0</v>
      </c>
      <c r="E1691" s="39"/>
      <c r="F1691" s="40"/>
      <c r="G1691" s="41"/>
      <c r="H1691" s="42">
        <f>YEAR(Tabela3[[#This Row],[Data]])</f>
        <v>1900</v>
      </c>
      <c r="I1691" s="42" t="str">
        <f>_xlfn.XLOOKUP(J1691,'Centro de Custo'!J$2:J$13,'Centro de Custo'!K$2:K$13)</f>
        <v>Janeiro</v>
      </c>
      <c r="J1691" s="43">
        <f>MONTH(Tabela3[[#This Row],[Data]])</f>
        <v>1</v>
      </c>
      <c r="K1691" s="39">
        <f>SUM(E$3:Tabela3[[#This Row],[Valor]])</f>
        <v>4236027.08</v>
      </c>
      <c r="L1691" s="40">
        <f t="shared" si="26"/>
        <v>2.22375</v>
      </c>
      <c r="M1691" s="40"/>
      <c r="N1691" s="40"/>
      <c r="O1691" s="40"/>
      <c r="P1691" s="39"/>
      <c r="Q1691" s="39"/>
      <c r="R1691" s="39"/>
      <c r="S1691" s="39"/>
      <c r="T1691" s="39"/>
      <c r="V1691" t="b">
        <f>IF(Tabela3[[#This Row],[Pago]]&lt;&gt;"",IF(F1692="",Tabela3[[#This Row],[Saldo]],0))</f>
        <v>0</v>
      </c>
    </row>
    <row r="1692" spans="2:22" x14ac:dyDescent="0.25">
      <c r="B1692" s="37"/>
      <c r="C1692">
        <f>_xlfn.XLOOKUP(B1692,'Centro de Custo'!A$2:A$45,'Centro de Custo'!B$2:B$45)</f>
        <v>0</v>
      </c>
      <c r="E1692" s="39"/>
      <c r="F1692" s="40"/>
      <c r="G1692" s="41"/>
      <c r="H1692" s="42">
        <f>YEAR(Tabela3[[#This Row],[Data]])</f>
        <v>1900</v>
      </c>
      <c r="I1692" s="42" t="str">
        <f>_xlfn.XLOOKUP(J1692,'Centro de Custo'!J$2:J$13,'Centro de Custo'!K$2:K$13)</f>
        <v>Janeiro</v>
      </c>
      <c r="J1692" s="43">
        <f>MONTH(Tabela3[[#This Row],[Data]])</f>
        <v>1</v>
      </c>
      <c r="K1692" s="39">
        <f>SUM(E$3:Tabela3[[#This Row],[Valor]])</f>
        <v>4236027.08</v>
      </c>
      <c r="L1692" s="40">
        <f t="shared" si="26"/>
        <v>2.22375</v>
      </c>
      <c r="M1692" s="40"/>
      <c r="N1692" s="40"/>
      <c r="O1692" s="40"/>
      <c r="P1692" s="39"/>
      <c r="Q1692" s="39"/>
      <c r="R1692" s="39"/>
      <c r="S1692" s="39"/>
      <c r="T1692" s="39"/>
      <c r="V1692" t="b">
        <f>IF(Tabela3[[#This Row],[Pago]]&lt;&gt;"",IF(F1693="",Tabela3[[#This Row],[Saldo]],0))</f>
        <v>0</v>
      </c>
    </row>
    <row r="1693" spans="2:22" x14ac:dyDescent="0.25">
      <c r="B1693" s="37"/>
      <c r="C1693">
        <f>_xlfn.XLOOKUP(B1693,'Centro de Custo'!A$2:A$45,'Centro de Custo'!B$2:B$45)</f>
        <v>0</v>
      </c>
      <c r="E1693" s="39"/>
      <c r="F1693" s="40"/>
      <c r="G1693" s="41"/>
      <c r="H1693" s="42">
        <f>YEAR(Tabela3[[#This Row],[Data]])</f>
        <v>1900</v>
      </c>
      <c r="I1693" s="42" t="str">
        <f>_xlfn.XLOOKUP(J1693,'Centro de Custo'!J$2:J$13,'Centro de Custo'!K$2:K$13)</f>
        <v>Janeiro</v>
      </c>
      <c r="J1693" s="43">
        <f>MONTH(Tabela3[[#This Row],[Data]])</f>
        <v>1</v>
      </c>
      <c r="K1693" s="39">
        <f>SUM(E$3:Tabela3[[#This Row],[Valor]])</f>
        <v>4236027.08</v>
      </c>
      <c r="L1693" s="40">
        <f t="shared" si="26"/>
        <v>2.22375</v>
      </c>
      <c r="M1693" s="40"/>
      <c r="N1693" s="40"/>
      <c r="O1693" s="40"/>
      <c r="P1693" s="39"/>
      <c r="Q1693" s="39"/>
      <c r="R1693" s="39"/>
      <c r="S1693" s="39"/>
      <c r="T1693" s="39"/>
      <c r="V1693" t="b">
        <f>IF(Tabela3[[#This Row],[Pago]]&lt;&gt;"",IF(F1694="",Tabela3[[#This Row],[Saldo]],0))</f>
        <v>0</v>
      </c>
    </row>
    <row r="1694" spans="2:22" x14ac:dyDescent="0.25">
      <c r="B1694" s="37"/>
      <c r="C1694">
        <f>_xlfn.XLOOKUP(B1694,'Centro de Custo'!A$2:A$45,'Centro de Custo'!B$2:B$45)</f>
        <v>0</v>
      </c>
      <c r="E1694" s="39"/>
      <c r="F1694" s="40"/>
      <c r="G1694" s="41"/>
      <c r="H1694" s="42">
        <f>YEAR(Tabela3[[#This Row],[Data]])</f>
        <v>1900</v>
      </c>
      <c r="I1694" s="42" t="str">
        <f>_xlfn.XLOOKUP(J1694,'Centro de Custo'!J$2:J$13,'Centro de Custo'!K$2:K$13)</f>
        <v>Janeiro</v>
      </c>
      <c r="J1694" s="43">
        <f>MONTH(Tabela3[[#This Row],[Data]])</f>
        <v>1</v>
      </c>
      <c r="K1694" s="39">
        <f>SUM(E$3:Tabela3[[#This Row],[Valor]])</f>
        <v>4236027.08</v>
      </c>
      <c r="L1694" s="40">
        <f t="shared" si="26"/>
        <v>2.22375</v>
      </c>
      <c r="M1694" s="40"/>
      <c r="N1694" s="40"/>
      <c r="O1694" s="40"/>
      <c r="P1694" s="39"/>
      <c r="Q1694" s="39"/>
      <c r="R1694" s="39"/>
      <c r="S1694" s="39"/>
      <c r="T1694" s="39"/>
      <c r="V1694" t="b">
        <f>IF(Tabela3[[#This Row],[Pago]]&lt;&gt;"",IF(F1695="",Tabela3[[#This Row],[Saldo]],0))</f>
        <v>0</v>
      </c>
    </row>
    <row r="1695" spans="2:22" x14ac:dyDescent="0.25">
      <c r="B1695" s="37"/>
      <c r="C1695">
        <f>_xlfn.XLOOKUP(B1695,'Centro de Custo'!A$2:A$45,'Centro de Custo'!B$2:B$45)</f>
        <v>0</v>
      </c>
      <c r="E1695" s="39"/>
      <c r="F1695" s="40"/>
      <c r="G1695" s="41"/>
      <c r="H1695" s="42">
        <f>YEAR(Tabela3[[#This Row],[Data]])</f>
        <v>1900</v>
      </c>
      <c r="I1695" s="42" t="str">
        <f>_xlfn.XLOOKUP(J1695,'Centro de Custo'!J$2:J$13,'Centro de Custo'!K$2:K$13)</f>
        <v>Janeiro</v>
      </c>
      <c r="J1695" s="43">
        <f>MONTH(Tabela3[[#This Row],[Data]])</f>
        <v>1</v>
      </c>
      <c r="K1695" s="39">
        <f>SUM(E$3:Tabela3[[#This Row],[Valor]])</f>
        <v>4236027.08</v>
      </c>
      <c r="L1695" s="40">
        <f t="shared" si="26"/>
        <v>2.22375</v>
      </c>
      <c r="M1695" s="40"/>
      <c r="N1695" s="40"/>
      <c r="O1695" s="40"/>
      <c r="P1695" s="39"/>
      <c r="Q1695" s="39"/>
      <c r="R1695" s="39"/>
      <c r="S1695" s="39"/>
      <c r="T1695" s="39"/>
      <c r="V1695" t="b">
        <f>IF(Tabela3[[#This Row],[Pago]]&lt;&gt;"",IF(F1696="",Tabela3[[#This Row],[Saldo]],0))</f>
        <v>0</v>
      </c>
    </row>
    <row r="1696" spans="2:22" x14ac:dyDescent="0.25">
      <c r="B1696" s="37"/>
      <c r="C1696">
        <f>_xlfn.XLOOKUP(B1696,'Centro de Custo'!A$2:A$45,'Centro de Custo'!B$2:B$45)</f>
        <v>0</v>
      </c>
      <c r="E1696" s="39"/>
      <c r="F1696" s="40"/>
      <c r="G1696" s="41"/>
      <c r="H1696" s="42">
        <f>YEAR(Tabela3[[#This Row],[Data]])</f>
        <v>1900</v>
      </c>
      <c r="I1696" s="42" t="str">
        <f>_xlfn.XLOOKUP(J1696,'Centro de Custo'!J$2:J$13,'Centro de Custo'!K$2:K$13)</f>
        <v>Janeiro</v>
      </c>
      <c r="J1696" s="43">
        <f>MONTH(Tabela3[[#This Row],[Data]])</f>
        <v>1</v>
      </c>
      <c r="K1696" s="39">
        <f>SUM(E$3:Tabela3[[#This Row],[Valor]])</f>
        <v>4236027.08</v>
      </c>
      <c r="L1696" s="40">
        <f t="shared" si="26"/>
        <v>2.22375</v>
      </c>
      <c r="M1696" s="40"/>
      <c r="N1696" s="40"/>
      <c r="O1696" s="40"/>
      <c r="P1696" s="39"/>
      <c r="Q1696" s="39"/>
      <c r="R1696" s="39"/>
      <c r="S1696" s="39"/>
      <c r="T1696" s="39"/>
      <c r="V1696" t="b">
        <f>IF(Tabela3[[#This Row],[Pago]]&lt;&gt;"",IF(F1697="",Tabela3[[#This Row],[Saldo]],0))</f>
        <v>0</v>
      </c>
    </row>
    <row r="1697" spans="2:22" x14ac:dyDescent="0.25">
      <c r="B1697" s="37"/>
      <c r="C1697">
        <f>_xlfn.XLOOKUP(B1697,'Centro de Custo'!A$2:A$45,'Centro de Custo'!B$2:B$45)</f>
        <v>0</v>
      </c>
      <c r="E1697" s="39"/>
      <c r="F1697" s="40"/>
      <c r="G1697" s="41"/>
      <c r="H1697" s="42">
        <f>YEAR(Tabela3[[#This Row],[Data]])</f>
        <v>1900</v>
      </c>
      <c r="I1697" s="42" t="str">
        <f>_xlfn.XLOOKUP(J1697,'Centro de Custo'!J$2:J$13,'Centro de Custo'!K$2:K$13)</f>
        <v>Janeiro</v>
      </c>
      <c r="J1697" s="43">
        <f>MONTH(Tabela3[[#This Row],[Data]])</f>
        <v>1</v>
      </c>
      <c r="K1697" s="39">
        <f>SUM(E$3:Tabela3[[#This Row],[Valor]])</f>
        <v>4236027.08</v>
      </c>
      <c r="L1697" s="40">
        <f t="shared" si="26"/>
        <v>2.22375</v>
      </c>
      <c r="M1697" s="40"/>
      <c r="N1697" s="40"/>
      <c r="O1697" s="40"/>
      <c r="P1697" s="39"/>
      <c r="Q1697" s="39"/>
      <c r="R1697" s="39"/>
      <c r="S1697" s="39"/>
      <c r="T1697" s="39"/>
      <c r="V1697" t="b">
        <f>IF(Tabela3[[#This Row],[Pago]]&lt;&gt;"",IF(F1698="",Tabela3[[#This Row],[Saldo]],0))</f>
        <v>0</v>
      </c>
    </row>
    <row r="1698" spans="2:22" x14ac:dyDescent="0.25">
      <c r="B1698" s="37"/>
      <c r="C1698">
        <f>_xlfn.XLOOKUP(B1698,'Centro de Custo'!A$2:A$45,'Centro de Custo'!B$2:B$45)</f>
        <v>0</v>
      </c>
      <c r="E1698" s="39"/>
      <c r="F1698" s="40"/>
      <c r="G1698" s="41"/>
      <c r="H1698" s="42">
        <f>YEAR(Tabela3[[#This Row],[Data]])</f>
        <v>1900</v>
      </c>
      <c r="I1698" s="42" t="str">
        <f>_xlfn.XLOOKUP(J1698,'Centro de Custo'!J$2:J$13,'Centro de Custo'!K$2:K$13)</f>
        <v>Janeiro</v>
      </c>
      <c r="J1698" s="43">
        <f>MONTH(Tabela3[[#This Row],[Data]])</f>
        <v>1</v>
      </c>
      <c r="K1698" s="39">
        <f>SUM(E$3:Tabela3[[#This Row],[Valor]])</f>
        <v>4236027.08</v>
      </c>
      <c r="L1698" s="40">
        <f t="shared" si="26"/>
        <v>2.22375</v>
      </c>
      <c r="M1698" s="40"/>
      <c r="N1698" s="40"/>
      <c r="O1698" s="40"/>
      <c r="P1698" s="39"/>
      <c r="Q1698" s="39"/>
      <c r="R1698" s="39"/>
      <c r="S1698" s="39"/>
      <c r="T1698" s="39"/>
      <c r="V1698" t="b">
        <f>IF(Tabela3[[#This Row],[Pago]]&lt;&gt;"",IF(F1699="",Tabela3[[#This Row],[Saldo]],0))</f>
        <v>0</v>
      </c>
    </row>
    <row r="1699" spans="2:22" x14ac:dyDescent="0.25">
      <c r="B1699" s="37"/>
      <c r="C1699">
        <f>_xlfn.XLOOKUP(B1699,'Centro de Custo'!A$2:A$45,'Centro de Custo'!B$2:B$45)</f>
        <v>0</v>
      </c>
      <c r="E1699" s="39"/>
      <c r="F1699" s="40"/>
      <c r="G1699" s="41"/>
      <c r="H1699" s="42">
        <f>YEAR(Tabela3[[#This Row],[Data]])</f>
        <v>1900</v>
      </c>
      <c r="I1699" s="42" t="str">
        <f>_xlfn.XLOOKUP(J1699,'Centro de Custo'!J$2:J$13,'Centro de Custo'!K$2:K$13)</f>
        <v>Janeiro</v>
      </c>
      <c r="J1699" s="43">
        <f>MONTH(Tabela3[[#This Row],[Data]])</f>
        <v>1</v>
      </c>
      <c r="K1699" s="39">
        <f>SUM(E$3:Tabela3[[#This Row],[Valor]])</f>
        <v>4236027.08</v>
      </c>
      <c r="L1699" s="40">
        <f t="shared" si="26"/>
        <v>2.22375</v>
      </c>
      <c r="M1699" s="40"/>
      <c r="N1699" s="40"/>
      <c r="O1699" s="40"/>
      <c r="P1699" s="39"/>
      <c r="Q1699" s="39"/>
      <c r="R1699" s="39"/>
      <c r="S1699" s="39"/>
      <c r="T1699" s="39"/>
      <c r="V1699" t="b">
        <f>IF(Tabela3[[#This Row],[Pago]]&lt;&gt;"",IF(F1700="",Tabela3[[#This Row],[Saldo]],0))</f>
        <v>0</v>
      </c>
    </row>
    <row r="1700" spans="2:22" x14ac:dyDescent="0.25">
      <c r="B1700" s="37"/>
      <c r="C1700">
        <f>_xlfn.XLOOKUP(B1700,'Centro de Custo'!A$2:A$45,'Centro de Custo'!B$2:B$45)</f>
        <v>0</v>
      </c>
      <c r="E1700" s="39"/>
      <c r="F1700" s="40"/>
      <c r="G1700" s="41"/>
      <c r="H1700" s="42">
        <f>YEAR(Tabela3[[#This Row],[Data]])</f>
        <v>1900</v>
      </c>
      <c r="I1700" s="42" t="str">
        <f>_xlfn.XLOOKUP(J1700,'Centro de Custo'!J$2:J$13,'Centro de Custo'!K$2:K$13)</f>
        <v>Janeiro</v>
      </c>
      <c r="J1700" s="43">
        <f>MONTH(Tabela3[[#This Row],[Data]])</f>
        <v>1</v>
      </c>
      <c r="K1700" s="39">
        <f>SUM(E$3:Tabela3[[#This Row],[Valor]])</f>
        <v>4236027.08</v>
      </c>
      <c r="L1700" s="40">
        <f t="shared" si="26"/>
        <v>2.22375</v>
      </c>
      <c r="M1700" s="40"/>
      <c r="N1700" s="40"/>
      <c r="O1700" s="40"/>
      <c r="P1700" s="39"/>
      <c r="Q1700" s="39"/>
      <c r="R1700" s="39"/>
      <c r="S1700" s="39"/>
      <c r="T1700" s="39"/>
      <c r="V1700" t="b">
        <f>IF(Tabela3[[#This Row],[Pago]]&lt;&gt;"",IF(F1701="",Tabela3[[#This Row],[Saldo]],0))</f>
        <v>0</v>
      </c>
    </row>
    <row r="1701" spans="2:22" x14ac:dyDescent="0.25">
      <c r="B1701" s="37"/>
      <c r="C1701">
        <f>_xlfn.XLOOKUP(B1701,'Centro de Custo'!A$2:A$45,'Centro de Custo'!B$2:B$45)</f>
        <v>0</v>
      </c>
      <c r="E1701" s="39"/>
      <c r="F1701" s="40"/>
      <c r="G1701" s="41"/>
      <c r="H1701" s="42">
        <f>YEAR(Tabela3[[#This Row],[Data]])</f>
        <v>1900</v>
      </c>
      <c r="I1701" s="42" t="str">
        <f>_xlfn.XLOOKUP(J1701,'Centro de Custo'!J$2:J$13,'Centro de Custo'!K$2:K$13)</f>
        <v>Janeiro</v>
      </c>
      <c r="J1701" s="43">
        <f>MONTH(Tabela3[[#This Row],[Data]])</f>
        <v>1</v>
      </c>
      <c r="K1701" s="39">
        <f>SUM(E$3:Tabela3[[#This Row],[Valor]])</f>
        <v>4236027.08</v>
      </c>
      <c r="L1701" s="40">
        <f t="shared" si="26"/>
        <v>2.22375</v>
      </c>
      <c r="M1701" s="40"/>
      <c r="N1701" s="40"/>
      <c r="O1701" s="40"/>
      <c r="P1701" s="39"/>
      <c r="Q1701" s="39"/>
      <c r="R1701" s="39"/>
      <c r="S1701" s="39"/>
      <c r="T1701" s="39"/>
      <c r="V1701" t="b">
        <f>IF(Tabela3[[#This Row],[Pago]]&lt;&gt;"",IF(F1702="",Tabela3[[#This Row],[Saldo]],0))</f>
        <v>0</v>
      </c>
    </row>
    <row r="1702" spans="2:22" x14ac:dyDescent="0.25">
      <c r="B1702" s="37"/>
      <c r="C1702">
        <f>_xlfn.XLOOKUP(B1702,'Centro de Custo'!A$2:A$45,'Centro de Custo'!B$2:B$45)</f>
        <v>0</v>
      </c>
      <c r="E1702" s="39"/>
      <c r="F1702" s="40"/>
      <c r="G1702" s="41"/>
      <c r="H1702" s="42">
        <f>YEAR(Tabela3[[#This Row],[Data]])</f>
        <v>1900</v>
      </c>
      <c r="I1702" s="42" t="str">
        <f>_xlfn.XLOOKUP(J1702,'Centro de Custo'!J$2:J$13,'Centro de Custo'!K$2:K$13)</f>
        <v>Janeiro</v>
      </c>
      <c r="J1702" s="43">
        <f>MONTH(Tabela3[[#This Row],[Data]])</f>
        <v>1</v>
      </c>
      <c r="K1702" s="39">
        <f>SUM(E$3:Tabela3[[#This Row],[Valor]])</f>
        <v>4236027.08</v>
      </c>
      <c r="L1702" s="40">
        <f t="shared" si="26"/>
        <v>2.22375</v>
      </c>
      <c r="M1702" s="40"/>
      <c r="N1702" s="40"/>
      <c r="O1702" s="40"/>
      <c r="P1702" s="39"/>
      <c r="Q1702" s="39"/>
      <c r="R1702" s="39"/>
      <c r="S1702" s="39"/>
      <c r="T1702" s="39"/>
      <c r="V1702" t="b">
        <f>IF(Tabela3[[#This Row],[Pago]]&lt;&gt;"",IF(#REF!="",Tabela3[[#This Row],[Saldo]],0))</f>
        <v>0</v>
      </c>
    </row>
    <row r="1703" spans="1:15" x14ac:dyDescent="0.25">
      <c r="A1703" s="58"/>
      <c r="B1703" s="37"/>
      <c r="C1703">
        <f>_xlfn.XLOOKUP(B1703,'Centro de Custo'!A$2:A$45,'Centro de Custo'!B$2:B$45)</f>
        <v>0</v>
      </c>
      <c r="E1703" s="39"/>
      <c r="F1703" s="40"/>
      <c r="G1703" s="41"/>
      <c r="H1703" s="42">
        <f>YEAR(Tabela3[[#This Row],[Data]])</f>
        <v>1900</v>
      </c>
      <c r="I1703" s="42" t="str">
        <f>_xlfn.XLOOKUP(J1703,'Centro de Custo'!J$2:J$13,'Centro de Custo'!K$2:K$13)</f>
        <v>Janeiro</v>
      </c>
      <c r="J1703" s="43">
        <f>MONTH(Tabela3[[#This Row],[Data]])</f>
        <v>1</v>
      </c>
      <c r="K1703" s="39">
        <f>SUM(E$3:Tabela3[[#This Row],[Valor]])</f>
        <v>4236027.08</v>
      </c>
      <c r="L1703" s="40">
        <f t="shared" si="26"/>
        <v>2.22375</v>
      </c>
      <c r="M1703" s="40"/>
      <c r="N1703" s="37"/>
      <c r="O1703" s="37"/>
    </row>
    <row r="1704" spans="1:15" x14ac:dyDescent="0.25">
      <c r="A1704" s="58"/>
      <c r="B1704" s="37"/>
      <c r="C1704">
        <f>_xlfn.XLOOKUP(B1704,'Centro de Custo'!A$2:A$45,'Centro de Custo'!B$2:B$45)</f>
        <v>0</v>
      </c>
      <c r="E1704" s="39"/>
      <c r="F1704" s="40"/>
      <c r="G1704" s="41"/>
      <c r="H1704" s="42">
        <f>YEAR(Tabela3[[#This Row],[Data]])</f>
        <v>1900</v>
      </c>
      <c r="I1704" s="42" t="str">
        <f>_xlfn.XLOOKUP(J1704,'Centro de Custo'!J$2:J$13,'Centro de Custo'!K$2:K$13)</f>
        <v>Janeiro</v>
      </c>
      <c r="J1704" s="43">
        <f>MONTH(Tabela3[[#This Row],[Data]])</f>
        <v>1</v>
      </c>
      <c r="K1704" s="39">
        <f>SUM(E$3:Tabela3[[#This Row],[Valor]])</f>
        <v>4236027.08</v>
      </c>
      <c r="L1704" s="40">
        <f t="shared" si="26"/>
        <v>2.22375</v>
      </c>
      <c r="M1704" s="40"/>
      <c r="N1704" s="37"/>
      <c r="O1704" s="37"/>
    </row>
    <row r="1705" spans="1:15" x14ac:dyDescent="0.25">
      <c r="A1705" s="58"/>
      <c r="B1705" s="37"/>
      <c r="C1705">
        <f>_xlfn.XLOOKUP(B1705,'Centro de Custo'!A$2:A$45,'Centro de Custo'!B$2:B$45)</f>
        <v>0</v>
      </c>
      <c r="E1705" s="39"/>
      <c r="F1705" s="40"/>
      <c r="G1705" s="41"/>
      <c r="H1705" s="42">
        <f>YEAR(Tabela3[[#This Row],[Data]])</f>
        <v>1900</v>
      </c>
      <c r="I1705" s="42" t="str">
        <f>_xlfn.XLOOKUP(J1705,'Centro de Custo'!J$2:J$13,'Centro de Custo'!K$2:K$13)</f>
        <v>Janeiro</v>
      </c>
      <c r="J1705" s="43">
        <f>MONTH(Tabela3[[#This Row],[Data]])</f>
        <v>1</v>
      </c>
      <c r="K1705" s="39">
        <f>SUM(E$3:Tabela3[[#This Row],[Valor]])</f>
        <v>4236027.08</v>
      </c>
      <c r="L1705" s="40">
        <f t="shared" si="26"/>
        <v>2.22375</v>
      </c>
      <c r="M1705" s="40"/>
      <c r="N1705" s="37"/>
      <c r="O1705" s="37"/>
    </row>
    <row r="1706" spans="1:15" x14ac:dyDescent="0.25">
      <c r="A1706" s="58"/>
      <c r="B1706" s="37"/>
      <c r="C1706">
        <f>_xlfn.XLOOKUP(B1706,'Centro de Custo'!A$2:A$45,'Centro de Custo'!B$2:B$45)</f>
        <v>0</v>
      </c>
      <c r="E1706" s="39"/>
      <c r="F1706" s="40"/>
      <c r="G1706" s="41"/>
      <c r="H1706" s="42">
        <f>YEAR(Tabela3[[#This Row],[Data]])</f>
        <v>1900</v>
      </c>
      <c r="I1706" s="42" t="str">
        <f>_xlfn.XLOOKUP(J1706,'Centro de Custo'!J$2:J$13,'Centro de Custo'!K$2:K$13)</f>
        <v>Janeiro</v>
      </c>
      <c r="J1706" s="43">
        <f>MONTH(Tabela3[[#This Row],[Data]])</f>
        <v>1</v>
      </c>
      <c r="K1706" s="39">
        <f>SUM(E$3:Tabela3[[#This Row],[Valor]])</f>
        <v>4236027.08</v>
      </c>
      <c r="L1706" s="40">
        <f t="shared" si="26"/>
        <v>2.22375</v>
      </c>
      <c r="M1706" s="40"/>
      <c r="N1706" s="37"/>
      <c r="O1706" s="37"/>
    </row>
    <row r="1707" spans="2:15" x14ac:dyDescent="0.25">
      <c r="B1707" s="37"/>
      <c r="C1707">
        <f>_xlfn.XLOOKUP(B1707,'Centro de Custo'!A$2:A$45,'Centro de Custo'!B$2:B$45)</f>
        <v>0</v>
      </c>
      <c r="E1707" s="39"/>
      <c r="F1707" s="40"/>
      <c r="G1707" s="41"/>
      <c r="H1707" s="42">
        <f>YEAR(Tabela3[[#This Row],[Data]])</f>
        <v>1900</v>
      </c>
      <c r="I1707" s="42" t="str">
        <f>_xlfn.XLOOKUP(J1707,'Centro de Custo'!J$2:J$13,'Centro de Custo'!K$2:K$13)</f>
        <v>Janeiro</v>
      </c>
      <c r="J1707" s="43">
        <f>MONTH(Tabela3[[#This Row],[Data]])</f>
        <v>1</v>
      </c>
      <c r="K1707" s="39">
        <f>SUM(E$3:Tabela3[[#This Row],[Valor]])</f>
        <v>4236027.08</v>
      </c>
      <c r="L1707" s="40">
        <f t="shared" si="26"/>
        <v>2.22375</v>
      </c>
      <c r="M1707" s="40"/>
      <c r="N1707" s="37"/>
      <c r="O1707" s="37"/>
    </row>
    <row r="1708" spans="2:15" x14ac:dyDescent="0.25">
      <c r="B1708" s="37"/>
      <c r="C1708">
        <f>_xlfn.XLOOKUP(B1708,'Centro de Custo'!A$2:A$45,'Centro de Custo'!B$2:B$45)</f>
        <v>0</v>
      </c>
      <c r="E1708" s="39"/>
      <c r="F1708" s="40"/>
      <c r="G1708" s="41"/>
      <c r="H1708" s="42">
        <f>YEAR(Tabela3[[#This Row],[Data]])</f>
        <v>1900</v>
      </c>
      <c r="I1708" s="42" t="str">
        <f>_xlfn.XLOOKUP(J1708,'Centro de Custo'!J$2:J$13,'Centro de Custo'!K$2:K$13)</f>
        <v>Janeiro</v>
      </c>
      <c r="J1708" s="43">
        <f>MONTH(Tabela3[[#This Row],[Data]])</f>
        <v>1</v>
      </c>
      <c r="K1708" s="39">
        <f>SUM(E$3:Tabela3[[#This Row],[Valor]])</f>
        <v>4236027.08</v>
      </c>
      <c r="L1708" s="40">
        <f t="shared" si="26"/>
        <v>2.22375</v>
      </c>
      <c r="M1708" s="40"/>
      <c r="N1708" s="37"/>
      <c r="O1708" s="37"/>
    </row>
    <row r="1709" spans="2:15" x14ac:dyDescent="0.25">
      <c r="B1709" s="37"/>
      <c r="C1709">
        <f>_xlfn.XLOOKUP(B1709,'Centro de Custo'!A$2:A$45,'Centro de Custo'!B$2:B$45)</f>
        <v>0</v>
      </c>
      <c r="E1709" s="39"/>
      <c r="F1709" s="40"/>
      <c r="G1709" s="41"/>
      <c r="H1709" s="42">
        <f>YEAR(Tabela3[[#This Row],[Data]])</f>
        <v>1900</v>
      </c>
      <c r="I1709" s="42" t="str">
        <f>_xlfn.XLOOKUP(J1709,'Centro de Custo'!J$2:J$13,'Centro de Custo'!K$2:K$13)</f>
        <v>Janeiro</v>
      </c>
      <c r="J1709" s="43">
        <f>MONTH(Tabela3[[#This Row],[Data]])</f>
        <v>1</v>
      </c>
      <c r="K1709" s="39">
        <f>SUM(E$3:Tabela3[[#This Row],[Valor]])</f>
        <v>4236027.08</v>
      </c>
      <c r="L1709" s="40">
        <f t="shared" si="26"/>
        <v>2.22375</v>
      </c>
      <c r="M1709" s="40"/>
      <c r="N1709" s="37"/>
      <c r="O1709" s="37"/>
    </row>
    <row r="1710" spans="2:15" x14ac:dyDescent="0.25">
      <c r="B1710" s="37"/>
      <c r="C1710">
        <f>_xlfn.XLOOKUP(B1710,'Centro de Custo'!A$2:A$45,'Centro de Custo'!B$2:B$45)</f>
        <v>0</v>
      </c>
      <c r="E1710" s="39"/>
      <c r="F1710" s="40"/>
      <c r="G1710" s="41"/>
      <c r="H1710" s="42">
        <f>YEAR(Tabela3[[#This Row],[Data]])</f>
        <v>1900</v>
      </c>
      <c r="I1710" s="42" t="str">
        <f>_xlfn.XLOOKUP(J1710,'Centro de Custo'!J$2:J$13,'Centro de Custo'!K$2:K$13)</f>
        <v>Janeiro</v>
      </c>
      <c r="J1710" s="43">
        <f>MONTH(Tabela3[[#This Row],[Data]])</f>
        <v>1</v>
      </c>
      <c r="K1710" s="39">
        <f>SUM(E$3:Tabela3[[#This Row],[Valor]])</f>
        <v>4236027.08</v>
      </c>
      <c r="L1710" s="40">
        <f t="shared" si="26"/>
        <v>2.22375</v>
      </c>
      <c r="M1710" s="40"/>
      <c r="N1710" s="37"/>
      <c r="O1710" s="37"/>
    </row>
    <row r="1711" spans="2:15" x14ac:dyDescent="0.25">
      <c r="B1711" s="37"/>
      <c r="C1711">
        <f>_xlfn.XLOOKUP(B1711,'Centro de Custo'!A$2:A$45,'Centro de Custo'!B$2:B$45)</f>
        <v>0</v>
      </c>
      <c r="E1711" s="39"/>
      <c r="F1711" s="40"/>
      <c r="G1711" s="41"/>
      <c r="H1711" s="42">
        <f>YEAR(Tabela3[[#This Row],[Data]])</f>
        <v>1900</v>
      </c>
      <c r="I1711" s="42" t="str">
        <f>_xlfn.XLOOKUP(J1711,'Centro de Custo'!J$2:J$13,'Centro de Custo'!K$2:K$13)</f>
        <v>Janeiro</v>
      </c>
      <c r="J1711" s="43">
        <f>MONTH(Tabela3[[#This Row],[Data]])</f>
        <v>1</v>
      </c>
      <c r="K1711" s="39">
        <f>SUM(E$3:Tabela3[[#This Row],[Valor]])</f>
        <v>4236027.08</v>
      </c>
      <c r="L1711" s="40">
        <f t="shared" si="26"/>
        <v>2.22375</v>
      </c>
      <c r="M1711" s="40"/>
      <c r="N1711" s="37"/>
      <c r="O1711" s="37"/>
    </row>
    <row r="1712" spans="2:15" x14ac:dyDescent="0.25">
      <c r="B1712" s="37"/>
      <c r="C1712">
        <f>_xlfn.XLOOKUP(B1712,'Centro de Custo'!A$2:A$45,'Centro de Custo'!B$2:B$45)</f>
        <v>0</v>
      </c>
      <c r="E1712" s="39"/>
      <c r="F1712" s="40"/>
      <c r="G1712" s="41"/>
      <c r="H1712" s="42">
        <f>YEAR(Tabela3[[#This Row],[Data]])</f>
        <v>1900</v>
      </c>
      <c r="I1712" s="42" t="str">
        <f>_xlfn.XLOOKUP(J1712,'Centro de Custo'!J$2:J$13,'Centro de Custo'!K$2:K$13)</f>
        <v>Janeiro</v>
      </c>
      <c r="J1712" s="43">
        <f>MONTH(Tabela3[[#This Row],[Data]])</f>
        <v>1</v>
      </c>
      <c r="K1712" s="39">
        <f>SUM(E$3:Tabela3[[#This Row],[Valor]])</f>
        <v>4236027.08</v>
      </c>
      <c r="L1712" s="40">
        <f t="shared" si="26"/>
        <v>2.22375</v>
      </c>
      <c r="M1712" s="40"/>
      <c r="N1712" s="37"/>
      <c r="O1712" s="37"/>
    </row>
    <row r="1713" spans="2:15" x14ac:dyDescent="0.25">
      <c r="B1713" s="37"/>
      <c r="C1713">
        <f>_xlfn.XLOOKUP(B1713,'Centro de Custo'!A$2:A$45,'Centro de Custo'!B$2:B$45)</f>
        <v>0</v>
      </c>
      <c r="E1713" s="39"/>
      <c r="F1713" s="40"/>
      <c r="G1713" s="41"/>
      <c r="H1713" s="42">
        <f>YEAR(Tabela3[[#This Row],[Data]])</f>
        <v>1900</v>
      </c>
      <c r="I1713" s="42" t="str">
        <f>_xlfn.XLOOKUP(J1713,'Centro de Custo'!J$2:J$13,'Centro de Custo'!K$2:K$13)</f>
        <v>Janeiro</v>
      </c>
      <c r="J1713" s="43">
        <f>MONTH(Tabela3[[#This Row],[Data]])</f>
        <v>1</v>
      </c>
      <c r="K1713" s="39">
        <f>SUM(E$3:Tabela3[[#This Row],[Valor]])</f>
        <v>4236027.08</v>
      </c>
      <c r="L1713" s="40">
        <f t="shared" si="26"/>
        <v>2.22375</v>
      </c>
      <c r="M1713" s="40"/>
      <c r="N1713" s="37"/>
      <c r="O1713" s="37"/>
    </row>
    <row r="1714" spans="2:15" x14ac:dyDescent="0.25">
      <c r="B1714" s="37"/>
      <c r="C1714">
        <f>_xlfn.XLOOKUP(B1714,'Centro de Custo'!A$2:A$45,'Centro de Custo'!B$2:B$45)</f>
        <v>0</v>
      </c>
      <c r="E1714" s="39"/>
      <c r="F1714" s="40"/>
      <c r="G1714" s="41"/>
      <c r="H1714" s="42">
        <f>YEAR(Tabela3[[#This Row],[Data]])</f>
        <v>1900</v>
      </c>
      <c r="I1714" s="42" t="str">
        <f>_xlfn.XLOOKUP(J1714,'Centro de Custo'!J$2:J$13,'Centro de Custo'!K$2:K$13)</f>
        <v>Janeiro</v>
      </c>
      <c r="J1714" s="43">
        <f>MONTH(Tabela3[[#This Row],[Data]])</f>
        <v>1</v>
      </c>
      <c r="K1714" s="39">
        <f>SUM(E$3:Tabela3[[#This Row],[Valor]])</f>
        <v>4236027.08</v>
      </c>
      <c r="L1714" s="40">
        <f t="shared" si="26"/>
        <v>2.22375</v>
      </c>
      <c r="M1714" s="37"/>
      <c r="N1714" s="37"/>
      <c r="O1714" s="37"/>
    </row>
    <row r="1715" spans="2:15" x14ac:dyDescent="0.25">
      <c r="B1715" s="37"/>
      <c r="C1715">
        <f>_xlfn.XLOOKUP(B1715,'Centro de Custo'!A$2:A$45,'Centro de Custo'!B$2:B$45)</f>
        <v>0</v>
      </c>
      <c r="E1715" s="39"/>
      <c r="F1715" s="40"/>
      <c r="G1715" s="41"/>
      <c r="H1715" s="42">
        <f>YEAR(Tabela3[[#This Row],[Data]])</f>
        <v>1900</v>
      </c>
      <c r="I1715" s="42" t="str">
        <f>_xlfn.XLOOKUP(J1715,'Centro de Custo'!J$2:J$13,'Centro de Custo'!K$2:K$13)</f>
        <v>Janeiro</v>
      </c>
      <c r="J1715" s="43">
        <f>MONTH(Tabela3[[#This Row],[Data]])</f>
        <v>1</v>
      </c>
      <c r="K1715" s="39">
        <f>SUM(E$3:Tabela3[[#This Row],[Valor]])</f>
        <v>4236027.08</v>
      </c>
      <c r="L1715" s="40">
        <f t="shared" si="26"/>
        <v>2.22375</v>
      </c>
      <c r="M1715" s="37"/>
      <c r="N1715" s="37"/>
      <c r="O1715" s="37"/>
    </row>
    <row r="1716" spans="2:15" x14ac:dyDescent="0.25">
      <c r="B1716" s="37"/>
      <c r="C1716">
        <f>_xlfn.XLOOKUP(B1716,'Centro de Custo'!A$2:A$45,'Centro de Custo'!B$2:B$45)</f>
        <v>0</v>
      </c>
      <c r="E1716" s="39"/>
      <c r="F1716" s="40"/>
      <c r="G1716" s="41"/>
      <c r="H1716" s="42">
        <f>YEAR(Tabela3[[#This Row],[Data]])</f>
        <v>1900</v>
      </c>
      <c r="I1716" s="42" t="str">
        <f>_xlfn.XLOOKUP(J1716,'Centro de Custo'!J$2:J$13,'Centro de Custo'!K$2:K$13)</f>
        <v>Janeiro</v>
      </c>
      <c r="J1716" s="43">
        <f>MONTH(Tabela3[[#This Row],[Data]])</f>
        <v>1</v>
      </c>
      <c r="K1716" s="39">
        <f>SUM(E$3:Tabela3[[#This Row],[Valor]])</f>
        <v>4236027.08</v>
      </c>
      <c r="L1716" s="40">
        <f t="shared" si="26"/>
        <v>2.22375</v>
      </c>
      <c r="M1716" s="37"/>
      <c r="N1716" s="37"/>
      <c r="O1716" s="37"/>
    </row>
    <row r="1717" spans="2:15" x14ac:dyDescent="0.25">
      <c r="B1717" s="37"/>
      <c r="C1717">
        <f>_xlfn.XLOOKUP(B1717,'Centro de Custo'!A$2:A$45,'Centro de Custo'!B$2:B$45)</f>
        <v>0</v>
      </c>
      <c r="E1717" s="39"/>
      <c r="F1717" s="40"/>
      <c r="G1717" s="41"/>
      <c r="H1717" s="42">
        <f>YEAR(Tabela3[[#This Row],[Data]])</f>
        <v>1900</v>
      </c>
      <c r="I1717" s="42" t="str">
        <f>_xlfn.XLOOKUP(J1717,'Centro de Custo'!J$2:J$13,'Centro de Custo'!K$2:K$13)</f>
        <v>Janeiro</v>
      </c>
      <c r="J1717" s="43">
        <f>MONTH(Tabela3[[#This Row],[Data]])</f>
        <v>1</v>
      </c>
      <c r="K1717" s="39">
        <f>SUM(E$3:Tabela3[[#This Row],[Valor]])</f>
        <v>4236027.08</v>
      </c>
      <c r="L1717" s="40">
        <f t="shared" si="26"/>
        <v>2.22375</v>
      </c>
      <c r="M1717" s="37"/>
      <c r="N1717" s="37"/>
      <c r="O1717" s="37"/>
    </row>
    <row r="1718" spans="2:15" x14ac:dyDescent="0.25">
      <c r="B1718" s="37"/>
      <c r="E1718" s="39"/>
      <c r="F1718" s="40"/>
      <c r="G1718" s="41"/>
      <c r="H1718" s="42">
        <f>YEAR(Tabela3[[#This Row],[Data]])</f>
        <v>1900</v>
      </c>
      <c r="I1718" s="42" t="str">
        <f>_xlfn.XLOOKUP(J1718,'Centro de Custo'!J$2:J$13,'Centro de Custo'!K$2:K$13)</f>
        <v>Janeiro</v>
      </c>
      <c r="J1718" s="43">
        <f>MONTH(Tabela3[[#This Row],[Data]])</f>
        <v>1</v>
      </c>
      <c r="K1718" s="39">
        <f>SUM(E$3:Tabela3[[#This Row],[Valor]])</f>
        <v>4236027.08</v>
      </c>
      <c r="L1718" s="40">
        <f t="shared" si="26"/>
        <v>2.22375</v>
      </c>
      <c r="M1718" s="37"/>
      <c r="N1718" s="37"/>
      <c r="O1718" s="37"/>
    </row>
  </sheetData>
  <mergeCells count="1">
    <mergeCell ref="A1:K1"/>
  </mergeCells>
  <pageMargins left="0.511811024" right="0.511811024" top="0.787401575" bottom="0.787401575" header="0.31496062" footer="0.3149606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4F4D6"/>
  </sheetPr>
  <dimension ref="A3:K140"/>
  <sheetViews>
    <sheetView workbookViewId="0" zoomScale="167" zoomScaleNormal="100">
      <selection activeCell="A10" sqref="A10"/>
    </sheetView>
  </sheetViews>
  <sheetFormatPr defaultRowHeight="15.75" outlineLevelRow="0" outlineLevelCol="0" x14ac:dyDescent="0.25" defaultColWidth="11" customHeight="1"/>
  <cols>
    <col min="1" max="1" width="18.375" customWidth="1"/>
    <col min="2" max="2" width="12.875" customWidth="1"/>
    <col min="4" max="4" width="18.375" customWidth="1"/>
    <col min="5" max="5" width="12.875" customWidth="1"/>
    <col min="8" max="8" width="12.875" customWidth="1"/>
    <col min="10" max="10" width="17.375" customWidth="1"/>
    <col min="11" max="11" width="12.875" customWidth="1"/>
  </cols>
  <sheetData>
    <row r="3" spans="1:2" x14ac:dyDescent="0.25">
      <c r="A3" s="59" t="s">
        <v>640</v>
      </c>
      <c r="B3" t="s">
        <v>1</v>
      </c>
    </row>
    <row r="4" spans="1:11" x14ac:dyDescent="0.25">
      <c r="A4" s="44" t="s">
        <v>4</v>
      </c>
      <c r="B4" s="39">
        <v>774750</v>
      </c>
      <c r="D4" s="59" t="s">
        <v>640</v>
      </c>
      <c r="E4" t="s">
        <v>1</v>
      </c>
      <c r="G4" s="59" t="s">
        <v>640</v>
      </c>
      <c r="H4" t="s">
        <v>1</v>
      </c>
      <c r="J4" s="59" t="s">
        <v>640</v>
      </c>
      <c r="K4" t="s">
        <v>1</v>
      </c>
    </row>
    <row r="5" spans="1:11" x14ac:dyDescent="0.25">
      <c r="A5" s="44" t="s">
        <v>6</v>
      </c>
      <c r="B5" s="39">
        <v>12045370.98</v>
      </c>
      <c r="D5" s="60">
        <v>2024</v>
      </c>
      <c r="E5" s="39">
        <v>3582477.9900000016</v>
      </c>
      <c r="G5" s="44" t="s">
        <v>641</v>
      </c>
      <c r="H5" s="39">
        <v>-16603.940000000002</v>
      </c>
      <c r="J5" s="61">
        <v>45293</v>
      </c>
      <c r="K5" s="39">
        <v>-61000</v>
      </c>
    </row>
    <row r="6" spans="1:11" x14ac:dyDescent="0.25">
      <c r="A6" s="44" t="s">
        <v>8</v>
      </c>
      <c r="B6" s="39">
        <v>-992850.73</v>
      </c>
      <c r="D6" s="60" t="s">
        <v>32</v>
      </c>
      <c r="E6" s="39">
        <v>3582477.9900000016</v>
      </c>
      <c r="G6" s="44" t="s">
        <v>642</v>
      </c>
      <c r="H6" s="39">
        <v>-20867.439999999995</v>
      </c>
      <c r="J6" s="61">
        <v>45294</v>
      </c>
      <c r="K6" s="39">
        <v>-34000</v>
      </c>
    </row>
    <row r="7" spans="1:11" x14ac:dyDescent="0.25">
      <c r="A7" s="44" t="s">
        <v>17</v>
      </c>
      <c r="B7" s="39">
        <v>-903216.9699999997</v>
      </c>
      <c r="G7" s="44" t="s">
        <v>643</v>
      </c>
      <c r="H7" s="39">
        <v>233378.93999999997</v>
      </c>
      <c r="J7" s="61">
        <v>45295</v>
      </c>
      <c r="K7" s="39">
        <v>-39600</v>
      </c>
    </row>
    <row r="8" spans="1:11" x14ac:dyDescent="0.25">
      <c r="A8" s="44" t="s">
        <v>18</v>
      </c>
      <c r="B8" s="39">
        <v>-80000</v>
      </c>
      <c r="G8" s="44" t="s">
        <v>644</v>
      </c>
      <c r="H8" s="39">
        <v>-169340.51999999993</v>
      </c>
      <c r="J8" s="61">
        <v>45300</v>
      </c>
      <c r="K8" s="39">
        <v>-1978.09</v>
      </c>
    </row>
    <row r="9" spans="1:11" x14ac:dyDescent="0.25">
      <c r="A9" s="44" t="s">
        <v>19</v>
      </c>
      <c r="B9" s="39">
        <v>-9096500</v>
      </c>
      <c r="G9" s="44" t="s">
        <v>645</v>
      </c>
      <c r="H9" s="39">
        <v>-158896.06000000003</v>
      </c>
      <c r="J9" s="61">
        <v>45316</v>
      </c>
      <c r="K9" s="39">
        <v>-25.85</v>
      </c>
    </row>
    <row r="10" spans="1:11" x14ac:dyDescent="0.25">
      <c r="A10" s="44" t="s">
        <v>20</v>
      </c>
      <c r="B10" s="39">
        <v>-101841.84000000001</v>
      </c>
      <c r="C10" t="s">
        <v>646</v>
      </c>
      <c r="G10" s="44" t="s">
        <v>647</v>
      </c>
      <c r="H10" s="39">
        <v>3250.3099999999977</v>
      </c>
      <c r="J10" s="61">
        <v>45320</v>
      </c>
      <c r="K10" s="39">
        <v>120000</v>
      </c>
    </row>
    <row r="11" spans="1:11" x14ac:dyDescent="0.25">
      <c r="A11" s="44" t="s">
        <v>21</v>
      </c>
      <c r="B11" s="39">
        <v>-14850000</v>
      </c>
      <c r="G11" s="44" t="s">
        <v>648</v>
      </c>
      <c r="H11" s="39">
        <v>86646.24999999996</v>
      </c>
      <c r="J11" s="61">
        <v>45324</v>
      </c>
      <c r="K11" s="39">
        <v>-718</v>
      </c>
    </row>
    <row r="12" spans="1:11" x14ac:dyDescent="0.25">
      <c r="A12" s="44" t="s">
        <v>22</v>
      </c>
      <c r="B12" s="39">
        <v>16725179.14</v>
      </c>
      <c r="G12" s="44" t="s">
        <v>649</v>
      </c>
      <c r="H12" s="39">
        <v>-64187.03999999998</v>
      </c>
      <c r="J12" s="61">
        <v>45327</v>
      </c>
      <c r="K12" s="39">
        <v>-1612.59</v>
      </c>
    </row>
    <row r="13" spans="1:11" x14ac:dyDescent="0.25">
      <c r="A13" s="44" t="s">
        <v>23</v>
      </c>
      <c r="B13" s="39">
        <v>827322.1</v>
      </c>
      <c r="G13" s="44" t="s">
        <v>650</v>
      </c>
      <c r="H13" s="39">
        <v>68585.95000000042</v>
      </c>
      <c r="J13" s="61">
        <v>45328</v>
      </c>
      <c r="K13" s="39">
        <v>-68000</v>
      </c>
    </row>
    <row r="14" spans="1:11" x14ac:dyDescent="0.25">
      <c r="A14" s="44" t="s">
        <v>24</v>
      </c>
      <c r="B14" s="39">
        <v>-82056.31</v>
      </c>
      <c r="G14" s="44" t="s">
        <v>651</v>
      </c>
      <c r="H14" s="39">
        <v>-43415.21000000045</v>
      </c>
      <c r="J14" s="61">
        <v>45329</v>
      </c>
      <c r="K14" s="39">
        <v>-7391</v>
      </c>
    </row>
    <row r="15" spans="1:11" x14ac:dyDescent="0.25">
      <c r="A15" s="44" t="s">
        <v>25</v>
      </c>
      <c r="B15" s="39">
        <v>-286140</v>
      </c>
      <c r="G15" s="44" t="s">
        <v>652</v>
      </c>
      <c r="H15" s="39">
        <v>-444611.08999999973</v>
      </c>
      <c r="J15" s="61">
        <v>45330</v>
      </c>
      <c r="K15" s="39">
        <v>-13000</v>
      </c>
    </row>
    <row r="16" spans="1:11" x14ac:dyDescent="0.25">
      <c r="A16" s="44" t="s">
        <v>27</v>
      </c>
      <c r="B16" s="39">
        <v>-54710.58</v>
      </c>
      <c r="G16" s="44" t="s">
        <v>653</v>
      </c>
      <c r="H16" s="39">
        <v>4108537.8400000003</v>
      </c>
      <c r="J16" s="61">
        <v>45337</v>
      </c>
      <c r="K16" s="39">
        <v>-30000</v>
      </c>
    </row>
    <row r="17" spans="1:11" x14ac:dyDescent="0.25">
      <c r="A17" s="44" t="s">
        <v>28</v>
      </c>
      <c r="B17" s="39">
        <v>-5270</v>
      </c>
      <c r="G17" s="44" t="s">
        <v>32</v>
      </c>
      <c r="H17" s="39">
        <v>3582477.9900000007</v>
      </c>
      <c r="J17" s="61">
        <v>45338</v>
      </c>
      <c r="K17" s="39">
        <v>100800</v>
      </c>
    </row>
    <row r="18" spans="1:11" x14ac:dyDescent="0.25">
      <c r="A18" s="44" t="s">
        <v>29</v>
      </c>
      <c r="B18" s="39">
        <v>-47080.75</v>
      </c>
      <c r="J18" s="61">
        <v>45345</v>
      </c>
      <c r="K18" s="39">
        <v>-280</v>
      </c>
    </row>
    <row r="19" spans="1:11" x14ac:dyDescent="0.25">
      <c r="A19" s="44" t="s">
        <v>30</v>
      </c>
      <c r="B19" s="39">
        <v>-259028.05</v>
      </c>
      <c r="J19" s="61">
        <v>45348</v>
      </c>
      <c r="K19" s="39">
        <v>-25.85</v>
      </c>
    </row>
    <row r="20" spans="1:11" x14ac:dyDescent="0.25">
      <c r="A20" s="44" t="s">
        <v>31</v>
      </c>
      <c r="B20" s="39">
        <v>-31449</v>
      </c>
      <c r="J20" s="61">
        <v>45350</v>
      </c>
      <c r="K20" s="39">
        <v>-640</v>
      </c>
    </row>
    <row r="21" spans="1:11" x14ac:dyDescent="0.25">
      <c r="A21" s="44" t="s">
        <v>32</v>
      </c>
      <c r="B21" s="39">
        <v>3582477.990000002</v>
      </c>
      <c r="J21" s="61">
        <v>45352</v>
      </c>
      <c r="K21" s="39">
        <v>-50000</v>
      </c>
    </row>
    <row r="22" spans="10:11" x14ac:dyDescent="0.25">
      <c r="J22" s="61">
        <v>45355</v>
      </c>
      <c r="K22" s="39">
        <v>-334.27</v>
      </c>
    </row>
    <row r="23" spans="10:11" x14ac:dyDescent="0.25">
      <c r="J23" s="61">
        <v>45356</v>
      </c>
      <c r="K23" s="39">
        <v>-4567.5199999999995</v>
      </c>
    </row>
    <row r="24" spans="10:11" x14ac:dyDescent="0.25">
      <c r="J24" s="61">
        <v>45357</v>
      </c>
      <c r="K24" s="39">
        <v>54100</v>
      </c>
    </row>
    <row r="25" spans="10:11" x14ac:dyDescent="0.25">
      <c r="J25" s="61">
        <v>45358</v>
      </c>
      <c r="K25" s="39">
        <v>-52055.55</v>
      </c>
    </row>
    <row r="26" spans="10:11" x14ac:dyDescent="0.25">
      <c r="J26" s="61">
        <v>45359</v>
      </c>
      <c r="K26" s="39">
        <v>-6600</v>
      </c>
    </row>
    <row r="27" spans="10:11" x14ac:dyDescent="0.25">
      <c r="J27" s="61">
        <v>45362</v>
      </c>
      <c r="K27" s="39">
        <v>-16088</v>
      </c>
    </row>
    <row r="28" spans="10:11" x14ac:dyDescent="0.25">
      <c r="J28" s="61">
        <v>45363</v>
      </c>
      <c r="K28" s="39">
        <v>350000</v>
      </c>
    </row>
    <row r="29" spans="10:11" x14ac:dyDescent="0.25">
      <c r="J29" s="61">
        <v>45364</v>
      </c>
      <c r="K29" s="39">
        <v>-37186.44</v>
      </c>
    </row>
    <row r="30" spans="10:11" x14ac:dyDescent="0.25">
      <c r="J30" s="61">
        <v>45366</v>
      </c>
      <c r="K30" s="39">
        <v>-1899.06</v>
      </c>
    </row>
    <row r="31" spans="10:11" x14ac:dyDescent="0.25">
      <c r="J31" s="61">
        <v>45371</v>
      </c>
      <c r="K31" s="39">
        <v>-300</v>
      </c>
    </row>
    <row r="32" spans="10:11" x14ac:dyDescent="0.25">
      <c r="J32" s="61">
        <v>45373</v>
      </c>
      <c r="K32" s="39">
        <v>-273.96</v>
      </c>
    </row>
    <row r="33" spans="10:11" x14ac:dyDescent="0.25">
      <c r="J33" s="61">
        <v>45376</v>
      </c>
      <c r="K33" s="39">
        <v>-25.85</v>
      </c>
    </row>
    <row r="34" spans="10:11" x14ac:dyDescent="0.25">
      <c r="J34" s="61">
        <v>45377</v>
      </c>
      <c r="K34" s="39">
        <v>-1390.41</v>
      </c>
    </row>
    <row r="35" spans="10:11" x14ac:dyDescent="0.25">
      <c r="J35" s="61">
        <v>45385</v>
      </c>
      <c r="K35" s="39">
        <v>-76825.28</v>
      </c>
    </row>
    <row r="36" spans="10:11" x14ac:dyDescent="0.25">
      <c r="J36" s="61">
        <v>45387</v>
      </c>
      <c r="K36" s="39">
        <v>-4629</v>
      </c>
    </row>
    <row r="37" spans="10:11" x14ac:dyDescent="0.25">
      <c r="J37" s="61">
        <v>45392</v>
      </c>
      <c r="K37" s="39">
        <v>-20611.09</v>
      </c>
    </row>
    <row r="38" spans="10:11" x14ac:dyDescent="0.25">
      <c r="J38" s="61">
        <v>45394</v>
      </c>
      <c r="K38" s="39">
        <v>-1682</v>
      </c>
    </row>
    <row r="39" spans="10:11" x14ac:dyDescent="0.25">
      <c r="J39" s="61">
        <v>45397</v>
      </c>
      <c r="K39" s="39">
        <v>-4886.44</v>
      </c>
    </row>
    <row r="40" spans="10:11" x14ac:dyDescent="0.25">
      <c r="J40" s="61">
        <v>45398</v>
      </c>
      <c r="K40" s="39">
        <v>-968.52</v>
      </c>
    </row>
    <row r="41" spans="10:11" x14ac:dyDescent="0.25">
      <c r="J41" s="61">
        <v>45399</v>
      </c>
      <c r="K41" s="39">
        <v>-1225</v>
      </c>
    </row>
    <row r="42" spans="10:11" x14ac:dyDescent="0.25">
      <c r="J42" s="61">
        <v>45400</v>
      </c>
      <c r="K42" s="39">
        <v>-13148.339999999967</v>
      </c>
    </row>
    <row r="43" spans="10:11" x14ac:dyDescent="0.25">
      <c r="J43" s="61">
        <v>45401</v>
      </c>
      <c r="K43" s="39">
        <v>954689</v>
      </c>
    </row>
    <row r="44" spans="10:11" x14ac:dyDescent="0.25">
      <c r="J44" s="61">
        <v>45404</v>
      </c>
      <c r="K44" s="39">
        <v>-14</v>
      </c>
    </row>
    <row r="45" spans="10:11" x14ac:dyDescent="0.25">
      <c r="J45" s="61">
        <v>45405</v>
      </c>
      <c r="K45" s="39">
        <v>-7</v>
      </c>
    </row>
    <row r="46" spans="10:11" x14ac:dyDescent="0.25">
      <c r="J46" s="61">
        <v>45406</v>
      </c>
      <c r="K46" s="39">
        <v>-1000000</v>
      </c>
    </row>
    <row r="47" spans="10:11" x14ac:dyDescent="0.25">
      <c r="J47" s="61">
        <v>45407</v>
      </c>
      <c r="K47" s="39">
        <v>-32.85</v>
      </c>
    </row>
    <row r="48" spans="10:11" x14ac:dyDescent="0.25">
      <c r="J48" s="61">
        <v>45415</v>
      </c>
      <c r="K48" s="39">
        <v>-3354.48</v>
      </c>
    </row>
    <row r="49" spans="10:11" x14ac:dyDescent="0.25">
      <c r="J49" s="61">
        <v>45418</v>
      </c>
      <c r="K49" s="39">
        <v>-127311.75</v>
      </c>
    </row>
    <row r="50" spans="10:11" x14ac:dyDescent="0.25">
      <c r="J50" s="61">
        <v>45419</v>
      </c>
      <c r="K50" s="39">
        <v>-139.9</v>
      </c>
    </row>
    <row r="51" spans="10:11" x14ac:dyDescent="0.25">
      <c r="J51" s="61">
        <v>45421</v>
      </c>
      <c r="K51" s="39">
        <v>-5450.2300000000105</v>
      </c>
    </row>
    <row r="52" spans="10:11" x14ac:dyDescent="0.25">
      <c r="J52" s="61">
        <v>45422</v>
      </c>
      <c r="K52" s="39">
        <v>-4886.44</v>
      </c>
    </row>
    <row r="53" spans="10:11" x14ac:dyDescent="0.25">
      <c r="J53" s="61">
        <v>45427</v>
      </c>
      <c r="K53" s="39">
        <v>-1484.14</v>
      </c>
    </row>
    <row r="54" spans="10:11" x14ac:dyDescent="0.25">
      <c r="J54" s="61">
        <v>45432</v>
      </c>
      <c r="K54" s="39">
        <v>-973.27</v>
      </c>
    </row>
    <row r="55" spans="10:11" x14ac:dyDescent="0.25">
      <c r="J55" s="61">
        <v>45439</v>
      </c>
      <c r="K55" s="39">
        <v>-25.85</v>
      </c>
    </row>
    <row r="56" spans="10:11" x14ac:dyDescent="0.25">
      <c r="J56" s="61">
        <v>45440</v>
      </c>
      <c r="K56" s="39">
        <v>-15270</v>
      </c>
    </row>
    <row r="57" spans="10:11" x14ac:dyDescent="0.25">
      <c r="J57" s="61">
        <v>45446</v>
      </c>
      <c r="K57" s="39">
        <v>-688.77</v>
      </c>
    </row>
    <row r="58" spans="10:11" x14ac:dyDescent="0.25">
      <c r="J58" s="61">
        <v>45448</v>
      </c>
      <c r="K58" s="39">
        <v>-2062.1400000000003</v>
      </c>
    </row>
    <row r="59" spans="10:11" x14ac:dyDescent="0.25">
      <c r="J59" s="61">
        <v>45449</v>
      </c>
      <c r="K59" s="39">
        <v>0</v>
      </c>
    </row>
    <row r="60" spans="10:11" x14ac:dyDescent="0.25">
      <c r="J60" s="61">
        <v>45450</v>
      </c>
      <c r="K60" s="39">
        <v>0</v>
      </c>
    </row>
    <row r="61" spans="10:11" x14ac:dyDescent="0.25">
      <c r="J61" s="61">
        <v>45455</v>
      </c>
      <c r="K61" s="39">
        <v>15113.560000000001</v>
      </c>
    </row>
    <row r="62" spans="10:11" x14ac:dyDescent="0.25">
      <c r="J62" s="61">
        <v>45460</v>
      </c>
      <c r="K62" s="39">
        <v>-8196.5</v>
      </c>
    </row>
    <row r="63" spans="10:11" x14ac:dyDescent="0.25">
      <c r="J63" s="61">
        <v>45461</v>
      </c>
      <c r="K63" s="39">
        <v>-120</v>
      </c>
    </row>
    <row r="64" spans="10:11" x14ac:dyDescent="0.25">
      <c r="J64" s="61">
        <v>45467</v>
      </c>
      <c r="K64" s="39">
        <v>-770</v>
      </c>
    </row>
    <row r="65" spans="10:11" x14ac:dyDescent="0.25">
      <c r="J65" s="61">
        <v>45468</v>
      </c>
      <c r="K65" s="39">
        <v>-25.84</v>
      </c>
    </row>
    <row r="66" spans="10:11" x14ac:dyDescent="0.25">
      <c r="J66" s="61">
        <v>45476</v>
      </c>
      <c r="K66" s="39">
        <v>-166.35</v>
      </c>
    </row>
    <row r="67" spans="10:11" x14ac:dyDescent="0.25">
      <c r="J67" s="61">
        <v>45477</v>
      </c>
      <c r="K67" s="39">
        <v>17955.479999999996</v>
      </c>
    </row>
    <row r="68" spans="10:11" x14ac:dyDescent="0.25">
      <c r="J68" s="61">
        <v>45478</v>
      </c>
      <c r="K68" s="39">
        <v>-8101.699999999999</v>
      </c>
    </row>
    <row r="69" spans="10:11" x14ac:dyDescent="0.25">
      <c r="J69" s="61">
        <v>45485</v>
      </c>
      <c r="K69" s="39">
        <v>-5259.099999999999</v>
      </c>
    </row>
    <row r="70" spans="10:11" x14ac:dyDescent="0.25">
      <c r="J70" s="61">
        <v>45490</v>
      </c>
      <c r="K70" s="39">
        <v>-201.39</v>
      </c>
    </row>
    <row r="71" spans="10:11" x14ac:dyDescent="0.25">
      <c r="J71" s="61">
        <v>45495</v>
      </c>
      <c r="K71" s="39">
        <v>-5270</v>
      </c>
    </row>
    <row r="72" spans="10:11" x14ac:dyDescent="0.25">
      <c r="J72" s="61">
        <v>45498</v>
      </c>
      <c r="K72" s="39">
        <v>-525.84</v>
      </c>
    </row>
    <row r="73" spans="10:11" x14ac:dyDescent="0.25">
      <c r="J73" s="61">
        <v>45502</v>
      </c>
      <c r="K73" s="39">
        <v>-2850</v>
      </c>
    </row>
    <row r="74" spans="10:11" x14ac:dyDescent="0.25">
      <c r="J74" s="61">
        <v>45504</v>
      </c>
      <c r="K74" s="39">
        <v>91065.14999999997</v>
      </c>
    </row>
    <row r="75" spans="10:11" x14ac:dyDescent="0.25">
      <c r="J75" s="61">
        <v>45505</v>
      </c>
      <c r="K75" s="39">
        <v>-147.15</v>
      </c>
    </row>
    <row r="76" spans="10:11" x14ac:dyDescent="0.25">
      <c r="J76" s="61">
        <v>45509</v>
      </c>
      <c r="K76" s="39">
        <v>-93047.2</v>
      </c>
    </row>
    <row r="77" spans="10:11" x14ac:dyDescent="0.25">
      <c r="J77" s="61">
        <v>45510</v>
      </c>
      <c r="K77" s="39">
        <v>-250</v>
      </c>
    </row>
    <row r="78" spans="10:11" x14ac:dyDescent="0.25">
      <c r="J78" s="61">
        <v>45511</v>
      </c>
      <c r="K78" s="39">
        <v>73854.74000000002</v>
      </c>
    </row>
    <row r="79" spans="10:11" x14ac:dyDescent="0.25">
      <c r="J79" s="61">
        <v>45516</v>
      </c>
      <c r="K79" s="39">
        <v>-19886.44</v>
      </c>
    </row>
    <row r="80" spans="10:11" x14ac:dyDescent="0.25">
      <c r="J80" s="61">
        <v>45520</v>
      </c>
      <c r="K80" s="39">
        <v>-819.2199999999721</v>
      </c>
    </row>
    <row r="81" spans="10:11" x14ac:dyDescent="0.25">
      <c r="J81" s="61">
        <v>45523</v>
      </c>
      <c r="K81" s="39">
        <v>-26270.72</v>
      </c>
    </row>
    <row r="82" spans="10:11" x14ac:dyDescent="0.25">
      <c r="J82" s="61">
        <v>45524</v>
      </c>
      <c r="K82" s="39">
        <v>13144</v>
      </c>
    </row>
    <row r="83" spans="10:11" x14ac:dyDescent="0.25">
      <c r="J83" s="61">
        <v>45530</v>
      </c>
      <c r="K83" s="39">
        <v>-10025.85</v>
      </c>
    </row>
    <row r="84" spans="10:11" x14ac:dyDescent="0.25">
      <c r="J84" s="61">
        <v>45533</v>
      </c>
      <c r="K84" s="39">
        <v>-319.2</v>
      </c>
    </row>
    <row r="85" spans="10:11" x14ac:dyDescent="0.25">
      <c r="J85" s="61">
        <v>45534</v>
      </c>
      <c r="K85" s="39">
        <v>-420</v>
      </c>
    </row>
    <row r="86" spans="10:11" x14ac:dyDescent="0.25">
      <c r="J86" s="61">
        <v>45537</v>
      </c>
      <c r="K86" s="39">
        <v>-24800</v>
      </c>
    </row>
    <row r="87" spans="10:11" x14ac:dyDescent="0.25">
      <c r="J87" s="61">
        <v>45538</v>
      </c>
      <c r="K87" s="39">
        <v>-1226.1</v>
      </c>
    </row>
    <row r="88" spans="10:11" x14ac:dyDescent="0.25">
      <c r="J88" s="61">
        <v>45539</v>
      </c>
      <c r="K88" s="39">
        <v>166322.1</v>
      </c>
    </row>
    <row r="89" spans="10:11" x14ac:dyDescent="0.25">
      <c r="J89" s="61">
        <v>45540</v>
      </c>
      <c r="K89" s="39">
        <v>-54689.27999999956</v>
      </c>
    </row>
    <row r="90" spans="10:11" x14ac:dyDescent="0.25">
      <c r="J90" s="61">
        <v>45541</v>
      </c>
      <c r="K90" s="39">
        <v>0</v>
      </c>
    </row>
    <row r="91" spans="10:11" x14ac:dyDescent="0.25">
      <c r="J91" s="61">
        <v>45544</v>
      </c>
      <c r="K91" s="39">
        <v>-85337.34</v>
      </c>
    </row>
    <row r="92" spans="10:11" x14ac:dyDescent="0.25">
      <c r="J92" s="61">
        <v>45545</v>
      </c>
      <c r="K92" s="39">
        <v>-500</v>
      </c>
    </row>
    <row r="93" spans="10:11" x14ac:dyDescent="0.25">
      <c r="J93" s="61">
        <v>45546</v>
      </c>
      <c r="K93" s="39">
        <v>-30000</v>
      </c>
    </row>
    <row r="94" spans="10:11" x14ac:dyDescent="0.25">
      <c r="J94" s="61">
        <v>45551</v>
      </c>
      <c r="K94" s="39">
        <v>-743.12</v>
      </c>
    </row>
    <row r="95" spans="10:11" x14ac:dyDescent="0.25">
      <c r="J95" s="61">
        <v>45552</v>
      </c>
      <c r="K95" s="39">
        <v>200000</v>
      </c>
    </row>
    <row r="96" spans="10:11" x14ac:dyDescent="0.25">
      <c r="J96" s="61">
        <v>45553</v>
      </c>
      <c r="K96" s="39">
        <v>-7240</v>
      </c>
    </row>
    <row r="97" spans="10:11" x14ac:dyDescent="0.25">
      <c r="J97" s="61">
        <v>45555</v>
      </c>
      <c r="K97" s="39">
        <v>-265.3</v>
      </c>
    </row>
    <row r="98" spans="10:11" x14ac:dyDescent="0.25">
      <c r="J98" s="61">
        <v>45559</v>
      </c>
      <c r="K98" s="39">
        <v>-50488</v>
      </c>
    </row>
    <row r="99" spans="10:11" x14ac:dyDescent="0.25">
      <c r="J99" s="61">
        <v>45560</v>
      </c>
      <c r="K99" s="39">
        <v>-25.85</v>
      </c>
    </row>
    <row r="100" spans="10:11" x14ac:dyDescent="0.25">
      <c r="J100" s="61">
        <v>45561</v>
      </c>
      <c r="K100" s="39">
        <v>-12672.17</v>
      </c>
    </row>
    <row r="101" spans="10:11" x14ac:dyDescent="0.25">
      <c r="J101" s="61">
        <v>45562</v>
      </c>
      <c r="K101" s="39">
        <v>-16000</v>
      </c>
    </row>
    <row r="102" spans="10:11" x14ac:dyDescent="0.25">
      <c r="J102" s="61">
        <v>45565</v>
      </c>
      <c r="K102" s="39">
        <v>-13748.99</v>
      </c>
    </row>
    <row r="103" spans="10:11" x14ac:dyDescent="0.25">
      <c r="J103" s="61">
        <v>45566</v>
      </c>
      <c r="K103" s="39">
        <v>-64000</v>
      </c>
    </row>
    <row r="104" spans="10:11" x14ac:dyDescent="0.25">
      <c r="J104" s="61">
        <v>45567</v>
      </c>
      <c r="K104" s="39">
        <v>-639.9</v>
      </c>
    </row>
    <row r="105" spans="10:11" x14ac:dyDescent="0.25">
      <c r="J105" s="61">
        <v>45568</v>
      </c>
      <c r="K105" s="39">
        <v>-9378.67</v>
      </c>
    </row>
    <row r="106" spans="10:11" x14ac:dyDescent="0.25">
      <c r="J106" s="61">
        <v>45573</v>
      </c>
      <c r="K106" s="39">
        <v>-77.74</v>
      </c>
    </row>
    <row r="107" spans="10:11" x14ac:dyDescent="0.25">
      <c r="J107" s="61">
        <v>45574</v>
      </c>
      <c r="K107" s="39">
        <v>-11823.559999999998</v>
      </c>
    </row>
    <row r="108" spans="10:11" x14ac:dyDescent="0.25">
      <c r="J108" s="61">
        <v>45582</v>
      </c>
      <c r="K108" s="39">
        <v>-9280.460000000001</v>
      </c>
    </row>
    <row r="109" spans="10:11" x14ac:dyDescent="0.25">
      <c r="J109" s="61">
        <v>45587</v>
      </c>
      <c r="K109" s="39">
        <v>-803</v>
      </c>
    </row>
    <row r="110" spans="10:11" x14ac:dyDescent="0.25">
      <c r="J110" s="61">
        <v>45589</v>
      </c>
      <c r="K110" s="39">
        <v>9672.100000000006</v>
      </c>
    </row>
    <row r="111" spans="10:11" x14ac:dyDescent="0.25">
      <c r="J111" s="61">
        <v>45590</v>
      </c>
      <c r="K111" s="39">
        <v>99607.12999999989</v>
      </c>
    </row>
    <row r="112" spans="10:11" x14ac:dyDescent="0.25">
      <c r="J112" s="61">
        <v>45593</v>
      </c>
      <c r="K112" s="39">
        <v>-5206.23</v>
      </c>
    </row>
    <row r="113" spans="10:11" x14ac:dyDescent="0.25">
      <c r="J113" s="61">
        <v>45594</v>
      </c>
      <c r="K113" s="39">
        <v>-33000</v>
      </c>
    </row>
    <row r="114" spans="10:11" x14ac:dyDescent="0.25">
      <c r="J114" s="61">
        <v>45595</v>
      </c>
      <c r="K114" s="39">
        <v>-4598.4</v>
      </c>
    </row>
    <row r="115" spans="10:11" x14ac:dyDescent="0.25">
      <c r="J115" s="61">
        <v>45596</v>
      </c>
      <c r="K115" s="39">
        <v>-13886.48</v>
      </c>
    </row>
    <row r="116" spans="10:11" x14ac:dyDescent="0.25">
      <c r="J116" s="61">
        <v>45597</v>
      </c>
      <c r="K116" s="39">
        <v>-30000</v>
      </c>
    </row>
    <row r="117" spans="10:11" x14ac:dyDescent="0.25">
      <c r="J117" s="61">
        <v>45600</v>
      </c>
      <c r="K117" s="39">
        <v>-7005.39</v>
      </c>
    </row>
    <row r="118" spans="10:11" x14ac:dyDescent="0.25">
      <c r="J118" s="61">
        <v>45601</v>
      </c>
      <c r="K118" s="39">
        <v>-58</v>
      </c>
    </row>
    <row r="119" spans="10:11" x14ac:dyDescent="0.25">
      <c r="J119" s="61">
        <v>45602</v>
      </c>
      <c r="K119" s="39">
        <v>2023967.07</v>
      </c>
    </row>
    <row r="120" spans="10:11" x14ac:dyDescent="0.25">
      <c r="J120" s="61">
        <v>45603</v>
      </c>
      <c r="K120" s="39">
        <v>-190000</v>
      </c>
    </row>
    <row r="121" spans="10:11" x14ac:dyDescent="0.25">
      <c r="J121" s="61">
        <v>45604</v>
      </c>
      <c r="K121" s="39">
        <v>-35328</v>
      </c>
    </row>
    <row r="122" spans="10:11" x14ac:dyDescent="0.25">
      <c r="J122" s="61">
        <v>45605</v>
      </c>
      <c r="K122" s="39">
        <v>-171000</v>
      </c>
    </row>
    <row r="123" spans="10:11" x14ac:dyDescent="0.25">
      <c r="J123" s="61">
        <v>45607</v>
      </c>
      <c r="K123" s="39">
        <v>-1042000</v>
      </c>
    </row>
    <row r="124" spans="10:11" x14ac:dyDescent="0.25">
      <c r="J124" s="61">
        <v>45614</v>
      </c>
      <c r="K124" s="39">
        <v>-1231.71</v>
      </c>
    </row>
    <row r="125" spans="10:11" x14ac:dyDescent="0.25">
      <c r="J125" s="61">
        <v>45625</v>
      </c>
      <c r="K125" s="39">
        <v>-27763.34</v>
      </c>
    </row>
    <row r="126" spans="10:11" x14ac:dyDescent="0.25">
      <c r="J126" s="61">
        <v>45628</v>
      </c>
      <c r="K126" s="39">
        <v>63150.23</v>
      </c>
    </row>
    <row r="127" spans="10:11" x14ac:dyDescent="0.25">
      <c r="J127" s="61">
        <v>45632</v>
      </c>
      <c r="K127" s="39">
        <v>-21176.339999999997</v>
      </c>
    </row>
    <row r="128" spans="10:11" x14ac:dyDescent="0.25">
      <c r="J128" s="61">
        <v>45655</v>
      </c>
      <c r="K128" s="39">
        <v>-13748.99</v>
      </c>
    </row>
    <row r="129" spans="10:11" x14ac:dyDescent="0.25">
      <c r="J129" s="61">
        <v>45656</v>
      </c>
      <c r="K129" s="39">
        <v>3728000</v>
      </c>
    </row>
    <row r="130" spans="10:11" x14ac:dyDescent="0.25">
      <c r="J130" s="61">
        <v>45618</v>
      </c>
      <c r="K130" s="39">
        <v>-380000</v>
      </c>
    </row>
    <row r="131" spans="10:11" x14ac:dyDescent="0.25">
      <c r="J131" s="61">
        <v>45610</v>
      </c>
      <c r="K131" s="39">
        <v>-11092.37</v>
      </c>
    </row>
    <row r="132" spans="10:11" x14ac:dyDescent="0.25">
      <c r="J132" s="61">
        <v>45615</v>
      </c>
      <c r="K132" s="39">
        <v>-120000</v>
      </c>
    </row>
    <row r="133" spans="10:11" x14ac:dyDescent="0.25">
      <c r="J133" s="61">
        <v>45608</v>
      </c>
      <c r="K133" s="39">
        <v>-453000</v>
      </c>
    </row>
    <row r="134" spans="10:11" x14ac:dyDescent="0.25">
      <c r="J134" s="61">
        <v>45621</v>
      </c>
      <c r="K134" s="39">
        <v>-25.85</v>
      </c>
    </row>
    <row r="135" spans="10:11" x14ac:dyDescent="0.25">
      <c r="J135" s="61">
        <v>45623</v>
      </c>
      <c r="K135" s="39">
        <v>-73.5</v>
      </c>
    </row>
    <row r="136" spans="10:11" x14ac:dyDescent="0.25">
      <c r="J136" s="61">
        <v>45629</v>
      </c>
      <c r="K136" s="39">
        <v>-4620.75</v>
      </c>
    </row>
    <row r="137" spans="10:11" x14ac:dyDescent="0.25">
      <c r="J137" s="61">
        <v>45631</v>
      </c>
      <c r="K137" s="39">
        <v>-350</v>
      </c>
    </row>
    <row r="138" spans="10:11" x14ac:dyDescent="0.25">
      <c r="J138" s="61">
        <v>45635</v>
      </c>
      <c r="K138" s="39">
        <v>-41716.31</v>
      </c>
    </row>
    <row r="139" spans="10:11" x14ac:dyDescent="0.25">
      <c r="J139" s="61">
        <v>45657</v>
      </c>
      <c r="K139" s="39">
        <v>399000</v>
      </c>
    </row>
    <row r="140" spans="10:11" x14ac:dyDescent="0.25">
      <c r="J140" s="61" t="s">
        <v>32</v>
      </c>
      <c r="K140" s="39">
        <v>3582477.99</v>
      </c>
    </row>
  </sheetData>
  <pageMargins left="0.511811024" right="0.511811024" top="0.787401575" bottom="0.787401575" header="0.31496062" footer="0.3149606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8999908444471572"/>
  </sheetPr>
  <dimension ref="G2:AA42"/>
  <sheetViews>
    <sheetView workbookViewId="0" zoomScale="100" zoomScaleNormal="100">
      <selection activeCell="K2" sqref="K2"/>
    </sheetView>
  </sheetViews>
  <sheetFormatPr defaultRowHeight="15.75" outlineLevelRow="0" outlineLevelCol="0" x14ac:dyDescent="0.25" defaultColWidth="10.875" customHeight="1"/>
  <cols>
    <col min="1" max="6" width="10.875" style="1" customWidth="1"/>
    <col min="7" max="7" width="37.375" style="1" customWidth="1"/>
    <col min="8" max="8" width="21.5" style="1" customWidth="1"/>
    <col min="9" max="9" width="10.875" style="1" customWidth="1"/>
    <col min="10" max="10" width="21.625" style="2" customWidth="1"/>
    <col min="11" max="11" width="35.875" style="2" customWidth="1"/>
    <col min="12" max="12" width="24.5" style="2" customWidth="1"/>
    <col min="13" max="13" width="12" style="2" customWidth="1"/>
    <col min="14" max="15" width="10.875" style="2" customWidth="1"/>
    <col min="16" max="16384" width="10.875" style="1" customWidth="1"/>
  </cols>
  <sheetData>
    <row r="2" ht="26.25" customHeight="1" spans="7:16" x14ac:dyDescent="0.25">
      <c r="G2" s="3" t="s">
        <v>0</v>
      </c>
      <c r="H2" s="3" t="s">
        <v>1</v>
      </c>
      <c r="J2" s="4" t="s">
        <v>2</v>
      </c>
      <c r="K2" s="5"/>
      <c r="P2" s="6" t="s">
        <v>3</v>
      </c>
    </row>
    <row r="3" ht="26.25" customHeight="1" spans="7:16" x14ac:dyDescent="0.25">
      <c r="G3" s="7" t="s">
        <v>4</v>
      </c>
      <c r="H3" s="8">
        <v>774750</v>
      </c>
      <c r="J3" s="9" t="s">
        <v>5</v>
      </c>
      <c r="K3" s="10"/>
      <c r="L3" s="11">
        <f>_xlfn.XLOOKUP(K3,'Centro de Custo'!A2:A45,'Centro de Custo'!B2:B45)</f>
        <v>0</v>
      </c>
      <c r="P3" s="12">
        <v>1</v>
      </c>
    </row>
    <row r="4" ht="26.25" customHeight="1" spans="7:16" x14ac:dyDescent="0.25">
      <c r="G4" s="7" t="s">
        <v>6</v>
      </c>
      <c r="H4" s="8">
        <v>12045370.98</v>
      </c>
      <c r="J4" s="13" t="s">
        <v>7</v>
      </c>
      <c r="K4" s="14"/>
      <c r="P4" s="12" t="e">
        <f>_xlfn.XLOOKUP(P3,'Centro de Custo'!C2:C45,'Centro de Custo'!D2:D45)</f>
        <v>#N/A</v>
      </c>
    </row>
    <row r="5" ht="26.25" customHeight="1" spans="7:27" x14ac:dyDescent="0.25">
      <c r="G5" s="7" t="s">
        <v>8</v>
      </c>
      <c r="H5" s="8">
        <v>-992850.73</v>
      </c>
      <c r="J5" s="13" t="s">
        <v>9</v>
      </c>
      <c r="K5" s="15"/>
      <c r="L5" s="2" t="s">
        <v>10</v>
      </c>
      <c r="P5" s="12"/>
      <c r="R5" s="16" t="s">
        <v>2</v>
      </c>
      <c r="S5" s="17" t="s">
        <v>11</v>
      </c>
      <c r="T5" s="17" t="s">
        <v>0</v>
      </c>
      <c r="U5" s="17" t="s">
        <v>7</v>
      </c>
      <c r="V5" s="17" t="s">
        <v>9</v>
      </c>
      <c r="W5" s="17" t="s">
        <v>12</v>
      </c>
      <c r="X5" s="17" t="s">
        <v>13</v>
      </c>
      <c r="Y5" s="17" t="s">
        <v>14</v>
      </c>
      <c r="Z5" s="17" t="s">
        <v>15</v>
      </c>
      <c r="AA5" s="17" t="s">
        <v>16</v>
      </c>
    </row>
    <row r="6" ht="26.25" customHeight="1" spans="7:27" x14ac:dyDescent="0.25">
      <c r="G6" s="7" t="s">
        <v>17</v>
      </c>
      <c r="H6" s="8">
        <v>-903216.9699999997</v>
      </c>
      <c r="J6" s="13" t="s">
        <v>12</v>
      </c>
      <c r="K6" s="15"/>
      <c r="P6" s="18">
        <v>100000</v>
      </c>
      <c r="R6" s="19">
        <f>K2</f>
        <v>0</v>
      </c>
      <c r="S6" s="20">
        <f>K3</f>
        <v>0</v>
      </c>
      <c r="T6" s="21">
        <f>L3</f>
        <v>0</v>
      </c>
      <c r="U6" s="21">
        <f>K4</f>
        <v>0</v>
      </c>
      <c r="V6" s="22">
        <f>K5</f>
        <v>0</v>
      </c>
      <c r="W6" s="23">
        <f>IF(K6="","",K6)</f>
      </c>
      <c r="X6" s="24">
        <f>K7</f>
        <v>45985.590808912035</v>
      </c>
      <c r="Y6" s="25">
        <f>Q14</f>
        <v>2025</v>
      </c>
      <c r="Z6" s="25" t="str">
        <f>Q15</f>
        <v>Novembro</v>
      </c>
      <c r="AA6" s="26">
        <f>Q16</f>
        <v>11</v>
      </c>
    </row>
    <row r="7" ht="26.25" customHeight="1" spans="7:16" x14ac:dyDescent="0.25">
      <c r="G7" s="7" t="s">
        <v>18</v>
      </c>
      <c r="H7" s="8">
        <v>-80000</v>
      </c>
      <c r="J7" s="13" t="s">
        <v>13</v>
      </c>
      <c r="K7" s="27">
        <f>NOW()</f>
        <v>45985.590808912035</v>
      </c>
      <c r="P7" s="18" t="s">
        <v>10</v>
      </c>
    </row>
    <row r="8" ht="26.25" customHeight="1" spans="7:16" x14ac:dyDescent="0.25">
      <c r="G8" s="7" t="s">
        <v>19</v>
      </c>
      <c r="H8" s="8">
        <v>-9096500</v>
      </c>
      <c r="P8" s="28">
        <f>TODAY()</f>
        <v>45985</v>
      </c>
    </row>
    <row r="9" ht="26.25" customHeight="1" spans="7:16" x14ac:dyDescent="0.25">
      <c r="G9" s="7" t="s">
        <v>20</v>
      </c>
      <c r="H9" s="8">
        <v>-101841.84000000001</v>
      </c>
      <c r="P9" s="29">
        <f>YEAR(P8)</f>
        <v>2025</v>
      </c>
    </row>
    <row r="10" ht="26.25" customHeight="1" spans="7:16" x14ac:dyDescent="0.25">
      <c r="G10" s="7" t="s">
        <v>21</v>
      </c>
      <c r="H10" s="8">
        <v>-14850000</v>
      </c>
      <c r="J10" s="1"/>
      <c r="K10" s="1"/>
      <c r="P10" s="29" t="e">
        <f>_xlfn.XLOOKUP(P11,'Centro de Custo'!G2:G13,'Centro de Custo'!H2:H13)</f>
        <v>#N/A</v>
      </c>
    </row>
    <row r="11" ht="26.25" customHeight="1" spans="7:16" x14ac:dyDescent="0.25">
      <c r="G11" s="7" t="s">
        <v>22</v>
      </c>
      <c r="H11" s="8">
        <v>16725179.14</v>
      </c>
      <c r="J11" s="1"/>
      <c r="K11" s="1"/>
      <c r="P11" s="29">
        <f>MONTH(P8)</f>
        <v>11</v>
      </c>
    </row>
    <row r="12" ht="26.25" customHeight="1" spans="7:12" x14ac:dyDescent="0.25">
      <c r="G12" s="7" t="s">
        <v>23</v>
      </c>
      <c r="H12" s="8">
        <v>827322.1</v>
      </c>
      <c r="J12" s="1"/>
      <c r="K12" s="1"/>
      <c r="L12" s="1"/>
    </row>
    <row r="13" ht="26.25" customHeight="1" spans="7:12" x14ac:dyDescent="0.25">
      <c r="G13" s="7" t="s">
        <v>24</v>
      </c>
      <c r="H13" s="8">
        <v>-82056.31</v>
      </c>
      <c r="J13" s="1"/>
      <c r="K13" s="1"/>
      <c r="L13" s="1"/>
    </row>
    <row r="14" ht="36" customHeight="1" spans="7:17" x14ac:dyDescent="0.25">
      <c r="G14" s="7" t="s">
        <v>25</v>
      </c>
      <c r="H14" s="8">
        <v>-286140</v>
      </c>
      <c r="J14" s="30" t="s">
        <v>26</v>
      </c>
      <c r="K14" s="31" t="str">
        <f>Dados!V1</f>
        <v>unimde</v>
      </c>
      <c r="L14" s="1"/>
      <c r="P14" s="32" t="s">
        <v>14</v>
      </c>
      <c r="Q14" s="33">
        <f>YEAR(K7)</f>
        <v>2025</v>
      </c>
    </row>
    <row r="15" ht="26.25" customHeight="1" spans="7:17" x14ac:dyDescent="0.25">
      <c r="G15" s="7" t="s">
        <v>27</v>
      </c>
      <c r="H15" s="8">
        <v>-54710.58</v>
      </c>
      <c r="J15" s="1"/>
      <c r="K15" s="1"/>
      <c r="P15" s="32" t="s">
        <v>15</v>
      </c>
      <c r="Q15" s="33" t="str">
        <f>_xlfn.XLOOKUP(Q16,'Centro de Custo'!J2:J13,'Centro de Custo'!K2:K13)</f>
        <v>Novembro</v>
      </c>
    </row>
    <row r="16" ht="26.25" customHeight="1" spans="7:17" x14ac:dyDescent="0.25">
      <c r="G16" s="7" t="s">
        <v>28</v>
      </c>
      <c r="H16" s="8">
        <v>-5270</v>
      </c>
      <c r="J16" s="1"/>
      <c r="K16" s="1"/>
      <c r="P16" s="32" t="s">
        <v>16</v>
      </c>
      <c r="Q16" s="33">
        <f>MONTH(K7)</f>
        <v>11</v>
      </c>
    </row>
    <row r="17" ht="26.25" customHeight="1" spans="7:11" x14ac:dyDescent="0.25">
      <c r="G17" s="7" t="s">
        <v>29</v>
      </c>
      <c r="H17" s="8">
        <v>-47080.75</v>
      </c>
      <c r="J17" s="1"/>
      <c r="K17" s="1"/>
    </row>
    <row r="18" ht="26.25" customHeight="1" spans="7:12" x14ac:dyDescent="0.25">
      <c r="G18" s="7" t="s">
        <v>30</v>
      </c>
      <c r="H18" s="8">
        <v>-259028.05</v>
      </c>
      <c r="J18" s="1"/>
      <c r="K18" s="34"/>
      <c r="L18" s="1"/>
    </row>
    <row r="19" ht="26.25" customHeight="1" spans="7:12" x14ac:dyDescent="0.25">
      <c r="G19" s="7" t="s">
        <v>31</v>
      </c>
      <c r="H19" s="8">
        <v>-31449</v>
      </c>
      <c r="J19" s="1"/>
      <c r="K19" s="34"/>
      <c r="L19" s="1"/>
    </row>
    <row r="20" ht="26.25" customHeight="1" spans="7:12" x14ac:dyDescent="0.25">
      <c r="G20" s="7" t="s">
        <v>32</v>
      </c>
      <c r="H20" s="8">
        <v>3582477.990000002</v>
      </c>
      <c r="J20" s="35"/>
      <c r="K20" s="34"/>
      <c r="L20" s="1"/>
    </row>
    <row r="21" spans="10:12" x14ac:dyDescent="0.25">
      <c r="J21" s="35"/>
      <c r="K21" s="34"/>
      <c r="L21" s="1"/>
    </row>
    <row r="22" ht="26.25" customHeight="1" spans="7:12" x14ac:dyDescent="0.25">
      <c r="G22" s="8" t="s">
        <v>33</v>
      </c>
      <c r="H22" s="8">
        <v>137730.73</v>
      </c>
      <c r="J22" s="36"/>
      <c r="K22" s="34"/>
      <c r="L22" s="1"/>
    </row>
    <row r="23" ht="26.25" customHeight="1" spans="7:12" x14ac:dyDescent="0.25">
      <c r="G23" s="8" t="s">
        <v>34</v>
      </c>
      <c r="H23" s="8">
        <f>H22+GETPIVOTDATA("Valor",$G$2)</f>
        <v>3720208.720000002</v>
      </c>
      <c r="J23" s="35"/>
      <c r="K23" s="34"/>
      <c r="L23" s="1"/>
    </row>
    <row r="24" ht="26.25" customHeight="1" spans="7:12" x14ac:dyDescent="0.25">
      <c r="G24" s="8"/>
      <c r="H24" s="8"/>
      <c r="J24" s="35"/>
      <c r="K24" s="34"/>
      <c r="L24" s="1"/>
    </row>
    <row r="25" ht="26.25" customHeight="1" spans="7:12" x14ac:dyDescent="0.25">
      <c r="G25" s="8"/>
      <c r="H25" s="8"/>
      <c r="J25" s="35"/>
      <c r="K25" s="34"/>
      <c r="L25" s="1"/>
    </row>
    <row r="26" ht="26.25" customHeight="1" spans="7:12" x14ac:dyDescent="0.25">
      <c r="G26" s="8"/>
      <c r="H26" s="8"/>
      <c r="J26" s="1"/>
      <c r="K26" s="1"/>
      <c r="L26" s="1"/>
    </row>
    <row r="27" ht="26.25" customHeight="1" spans="7:12" x14ac:dyDescent="0.25">
      <c r="G27" s="8"/>
      <c r="H27" s="8"/>
      <c r="J27" s="1"/>
      <c r="K27" s="1"/>
      <c r="L27" s="1"/>
    </row>
    <row r="28" ht="26.25" customHeight="1" spans="7:12" x14ac:dyDescent="0.25">
      <c r="G28" s="8"/>
      <c r="H28" s="8"/>
      <c r="J28" s="1"/>
      <c r="K28" s="1"/>
      <c r="L28" s="1"/>
    </row>
    <row r="29" spans="10:12" x14ac:dyDescent="0.25">
      <c r="J29" s="1"/>
      <c r="K29" s="1"/>
      <c r="L29" s="1"/>
    </row>
    <row r="30" spans="10:12" x14ac:dyDescent="0.25">
      <c r="J30" s="1"/>
      <c r="K30" s="1"/>
      <c r="L30" s="1"/>
    </row>
    <row r="31" spans="10:12" x14ac:dyDescent="0.25">
      <c r="J31" s="1"/>
      <c r="K31" s="1"/>
      <c r="L31" s="1"/>
    </row>
    <row r="32" spans="10:12" x14ac:dyDescent="0.25">
      <c r="J32" s="1"/>
      <c r="K32" s="1"/>
      <c r="L32" s="1"/>
    </row>
    <row r="33" spans="10:12" x14ac:dyDescent="0.25">
      <c r="J33" s="1"/>
      <c r="K33" s="1"/>
      <c r="L33" s="1"/>
    </row>
    <row r="34" spans="10:12" x14ac:dyDescent="0.25">
      <c r="J34" s="1"/>
      <c r="K34" s="1"/>
      <c r="L34" s="1"/>
    </row>
    <row r="35" spans="10:12" x14ac:dyDescent="0.25">
      <c r="J35" s="1"/>
      <c r="K35" s="1"/>
      <c r="L35" s="1"/>
    </row>
    <row r="36" spans="10:12" x14ac:dyDescent="0.25">
      <c r="J36" s="1"/>
      <c r="K36" s="1"/>
      <c r="L36" s="1"/>
    </row>
    <row r="37" spans="10:12" x14ac:dyDescent="0.25">
      <c r="J37" s="1"/>
      <c r="K37" s="1"/>
      <c r="L37" s="1"/>
    </row>
    <row r="38" spans="10:12" x14ac:dyDescent="0.25">
      <c r="J38" s="1"/>
      <c r="K38" s="1"/>
      <c r="L38" s="1"/>
    </row>
    <row r="39" spans="10:12" x14ac:dyDescent="0.25">
      <c r="J39" s="1"/>
      <c r="K39" s="1"/>
      <c r="L39" s="1"/>
    </row>
    <row r="40" spans="10:12" x14ac:dyDescent="0.25">
      <c r="J40" s="1"/>
      <c r="K40" s="1"/>
      <c r="L40" s="1"/>
    </row>
    <row r="41" spans="10:12" x14ac:dyDescent="0.25">
      <c r="J41" s="1"/>
      <c r="K41" s="1"/>
      <c r="L41" s="1"/>
    </row>
    <row r="42" spans="10:12" x14ac:dyDescent="0.25">
      <c r="J42" s="1"/>
      <c r="K42" s="1"/>
      <c r="L42" s="1"/>
    </row>
  </sheetData>
  <pageMargins left="0.511811024" right="0.511811024" top="0.787401575" bottom="0.787401575" header="0.31496062" footer="0.31496062"/>
  <pageSetup orientation="portrait" horizontalDpi="360" verticalDpi="360" scale="100" fitToWidth="1" fitToHeight="1" firstPageNumber="1" useFirstPageNumber="1" copies="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D14"/>
  <sheetViews>
    <sheetView workbookViewId="0" zoomScale="100" zoomScaleNormal="100">
      <selection activeCell="D2" sqref="D2"/>
    </sheetView>
  </sheetViews>
  <sheetFormatPr defaultRowHeight="15.75" outlineLevelRow="0" outlineLevelCol="0" x14ac:dyDescent="0.25" defaultColWidth="11" customHeight="1"/>
  <cols>
    <col min="2" max="2" width="37.375" customWidth="1"/>
    <col min="3" max="3" width="21.5" customWidth="1"/>
  </cols>
  <sheetData>
    <row r="3" ht="26.25" customHeight="1" spans="2:3" x14ac:dyDescent="0.25">
      <c r="B3" s="65" t="s">
        <v>0</v>
      </c>
      <c r="C3" s="65" t="s">
        <v>1</v>
      </c>
    </row>
    <row r="4" ht="26.25" customHeight="1" spans="2:3" x14ac:dyDescent="0.25">
      <c r="B4" s="66" t="s">
        <v>6</v>
      </c>
      <c r="C4" s="8">
        <v>18620120.98</v>
      </c>
    </row>
    <row r="5" ht="26.25" customHeight="1" spans="2:4" x14ac:dyDescent="0.25">
      <c r="B5" s="66" t="s">
        <v>8</v>
      </c>
      <c r="C5" s="8">
        <v>-1076603.32</v>
      </c>
      <c r="D5">
        <f>74*12</f>
        <v>888</v>
      </c>
    </row>
    <row r="6" ht="26.25" customHeight="1" spans="2:3" x14ac:dyDescent="0.25">
      <c r="B6" s="66" t="s">
        <v>17</v>
      </c>
      <c r="C6" s="8">
        <v>-356096.22</v>
      </c>
    </row>
    <row r="7" ht="26.25" customHeight="1" spans="2:3" x14ac:dyDescent="0.25">
      <c r="B7" s="66" t="s">
        <v>18</v>
      </c>
      <c r="C7" s="8">
        <v>-80000</v>
      </c>
    </row>
    <row r="8" ht="26.25" customHeight="1" spans="2:3" x14ac:dyDescent="0.25">
      <c r="B8" s="66" t="s">
        <v>19</v>
      </c>
      <c r="C8" s="8">
        <v>-8937500</v>
      </c>
    </row>
    <row r="9" ht="26.25" customHeight="1" spans="2:3" x14ac:dyDescent="0.25">
      <c r="B9" s="66" t="s">
        <v>20</v>
      </c>
      <c r="C9" s="8">
        <v>-95409.65000000001</v>
      </c>
    </row>
    <row r="10" ht="26.25" customHeight="1" spans="2:3" x14ac:dyDescent="0.25">
      <c r="B10" s="66" t="s">
        <v>21</v>
      </c>
      <c r="C10" s="8">
        <v>-14850000</v>
      </c>
    </row>
    <row r="11" ht="26.25" customHeight="1" spans="2:3" x14ac:dyDescent="0.25">
      <c r="B11" s="66" t="s">
        <v>22</v>
      </c>
      <c r="C11" s="8">
        <v>10917065.94</v>
      </c>
    </row>
    <row r="12" ht="26.25" customHeight="1" spans="2:3" x14ac:dyDescent="0.25">
      <c r="B12" s="66" t="s">
        <v>23</v>
      </c>
      <c r="C12" s="8">
        <v>428322.1</v>
      </c>
    </row>
    <row r="13" ht="26.25" customHeight="1" spans="2:3" x14ac:dyDescent="0.25">
      <c r="B13" s="66" t="s">
        <v>24</v>
      </c>
      <c r="C13" s="8">
        <v>-67919.04</v>
      </c>
    </row>
    <row r="14" ht="26.25" customHeight="1" spans="2:3" x14ac:dyDescent="0.25">
      <c r="B14" s="66" t="s">
        <v>25</v>
      </c>
      <c r="C14" s="8">
        <v>-869140</v>
      </c>
    </row>
  </sheetData>
  <pageMargins left="0.511811024" right="0.511811024" top="0.787401575" bottom="0.787401575" header="0.31496062" footer="0.3149606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Painel</vt:lpstr>
      <vt:lpstr>Dados</vt:lpstr>
      <vt:lpstr>Filtros</vt:lpstr>
      <vt:lpstr>Centro de Custo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Emerson Camargo</dc:creator>
  <cp:lastModifiedBy>Enileia Ribeiro</cp:lastModifiedBy>
  <dcterms:created xsi:type="dcterms:W3CDTF">2024-11-11T17:57:58Z</dcterms:created>
  <dcterms:modified xsi:type="dcterms:W3CDTF">2025-11-24T17:10:46Z</dcterms:modified>
</cp:coreProperties>
</file>